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はじめに" sheetId="1" state="visible" r:id="rId3"/>
    <sheet name="作業日程" sheetId="2" state="visible" r:id="rId4"/>
    <sheet name="記事別の配置" sheetId="3" state="visible" r:id="rId5"/>
    <sheet name="HTML_2112" sheetId="4" state="visible" r:id="rId6"/>
    <sheet name="HTML_2111" sheetId="5" state="visible" r:id="rId7"/>
    <sheet name="HTML_パックJ" sheetId="6" state="visible" r:id="rId8"/>
    <sheet name="HTML_パックN" sheetId="7" state="visible" r:id="rId9"/>
    <sheet name="HTML_テキストリンク" sheetId="8" state="visible" r:id="rId10"/>
    <sheet name="1479に貼る文" sheetId="9" state="visible" r:id="rId11"/>
    <sheet name="案件の条件" sheetId="10" state="visible" r:id="rId12"/>
    <sheet name="ルール_AIリライト" sheetId="11" state="visible" r:id="rId13"/>
    <sheet name="ルール_リンク発行" sheetId="12" state="visible" r:id="rId14"/>
    <sheet name="効果測定" sheetId="13" state="visible" r:id="rId15"/>
    <sheet name="リンク台帳" sheetId="14" state="visible" r:id="rId16"/>
    <sheet name="別件" sheetId="15" state="visible" r:id="rId1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<sst xmlns="http://schemas.openxmlformats.org/spreadsheetml/2006/main" count="1148" uniqueCount="647">
  <si>
    <r>
      <rPr>
        <b val="true"/>
        <sz val="14"/>
        <rFont val="Meiryo UI"/>
        <family val="0"/>
        <charset val="1"/>
      </rPr>
      <t xml:space="preserve">A8</t>
    </r>
    <r>
      <rPr>
        <b val="true"/>
        <sz val="14"/>
        <rFont val="WenQuanYi Zen Hei"/>
        <family val="2"/>
      </rPr>
      <t xml:space="preserve">広告の立て直し：作業計画（</t>
    </r>
    <r>
      <rPr>
        <b val="true"/>
        <sz val="14"/>
        <rFont val="Meiryo UI"/>
        <family val="0"/>
        <charset val="1"/>
      </rPr>
      <t xml:space="preserve">STEP3</t>
    </r>
    <r>
      <rPr>
        <b val="true"/>
        <sz val="14"/>
        <rFont val="WenQuanYi Zen Hei"/>
        <family val="2"/>
      </rPr>
      <t xml:space="preserve">・</t>
    </r>
    <r>
      <rPr>
        <b val="true"/>
        <sz val="14"/>
        <rFont val="Meiryo UI"/>
        <family val="0"/>
        <charset val="1"/>
      </rPr>
      <t xml:space="preserve">4 </t>
    </r>
    <r>
      <rPr>
        <b val="true"/>
        <sz val="14"/>
        <rFont val="WenQuanYi Zen Hei"/>
        <family val="2"/>
      </rPr>
      <t xml:space="preserve">確定版）</t>
    </r>
  </si>
  <si>
    <r>
      <rPr>
        <sz val="9"/>
        <color rgb="FF666666"/>
        <rFont val="WenQuanYi Zen Hei"/>
        <family val="2"/>
      </rPr>
      <t xml:space="preserve">作成 </t>
    </r>
    <r>
      <rPr>
        <sz val="9"/>
        <color rgb="FF666666"/>
        <rFont val="Meiryo UI"/>
        <family val="0"/>
        <charset val="1"/>
      </rPr>
      <t xml:space="preserve">2026-10-12</t>
    </r>
    <r>
      <rPr>
        <sz val="9"/>
        <color rgb="FF666666"/>
        <rFont val="WenQuanYi Zen Hei"/>
        <family val="2"/>
      </rPr>
      <t xml:space="preserve">／採用のウラ側（</t>
    </r>
    <r>
      <rPr>
        <sz val="9"/>
        <color rgb="FF666666"/>
        <rFont val="Meiryo UI"/>
        <family val="0"/>
        <charset val="1"/>
      </rPr>
      <t xml:space="preserve">saiyo-ura.com</t>
    </r>
    <r>
      <rPr>
        <sz val="9"/>
        <color rgb="FF666666"/>
        <rFont val="WenQuanYi Zen Hei"/>
        <family val="2"/>
      </rPr>
      <t xml:space="preserve">）。元データはリポジトリの </t>
    </r>
    <r>
      <rPr>
        <sz val="9"/>
        <color rgb="FF666666"/>
        <rFont val="Meiryo UI"/>
        <family val="0"/>
        <charset val="1"/>
      </rPr>
      <t xml:space="preserve">reports/affiliate/2026-10-12/ </t>
    </r>
    <r>
      <rPr>
        <sz val="9"/>
        <color rgb="FF666666"/>
        <rFont val="WenQuanYi Zen Hei"/>
        <family val="2"/>
      </rPr>
      <t xml:space="preserve">の各ファイル。</t>
    </r>
  </si>
  <si>
    <t xml:space="preserve">このファイルの使い方</t>
  </si>
  <si>
    <r>
      <rPr>
        <sz val="10"/>
        <rFont val="WenQuanYi Zen Hei"/>
        <family val="2"/>
      </rPr>
      <t xml:space="preserve">上から順にシートを開く。「作業日程」が毎日の</t>
    </r>
    <r>
      <rPr>
        <sz val="10"/>
        <rFont val="Meiryo UI"/>
        <family val="0"/>
        <charset val="1"/>
      </rPr>
      <t xml:space="preserve">ToDo</t>
    </r>
    <r>
      <rPr>
        <sz val="10"/>
        <rFont val="WenQuanYi Zen Hei"/>
        <family val="2"/>
      </rPr>
      <t xml:space="preserve">。作業が終わったら「状態」を「済」にする。</t>
    </r>
  </si>
  <si>
    <t xml:space="preserve">黄色のセル</t>
  </si>
  <si>
    <t xml:space="preserve">入力する欄（状態・実績・日付・数字）。それ以外のセルは触らない（計算式が入っている）。</t>
  </si>
  <si>
    <r>
      <rPr>
        <b val="true"/>
        <sz val="10"/>
        <rFont val="Meiryo UI"/>
        <family val="0"/>
        <charset val="1"/>
      </rPr>
      <t xml:space="preserve">HTML</t>
    </r>
    <r>
      <rPr>
        <b val="true"/>
        <sz val="10"/>
        <rFont val="WenQuanYi Zen Hei"/>
        <family val="2"/>
      </rPr>
      <t xml:space="preserve">のコピー</t>
    </r>
  </si>
  <si>
    <r>
      <rPr>
        <sz val="10"/>
        <rFont val="Meiryo UI"/>
        <family val="0"/>
        <charset val="1"/>
      </rPr>
      <t xml:space="preserve">HTML_ </t>
    </r>
    <r>
      <rPr>
        <sz val="10"/>
        <rFont val="WenQuanYi Zen Hei"/>
        <family val="2"/>
      </rPr>
      <t xml:space="preserve">で始まるシートは、</t>
    </r>
    <r>
      <rPr>
        <sz val="10"/>
        <rFont val="Meiryo UI"/>
        <family val="0"/>
        <charset val="1"/>
      </rPr>
      <t xml:space="preserve">1</t>
    </r>
    <r>
      <rPr>
        <sz val="10"/>
        <rFont val="WenQuanYi Zen Hei"/>
        <family val="2"/>
      </rPr>
      <t xml:space="preserve">行＝</t>
    </r>
    <r>
      <rPr>
        <sz val="10"/>
        <rFont val="Meiryo UI"/>
        <family val="0"/>
        <charset val="1"/>
      </rPr>
      <t xml:space="preserve">1</t>
    </r>
    <r>
      <rPr>
        <sz val="10"/>
        <rFont val="WenQuanYi Zen Hei"/>
        <family val="2"/>
      </rPr>
      <t xml:space="preserve">セル。</t>
    </r>
    <r>
      <rPr>
        <sz val="10"/>
        <rFont val="Meiryo UI"/>
        <family val="0"/>
        <charset val="1"/>
      </rPr>
      <t xml:space="preserve">B</t>
    </r>
    <r>
      <rPr>
        <sz val="10"/>
        <rFont val="WenQuanYi Zen Hei"/>
        <family val="2"/>
      </rPr>
      <t xml:space="preserve">列の指定範囲をまとめて選んでコピー → </t>
    </r>
    <r>
      <rPr>
        <sz val="10"/>
        <rFont val="Meiryo UI"/>
        <family val="0"/>
        <charset val="1"/>
      </rPr>
      <t xml:space="preserve">WordPress</t>
    </r>
    <r>
      <rPr>
        <sz val="10"/>
        <rFont val="WenQuanYi Zen Hei"/>
        <family val="2"/>
      </rPr>
      <t xml:space="preserve">のカスタム</t>
    </r>
    <r>
      <rPr>
        <sz val="10"/>
        <rFont val="Meiryo UI"/>
        <family val="0"/>
        <charset val="1"/>
      </rPr>
      <t xml:space="preserve">HTML</t>
    </r>
    <r>
      <rPr>
        <sz val="10"/>
        <rFont val="WenQuanYi Zen Hei"/>
        <family val="2"/>
      </rPr>
      <t xml:space="preserve">ブロックに貼る。セルを</t>
    </r>
    <r>
      <rPr>
        <sz val="10"/>
        <rFont val="Meiryo UI"/>
        <family val="0"/>
        <charset val="1"/>
      </rPr>
      <t xml:space="preserve">1</t>
    </r>
    <r>
      <rPr>
        <sz val="10"/>
        <rFont val="WenQuanYi Zen Hei"/>
        <family val="2"/>
      </rPr>
      <t xml:space="preserve">つずつダブルクリックしてコピーしない（</t>
    </r>
    <r>
      <rPr>
        <sz val="10"/>
        <rFont val="Meiryo UI"/>
        <family val="0"/>
        <charset val="1"/>
      </rPr>
      <t xml:space="preserve">Excel</t>
    </r>
    <r>
      <rPr>
        <sz val="10"/>
        <rFont val="WenQuanYi Zen Hei"/>
        <family val="2"/>
      </rPr>
      <t xml:space="preserve">が「</t>
    </r>
    <r>
      <rPr>
        <sz val="10"/>
        <rFont val="Meiryo UI"/>
        <family val="0"/>
        <charset val="1"/>
      </rPr>
      <t xml:space="preserve">"</t>
    </r>
    <r>
      <rPr>
        <sz val="10"/>
        <rFont val="WenQuanYi Zen Hei"/>
        <family val="2"/>
      </rPr>
      <t xml:space="preserve">」を付けることがある）。</t>
    </r>
  </si>
  <si>
    <t xml:space="preserve">シート一覧</t>
  </si>
  <si>
    <t xml:space="preserve">作業日程</t>
  </si>
  <si>
    <r>
      <rPr>
        <sz val="10"/>
        <rFont val="WenQuanYi Zen Hei"/>
        <family val="2"/>
      </rPr>
      <t xml:space="preserve">日ごとの</t>
    </r>
    <r>
      <rPr>
        <sz val="10"/>
        <rFont val="Meiryo UI"/>
        <family val="0"/>
        <charset val="1"/>
      </rPr>
      <t xml:space="preserve">ToDo</t>
    </r>
    <r>
      <rPr>
        <sz val="10"/>
        <rFont val="WenQuanYi Zen Hei"/>
        <family val="2"/>
      </rPr>
      <t xml:space="preserve">（優先度・所要時間・使うシート）。</t>
    </r>
    <r>
      <rPr>
        <sz val="10"/>
        <rFont val="Meiryo UI"/>
        <family val="0"/>
        <charset val="1"/>
      </rPr>
      <t xml:space="preserve">1</t>
    </r>
    <r>
      <rPr>
        <sz val="10"/>
        <rFont val="WenQuanYi Zen Hei"/>
        <family val="2"/>
      </rPr>
      <t xml:space="preserve">日の合計時間が上限（平日</t>
    </r>
    <r>
      <rPr>
        <sz val="10"/>
        <rFont val="Meiryo UI"/>
        <family val="0"/>
        <charset val="1"/>
      </rPr>
      <t xml:space="preserve">90</t>
    </r>
    <r>
      <rPr>
        <sz val="10"/>
        <rFont val="WenQuanYi Zen Hei"/>
        <family val="2"/>
      </rPr>
      <t xml:space="preserve">分・休日</t>
    </r>
    <r>
      <rPr>
        <sz val="10"/>
        <rFont val="Meiryo UI"/>
        <family val="0"/>
        <charset val="1"/>
      </rPr>
      <t xml:space="preserve">120</t>
    </r>
    <r>
      <rPr>
        <sz val="10"/>
        <rFont val="WenQuanYi Zen Hei"/>
        <family val="2"/>
      </rPr>
      <t xml:space="preserve">分）を超えていないかを自動で判定。</t>
    </r>
  </si>
  <si>
    <t xml:space="preserve">記事別の配置</t>
  </si>
  <si>
    <r>
      <rPr>
        <sz val="10"/>
        <rFont val="Meiryo UI"/>
        <family val="0"/>
        <charset val="1"/>
      </rPr>
      <t xml:space="preserve">STEP3</t>
    </r>
    <r>
      <rPr>
        <sz val="10"/>
        <rFont val="WenQuanYi Zen Hei"/>
        <family val="2"/>
      </rPr>
      <t xml:space="preserve">：上位</t>
    </r>
    <r>
      <rPr>
        <sz val="10"/>
        <rFont val="Meiryo UI"/>
        <family val="0"/>
        <charset val="1"/>
      </rPr>
      <t xml:space="preserve">10</t>
    </r>
    <r>
      <rPr>
        <sz val="10"/>
        <rFont val="WenQuanYi Zen Hei"/>
        <family val="2"/>
      </rPr>
      <t xml:space="preserve">記事の「削除・置く・残す」と、添える一文。</t>
    </r>
    <r>
      <rPr>
        <sz val="10"/>
        <rFont val="Meiryo UI"/>
        <family val="0"/>
        <charset val="1"/>
      </rPr>
      <t xml:space="preserve">1</t>
    </r>
    <r>
      <rPr>
        <sz val="10"/>
        <rFont val="WenQuanYi Zen Hei"/>
        <family val="2"/>
      </rPr>
      <t xml:space="preserve">行＝</t>
    </r>
    <r>
      <rPr>
        <sz val="10"/>
        <rFont val="Meiryo UI"/>
        <family val="0"/>
        <charset val="1"/>
      </rPr>
      <t xml:space="preserve">1</t>
    </r>
    <r>
      <rPr>
        <sz val="10"/>
        <rFont val="WenQuanYi Zen Hei"/>
        <family val="2"/>
      </rPr>
      <t xml:space="preserve">作業。</t>
    </r>
  </si>
  <si>
    <t xml:space="preserve">HTML_2112</t>
  </si>
  <si>
    <r>
      <rPr>
        <sz val="10"/>
        <rFont val="Meiryo UI"/>
        <family val="0"/>
        <charset val="1"/>
      </rPr>
      <t xml:space="preserve">2112</t>
    </r>
    <r>
      <rPr>
        <sz val="10"/>
        <rFont val="WenQuanYi Zen Hei"/>
        <family val="2"/>
      </rPr>
      <t xml:space="preserve">（インプレピクセル）を空にする</t>
    </r>
    <r>
      <rPr>
        <sz val="10"/>
        <rFont val="Meiryo UI"/>
        <family val="0"/>
        <charset val="1"/>
      </rPr>
      <t xml:space="preserve">HTML</t>
    </r>
    <r>
      <rPr>
        <sz val="10"/>
        <rFont val="WenQuanYi Zen Hei"/>
        <family val="2"/>
      </rPr>
      <t xml:space="preserve">。</t>
    </r>
  </si>
  <si>
    <t xml:space="preserve">HTML_2111</t>
  </si>
  <si>
    <r>
      <rPr>
        <sz val="10"/>
        <rFont val="Meiryo UI"/>
        <family val="0"/>
        <charset val="1"/>
      </rPr>
      <t xml:space="preserve">2111</t>
    </r>
    <r>
      <rPr>
        <sz val="10"/>
        <rFont val="WenQuanYi Zen Hei"/>
        <family val="2"/>
      </rPr>
      <t xml:space="preserve">（パック</t>
    </r>
    <r>
      <rPr>
        <sz val="10"/>
        <rFont val="Meiryo UI"/>
        <family val="0"/>
        <charset val="1"/>
      </rPr>
      <t xml:space="preserve">A</t>
    </r>
    <r>
      <rPr>
        <sz val="10"/>
        <rFont val="WenQuanYi Zen Hei"/>
        <family val="2"/>
      </rPr>
      <t xml:space="preserve">・改）の差し替え</t>
    </r>
    <r>
      <rPr>
        <sz val="10"/>
        <rFont val="Meiryo UI"/>
        <family val="0"/>
        <charset val="1"/>
      </rPr>
      <t xml:space="preserve">HTML</t>
    </r>
    <r>
      <rPr>
        <sz val="10"/>
        <rFont val="WenQuanYi Zen Hei"/>
        <family val="2"/>
      </rPr>
      <t xml:space="preserve">。</t>
    </r>
  </si>
  <si>
    <r>
      <rPr>
        <b val="true"/>
        <sz val="10"/>
        <rFont val="Meiryo UI"/>
        <family val="0"/>
        <charset val="1"/>
      </rPr>
      <t xml:space="preserve">HTML_</t>
    </r>
    <r>
      <rPr>
        <b val="true"/>
        <sz val="10"/>
        <rFont val="WenQuanYi Zen Hei"/>
        <family val="2"/>
      </rPr>
      <t xml:space="preserve">パック</t>
    </r>
    <r>
      <rPr>
        <b val="true"/>
        <sz val="10"/>
        <rFont val="Meiryo UI"/>
        <family val="0"/>
        <charset val="1"/>
      </rPr>
      <t xml:space="preserve">J</t>
    </r>
  </si>
  <si>
    <r>
      <rPr>
        <sz val="10"/>
        <rFont val="WenQuanYi Zen Hei"/>
        <family val="2"/>
      </rPr>
      <t xml:space="preserve">新規パック</t>
    </r>
    <r>
      <rPr>
        <sz val="10"/>
        <rFont val="Meiryo UI"/>
        <family val="0"/>
        <charset val="1"/>
      </rPr>
      <t xml:space="preserve">J</t>
    </r>
    <r>
      <rPr>
        <sz val="10"/>
        <rFont val="WenQuanYi Zen Hei"/>
        <family val="2"/>
      </rPr>
      <t xml:space="preserve">（</t>
    </r>
    <r>
      <rPr>
        <sz val="10"/>
        <rFont val="Meiryo UI"/>
        <family val="0"/>
        <charset val="1"/>
      </rPr>
      <t xml:space="preserve">JAC</t>
    </r>
    <r>
      <rPr>
        <sz val="10"/>
        <rFont val="WenQuanYi Zen Hei"/>
        <family val="2"/>
      </rPr>
      <t xml:space="preserve">＋レバテックダイレクト）。</t>
    </r>
    <r>
      <rPr>
        <sz val="10"/>
        <rFont val="Meiryo UI"/>
        <family val="0"/>
        <charset val="1"/>
      </rPr>
      <t xml:space="preserve">979</t>
    </r>
    <r>
      <rPr>
        <sz val="10"/>
        <rFont val="WenQuanYi Zen Hei"/>
        <family val="2"/>
      </rPr>
      <t xml:space="preserve">・</t>
    </r>
    <r>
      <rPr>
        <sz val="10"/>
        <rFont val="Meiryo UI"/>
        <family val="0"/>
        <charset val="1"/>
      </rPr>
      <t xml:space="preserve">1489</t>
    </r>
    <r>
      <rPr>
        <sz val="10"/>
        <rFont val="WenQuanYi Zen Hei"/>
        <family val="2"/>
      </rPr>
      <t xml:space="preserve">・</t>
    </r>
    <r>
      <rPr>
        <sz val="10"/>
        <rFont val="Meiryo UI"/>
        <family val="0"/>
        <charset val="1"/>
      </rPr>
      <t xml:space="preserve">1827 </t>
    </r>
    <r>
      <rPr>
        <sz val="10"/>
        <rFont val="WenQuanYi Zen Hei"/>
        <family val="2"/>
      </rPr>
      <t xml:space="preserve">用。</t>
    </r>
  </si>
  <si>
    <r>
      <rPr>
        <b val="true"/>
        <sz val="10"/>
        <rFont val="Meiryo UI"/>
        <family val="0"/>
        <charset val="1"/>
      </rPr>
      <t xml:space="preserve">HTML_</t>
    </r>
    <r>
      <rPr>
        <b val="true"/>
        <sz val="10"/>
        <rFont val="WenQuanYi Zen Hei"/>
        <family val="2"/>
      </rPr>
      <t xml:space="preserve">パック</t>
    </r>
    <r>
      <rPr>
        <b val="true"/>
        <sz val="10"/>
        <rFont val="Meiryo UI"/>
        <family val="0"/>
        <charset val="1"/>
      </rPr>
      <t xml:space="preserve">N</t>
    </r>
  </si>
  <si>
    <r>
      <rPr>
        <sz val="10"/>
        <rFont val="WenQuanYi Zen Hei"/>
        <family val="2"/>
      </rPr>
      <t xml:space="preserve">新規パック</t>
    </r>
    <r>
      <rPr>
        <sz val="10"/>
        <rFont val="Meiryo UI"/>
        <family val="0"/>
        <charset val="1"/>
      </rPr>
      <t xml:space="preserve">N</t>
    </r>
    <r>
      <rPr>
        <sz val="10"/>
        <rFont val="WenQuanYi Zen Hei"/>
        <family val="2"/>
      </rPr>
      <t xml:space="preserve">（第二新卒エージェント</t>
    </r>
    <r>
      <rPr>
        <sz val="10"/>
        <rFont val="Meiryo UI"/>
        <family val="0"/>
        <charset val="1"/>
      </rPr>
      <t xml:space="preserve">neo</t>
    </r>
    <r>
      <rPr>
        <sz val="10"/>
        <rFont val="WenQuanYi Zen Hei"/>
        <family val="2"/>
      </rPr>
      <t xml:space="preserve">）。</t>
    </r>
    <r>
      <rPr>
        <sz val="10"/>
        <rFont val="Meiryo UI"/>
        <family val="0"/>
        <charset val="1"/>
      </rPr>
      <t xml:space="preserve">1790 </t>
    </r>
    <r>
      <rPr>
        <sz val="10"/>
        <rFont val="WenQuanYi Zen Hei"/>
        <family val="2"/>
      </rPr>
      <t xml:space="preserve">用。</t>
    </r>
  </si>
  <si>
    <r>
      <rPr>
        <b val="true"/>
        <sz val="10"/>
        <rFont val="Meiryo UI"/>
        <family val="0"/>
        <charset val="1"/>
      </rPr>
      <t xml:space="preserve">HTML_</t>
    </r>
    <r>
      <rPr>
        <b val="true"/>
        <sz val="10"/>
        <rFont val="WenQuanYi Zen Hei"/>
        <family val="2"/>
      </rPr>
      <t xml:space="preserve">テキストリンク</t>
    </r>
  </si>
  <si>
    <r>
      <rPr>
        <sz val="10"/>
        <rFont val="Meiryo UI"/>
        <family val="0"/>
        <charset val="1"/>
      </rPr>
      <t xml:space="preserve">979 </t>
    </r>
    <r>
      <rPr>
        <sz val="10"/>
        <rFont val="WenQuanYi Zen Hei"/>
        <family val="2"/>
      </rPr>
      <t xml:space="preserve">用のテキストリンク（レバテックダイレクト・</t>
    </r>
    <r>
      <rPr>
        <sz val="10"/>
        <rFont val="Meiryo UI"/>
        <family val="0"/>
        <charset val="1"/>
      </rPr>
      <t xml:space="preserve">JAC</t>
    </r>
    <r>
      <rPr>
        <sz val="10"/>
        <rFont val="WenQuanYi Zen Hei"/>
        <family val="2"/>
      </rPr>
      <t xml:space="preserve">）。</t>
    </r>
  </si>
  <si>
    <r>
      <rPr>
        <b val="true"/>
        <sz val="10"/>
        <rFont val="Meiryo UI"/>
        <family val="0"/>
        <charset val="1"/>
      </rPr>
      <t xml:space="preserve">1479</t>
    </r>
    <r>
      <rPr>
        <b val="true"/>
        <sz val="10"/>
        <rFont val="WenQuanYi Zen Hei"/>
        <family val="2"/>
      </rPr>
      <t xml:space="preserve">に貼る文</t>
    </r>
  </si>
  <si>
    <r>
      <rPr>
        <sz val="10"/>
        <rFont val="Meiryo UI"/>
        <family val="0"/>
        <charset val="1"/>
      </rPr>
      <t xml:space="preserve">10/13 </t>
    </r>
    <r>
      <rPr>
        <sz val="10"/>
        <rFont val="WenQuanYi Zen Hei"/>
        <family val="2"/>
      </rPr>
      <t xml:space="preserve">用。</t>
    </r>
    <r>
      <rPr>
        <sz val="10"/>
        <rFont val="Meiryo UI"/>
        <family val="0"/>
        <charset val="1"/>
      </rPr>
      <t xml:space="preserve">2026</t>
    </r>
    <r>
      <rPr>
        <sz val="10"/>
        <rFont val="WenQuanYi Zen Hei"/>
        <family val="2"/>
      </rPr>
      <t xml:space="preserve">年度の日程（申込締切 </t>
    </r>
    <r>
      <rPr>
        <sz val="10"/>
        <rFont val="Meiryo UI"/>
        <family val="0"/>
        <charset val="1"/>
      </rPr>
      <t xml:space="preserve">10/24</t>
    </r>
    <r>
      <rPr>
        <sz val="10"/>
        <rFont val="WenQuanYi Zen Hei"/>
        <family val="2"/>
      </rPr>
      <t xml:space="preserve">）の表と本文。</t>
    </r>
  </si>
  <si>
    <t xml:space="preserve">案件の条件</t>
  </si>
  <si>
    <t xml:space="preserve">使う案件の報酬・成果地点・対象・書けないこと。</t>
  </si>
  <si>
    <r>
      <rPr>
        <b val="true"/>
        <sz val="10"/>
        <rFont val="WenQuanYi Zen Hei"/>
        <family val="2"/>
      </rPr>
      <t xml:space="preserve">ルール</t>
    </r>
    <r>
      <rPr>
        <b val="true"/>
        <sz val="10"/>
        <rFont val="Meiryo UI"/>
        <family val="0"/>
        <charset val="1"/>
      </rPr>
      <t xml:space="preserve">_AI</t>
    </r>
    <r>
      <rPr>
        <b val="true"/>
        <sz val="10"/>
        <rFont val="WenQuanYi Zen Hei"/>
        <family val="2"/>
      </rPr>
      <t xml:space="preserve">リライト</t>
    </r>
  </si>
  <si>
    <r>
      <rPr>
        <sz val="10"/>
        <rFont val="Meiryo UI"/>
        <family val="0"/>
        <charset val="1"/>
      </rPr>
      <t xml:space="preserve">STEP4 </t>
    </r>
    <r>
      <rPr>
        <sz val="10"/>
        <rFont val="WenQuanYi Zen Hei"/>
        <family val="2"/>
      </rPr>
      <t xml:space="preserve">ルール</t>
    </r>
    <r>
      <rPr>
        <sz val="10"/>
        <rFont val="Meiryo UI"/>
        <family val="0"/>
        <charset val="1"/>
      </rPr>
      <t xml:space="preserve">A</t>
    </r>
    <r>
      <rPr>
        <sz val="10"/>
        <rFont val="WenQuanYi Zen Hei"/>
        <family val="2"/>
      </rPr>
      <t xml:space="preserve">：</t>
    </r>
    <r>
      <rPr>
        <sz val="10"/>
        <rFont val="Meiryo UI"/>
        <family val="0"/>
        <charset val="1"/>
      </rPr>
      <t xml:space="preserve">AI</t>
    </r>
    <r>
      <rPr>
        <sz val="10"/>
        <rFont val="WenQuanYi Zen Hei"/>
        <family val="2"/>
      </rPr>
      <t xml:space="preserve">への指示文、貼り替え前後の数の比較表（自動判定つき）、作業メモの検索語。</t>
    </r>
  </si>
  <si>
    <r>
      <rPr>
        <b val="true"/>
        <sz val="10"/>
        <rFont val="WenQuanYi Zen Hei"/>
        <family val="2"/>
      </rPr>
      <t xml:space="preserve">ルール</t>
    </r>
    <r>
      <rPr>
        <b val="true"/>
        <sz val="10"/>
        <rFont val="Meiryo UI"/>
        <family val="0"/>
        <charset val="1"/>
      </rPr>
      <t xml:space="preserve">_</t>
    </r>
    <r>
      <rPr>
        <b val="true"/>
        <sz val="10"/>
        <rFont val="WenQuanYi Zen Hei"/>
        <family val="2"/>
      </rPr>
      <t xml:space="preserve">リンク発行</t>
    </r>
  </si>
  <si>
    <r>
      <rPr>
        <sz val="10"/>
        <rFont val="Meiryo UI"/>
        <family val="0"/>
        <charset val="1"/>
      </rPr>
      <t xml:space="preserve">STEP4 </t>
    </r>
    <r>
      <rPr>
        <sz val="10"/>
        <rFont val="WenQuanYi Zen Hei"/>
        <family val="2"/>
      </rPr>
      <t xml:space="preserve">ルール</t>
    </r>
    <r>
      <rPr>
        <sz val="10"/>
        <rFont val="Meiryo UI"/>
        <family val="0"/>
        <charset val="1"/>
      </rPr>
      <t xml:space="preserve">B</t>
    </r>
    <r>
      <rPr>
        <sz val="10"/>
        <rFont val="WenQuanYi Zen Hei"/>
        <family val="2"/>
      </rPr>
      <t xml:space="preserve">〜</t>
    </r>
    <r>
      <rPr>
        <sz val="10"/>
        <rFont val="Meiryo UI"/>
        <family val="0"/>
        <charset val="1"/>
      </rPr>
      <t xml:space="preserve">D</t>
    </r>
    <r>
      <rPr>
        <sz val="10"/>
        <rFont val="WenQuanYi Zen Hei"/>
        <family val="2"/>
      </rPr>
      <t xml:space="preserve">：発行手順、</t>
    </r>
    <r>
      <rPr>
        <sz val="10"/>
        <rFont val="Meiryo UI"/>
        <family val="0"/>
        <charset val="1"/>
      </rPr>
      <t xml:space="preserve">A8</t>
    </r>
    <r>
      <rPr>
        <sz val="10"/>
        <rFont val="WenQuanYi Zen Hei"/>
        <family val="2"/>
      </rPr>
      <t xml:space="preserve">のサイト番号の判定（</t>
    </r>
    <r>
      <rPr>
        <sz val="10"/>
        <rFont val="Meiryo UI"/>
        <family val="0"/>
        <charset val="1"/>
      </rPr>
      <t xml:space="preserve">a8mat</t>
    </r>
    <r>
      <rPr>
        <sz val="10"/>
        <rFont val="WenQuanYi Zen Hei"/>
        <family val="2"/>
      </rPr>
      <t xml:space="preserve">を入れると自動で判定）、公開後の確認、置き方。</t>
    </r>
  </si>
  <si>
    <t xml:space="preserve">効果測定</t>
  </si>
  <si>
    <r>
      <rPr>
        <sz val="10"/>
        <rFont val="Meiryo UI"/>
        <family val="0"/>
        <charset val="1"/>
      </rPr>
      <t xml:space="preserve">STEP4</t>
    </r>
    <r>
      <rPr>
        <sz val="10"/>
        <rFont val="WenQuanYi Zen Hei"/>
        <family val="2"/>
      </rPr>
      <t xml:space="preserve">：日別の記録表と、基準・</t>
    </r>
    <r>
      <rPr>
        <sz val="10"/>
        <rFont val="Meiryo UI"/>
        <family val="0"/>
        <charset val="1"/>
      </rPr>
      <t xml:space="preserve">2</t>
    </r>
    <r>
      <rPr>
        <sz val="10"/>
        <rFont val="WenQuanYi Zen Hei"/>
        <family val="2"/>
      </rPr>
      <t xml:space="preserve">週間・</t>
    </r>
    <r>
      <rPr>
        <sz val="10"/>
        <rFont val="Meiryo UI"/>
        <family val="0"/>
        <charset val="1"/>
      </rPr>
      <t xml:space="preserve">1</t>
    </r>
    <r>
      <rPr>
        <sz val="10"/>
        <rFont val="WenQuanYi Zen Hei"/>
        <family val="2"/>
      </rPr>
      <t xml:space="preserve">か月の判定（自動計算）。</t>
    </r>
  </si>
  <si>
    <t xml:space="preserve">リンク台帳</t>
  </si>
  <si>
    <r>
      <rPr>
        <sz val="10"/>
        <rFont val="WenQuanYi Zen Hei"/>
        <family val="2"/>
      </rPr>
      <t xml:space="preserve">発行したリンクの一覧。新しく発行したら</t>
    </r>
    <r>
      <rPr>
        <sz val="10"/>
        <rFont val="Meiryo UI"/>
        <family val="0"/>
        <charset val="1"/>
      </rPr>
      <t xml:space="preserve">1</t>
    </r>
    <r>
      <rPr>
        <sz val="10"/>
        <rFont val="WenQuanYi Zen Hei"/>
        <family val="2"/>
      </rPr>
      <t xml:space="preserve">行足す。</t>
    </r>
  </si>
  <si>
    <t xml:space="preserve">別件</t>
  </si>
  <si>
    <t xml:space="preserve">広告以外で見つかった直すこと（優先度つき）。</t>
  </si>
  <si>
    <t xml:space="preserve">重要な日付</t>
  </si>
  <si>
    <r>
      <rPr>
        <sz val="10"/>
        <rFont val="Meiryo UI"/>
        <family val="0"/>
        <charset val="1"/>
      </rPr>
      <t xml:space="preserve">10/13 1479</t>
    </r>
    <r>
      <rPr>
        <sz val="10"/>
        <rFont val="WenQuanYi Zen Hei"/>
        <family val="2"/>
      </rPr>
      <t xml:space="preserve">の日程追記（締切 </t>
    </r>
    <r>
      <rPr>
        <sz val="10"/>
        <rFont val="Meiryo UI"/>
        <family val="0"/>
        <charset val="1"/>
      </rPr>
      <t xml:space="preserve">10/24 </t>
    </r>
    <r>
      <rPr>
        <sz val="10"/>
        <rFont val="WenQuanYi Zen Hei"/>
        <family val="2"/>
      </rPr>
      <t xml:space="preserve">に間に合わせる）／</t>
    </r>
    <r>
      <rPr>
        <sz val="10"/>
        <rFont val="Meiryo UI"/>
        <family val="0"/>
        <charset val="1"/>
      </rPr>
      <t xml:space="preserve">10/17 </t>
    </r>
    <r>
      <rPr>
        <sz val="10"/>
        <rFont val="WenQuanYi Zen Hei"/>
        <family val="2"/>
      </rPr>
      <t xml:space="preserve">基準日（計測の切り替え）／</t>
    </r>
    <r>
      <rPr>
        <sz val="10"/>
        <rFont val="Meiryo UI"/>
        <family val="0"/>
        <charset val="1"/>
      </rPr>
      <t xml:space="preserve">11/1 2</t>
    </r>
    <r>
      <rPr>
        <sz val="10"/>
        <rFont val="WenQuanYi Zen Hei"/>
        <family val="2"/>
      </rPr>
      <t xml:space="preserve">週間の判定／</t>
    </r>
    <r>
      <rPr>
        <sz val="10"/>
        <rFont val="Meiryo UI"/>
        <family val="0"/>
        <charset val="1"/>
      </rPr>
      <t xml:space="preserve">11/21 1</t>
    </r>
    <r>
      <rPr>
        <sz val="10"/>
        <rFont val="WenQuanYi Zen Hei"/>
        <family val="2"/>
      </rPr>
      <t xml:space="preserve">か月の判定</t>
    </r>
  </si>
  <si>
    <r>
      <rPr>
        <b val="true"/>
        <sz val="14"/>
        <rFont val="WenQuanYi Zen Hei"/>
        <family val="2"/>
      </rPr>
      <t xml:space="preserve">作業日程（平日</t>
    </r>
    <r>
      <rPr>
        <b val="true"/>
        <sz val="14"/>
        <rFont val="Meiryo UI"/>
        <family val="0"/>
        <charset val="1"/>
      </rPr>
      <t xml:space="preserve">90</t>
    </r>
    <r>
      <rPr>
        <b val="true"/>
        <sz val="14"/>
        <rFont val="WenQuanYi Zen Hei"/>
        <family val="2"/>
      </rPr>
      <t xml:space="preserve">分・休日</t>
    </r>
    <r>
      <rPr>
        <b val="true"/>
        <sz val="14"/>
        <rFont val="Meiryo UI"/>
        <family val="0"/>
        <charset val="1"/>
      </rPr>
      <t xml:space="preserve">120</t>
    </r>
    <r>
      <rPr>
        <b val="true"/>
        <sz val="14"/>
        <rFont val="WenQuanYi Zen Hei"/>
        <family val="2"/>
      </rPr>
      <t xml:space="preserve">分）</t>
    </r>
  </si>
  <si>
    <r>
      <rPr>
        <sz val="9"/>
        <color rgb="FF666666"/>
        <rFont val="WenQuanYi Zen Hei"/>
        <family val="2"/>
      </rPr>
      <t xml:space="preserve">状態（</t>
    </r>
    <r>
      <rPr>
        <sz val="9"/>
        <color rgb="FF666666"/>
        <rFont val="Meiryo UI"/>
        <family val="0"/>
        <charset val="1"/>
      </rPr>
      <t xml:space="preserve">G</t>
    </r>
    <r>
      <rPr>
        <sz val="9"/>
        <color rgb="FF666666"/>
        <rFont val="WenQuanYi Zen Hei"/>
        <family val="2"/>
      </rPr>
      <t xml:space="preserve">列）を入力。</t>
    </r>
    <r>
      <rPr>
        <sz val="9"/>
        <color rgb="FF666666"/>
        <rFont val="Meiryo UI"/>
        <family val="0"/>
        <charset val="1"/>
      </rPr>
      <t xml:space="preserve">1</t>
    </r>
    <r>
      <rPr>
        <sz val="9"/>
        <color rgb="FF666666"/>
        <rFont val="WenQuanYi Zen Hei"/>
        <family val="2"/>
      </rPr>
      <t xml:space="preserve">日の合計が上限を超えると右の表の「判定」が「超過」になる。日付は</t>
    </r>
    <r>
      <rPr>
        <sz val="9"/>
        <color rgb="FF666666"/>
        <rFont val="Meiryo UI"/>
        <family val="0"/>
        <charset val="1"/>
      </rPr>
      <t xml:space="preserve">2026</t>
    </r>
    <r>
      <rPr>
        <sz val="9"/>
        <color rgb="FF666666"/>
        <rFont val="WenQuanYi Zen Hei"/>
        <family val="2"/>
      </rPr>
      <t xml:space="preserve">年。</t>
    </r>
  </si>
  <si>
    <t xml:space="preserve">日付</t>
  </si>
  <si>
    <t xml:space="preserve">曜日</t>
  </si>
  <si>
    <t xml:space="preserve">優先</t>
  </si>
  <si>
    <t xml:space="preserve">分</t>
  </si>
  <si>
    <t xml:space="preserve">作業</t>
  </si>
  <si>
    <t xml:space="preserve">使うシート</t>
  </si>
  <si>
    <t xml:space="preserve">状態</t>
  </si>
  <si>
    <t xml:space="preserve">メモ</t>
  </si>
  <si>
    <t xml:space="preserve">合計（分）</t>
  </si>
  <si>
    <t xml:space="preserve">上限（分）</t>
  </si>
  <si>
    <t xml:space="preserve">判定</t>
  </si>
  <si>
    <t xml:space="preserve">P0</t>
  </si>
  <si>
    <r>
      <rPr>
        <sz val="10"/>
        <rFont val="Meiryo UI"/>
        <family val="0"/>
        <charset val="1"/>
      </rPr>
      <t xml:space="preserve">1479 </t>
    </r>
    <r>
      <rPr>
        <sz val="10"/>
        <rFont val="WenQuanYi Zen Hei"/>
        <family val="2"/>
      </rPr>
      <t xml:space="preserve">に</t>
    </r>
    <r>
      <rPr>
        <sz val="10"/>
        <rFont val="Meiryo UI"/>
        <family val="0"/>
        <charset val="1"/>
      </rPr>
      <t xml:space="preserve">2026</t>
    </r>
    <r>
      <rPr>
        <sz val="10"/>
        <rFont val="WenQuanYi Zen Hei"/>
        <family val="2"/>
      </rPr>
      <t xml:space="preserve">年度の日程を追記（申込締切 </t>
    </r>
    <r>
      <rPr>
        <sz val="10"/>
        <rFont val="Meiryo UI"/>
        <family val="0"/>
        <charset val="1"/>
      </rPr>
      <t xml:space="preserve">10/24 </t>
    </r>
    <r>
      <rPr>
        <sz val="10"/>
        <rFont val="WenQuanYi Zen Hei"/>
        <family val="2"/>
      </rPr>
      <t xml:space="preserve">に間に合わせる）。</t>
    </r>
    <r>
      <rPr>
        <sz val="10"/>
        <rFont val="Meiryo UI"/>
        <family val="0"/>
        <charset val="1"/>
      </rPr>
      <t xml:space="preserve">IPA</t>
    </r>
    <r>
      <rPr>
        <sz val="10"/>
        <rFont val="WenQuanYi Zen Hei"/>
        <family val="2"/>
      </rPr>
      <t xml:space="preserve">のページで日程を最終確認してから貼る</t>
    </r>
  </si>
  <si>
    <r>
      <rPr>
        <sz val="10"/>
        <rFont val="Meiryo UI"/>
        <family val="0"/>
        <charset val="1"/>
      </rPr>
      <t xml:space="preserve">1479</t>
    </r>
    <r>
      <rPr>
        <sz val="10"/>
        <rFont val="WenQuanYi Zen Hei"/>
        <family val="2"/>
      </rPr>
      <t xml:space="preserve">に貼る文</t>
    </r>
  </si>
  <si>
    <t xml:space="preserve">未着手</t>
  </si>
  <si>
    <r>
      <rPr>
        <sz val="10"/>
        <rFont val="Meiryo UI"/>
        <family val="0"/>
        <charset val="1"/>
      </rPr>
      <t xml:space="preserve">1107 /aws-saa-difficulty/ </t>
    </r>
    <r>
      <rPr>
        <sz val="10"/>
        <rFont val="WenQuanYi Zen Hei"/>
        <family val="2"/>
      </rPr>
      <t xml:space="preserve">の作業メモを削除し、</t>
    </r>
    <r>
      <rPr>
        <sz val="10"/>
        <rFont val="Meiryo UI"/>
        <family val="0"/>
        <charset val="1"/>
      </rPr>
      <t xml:space="preserve">2111 </t>
    </r>
    <r>
      <rPr>
        <sz val="10"/>
        <rFont val="WenQuanYi Zen Hei"/>
        <family val="2"/>
      </rPr>
      <t xml:space="preserve">の呼び出しを</t>
    </r>
    <r>
      <rPr>
        <sz val="10"/>
        <rFont val="Meiryo UI"/>
        <family val="0"/>
        <charset val="1"/>
      </rPr>
      <t xml:space="preserve">3</t>
    </r>
    <r>
      <rPr>
        <sz val="10"/>
        <rFont val="WenQuanYi Zen Hei"/>
        <family val="2"/>
      </rPr>
      <t xml:space="preserve">か所→</t>
    </r>
    <r>
      <rPr>
        <sz val="10"/>
        <rFont val="Meiryo UI"/>
        <family val="0"/>
        <charset val="1"/>
      </rPr>
      <t xml:space="preserve">1</t>
    </r>
    <r>
      <rPr>
        <sz val="10"/>
        <rFont val="WenQuanYi Zen Hei"/>
        <family val="2"/>
      </rPr>
      <t xml:space="preserve">か所に</t>
    </r>
  </si>
  <si>
    <r>
      <rPr>
        <sz val="10"/>
        <rFont val="WenQuanYi Zen Hei"/>
        <family val="2"/>
      </rPr>
      <t xml:space="preserve">ルール</t>
    </r>
    <r>
      <rPr>
        <sz val="10"/>
        <rFont val="Meiryo UI"/>
        <family val="0"/>
        <charset val="1"/>
      </rPr>
      <t xml:space="preserve">_AI</t>
    </r>
    <r>
      <rPr>
        <sz val="10"/>
        <rFont val="WenQuanYi Zen Hei"/>
        <family val="2"/>
      </rPr>
      <t xml:space="preserve">リライト</t>
    </r>
  </si>
  <si>
    <t xml:space="preserve">P1</t>
  </si>
  <si>
    <r>
      <rPr>
        <sz val="10"/>
        <rFont val="Meiryo UI"/>
        <family val="0"/>
        <charset val="1"/>
      </rPr>
      <t xml:space="preserve">9/1</t>
    </r>
    <r>
      <rPr>
        <sz val="10"/>
        <rFont val="WenQuanYi Zen Hei"/>
        <family val="2"/>
      </rPr>
      <t xml:space="preserve">〜</t>
    </r>
    <r>
      <rPr>
        <sz val="10"/>
        <rFont val="Meiryo UI"/>
        <family val="0"/>
        <charset val="1"/>
      </rPr>
      <t xml:space="preserve">10/12 </t>
    </r>
    <r>
      <rPr>
        <sz val="10"/>
        <rFont val="WenQuanYi Zen Hei"/>
        <family val="2"/>
      </rPr>
      <t xml:space="preserve">の日別レポート（</t>
    </r>
    <r>
      <rPr>
        <sz val="10"/>
        <rFont val="Meiryo UI"/>
        <family val="0"/>
        <charset val="1"/>
      </rPr>
      <t xml:space="preserve">A8</t>
    </r>
    <r>
      <rPr>
        <sz val="10"/>
        <rFont val="WenQuanYi Zen Hei"/>
        <family val="2"/>
      </rPr>
      <t xml:space="preserve">〔サイト：採用のウラ側〕・</t>
    </r>
    <r>
      <rPr>
        <sz val="10"/>
        <rFont val="Meiryo UI"/>
        <family val="0"/>
        <charset val="1"/>
      </rPr>
      <t xml:space="preserve">VC</t>
    </r>
    <r>
      <rPr>
        <sz val="10"/>
        <rFont val="WenQuanYi Zen Hei"/>
        <family val="2"/>
      </rPr>
      <t xml:space="preserve">・もしも・</t>
    </r>
    <r>
      <rPr>
        <sz val="10"/>
        <rFont val="Meiryo UI"/>
        <family val="0"/>
        <charset val="1"/>
      </rPr>
      <t xml:space="preserve">GSC</t>
    </r>
    <r>
      <rPr>
        <sz val="10"/>
        <rFont val="WenQuanYi Zen Hei"/>
        <family val="2"/>
      </rPr>
      <t xml:space="preserve">）をダウンロードして共有 → 基準を計算</t>
    </r>
  </si>
  <si>
    <t xml:space="preserve">予備</t>
  </si>
  <si>
    <r>
      <rPr>
        <sz val="10"/>
        <rFont val="WenQuanYi Zen Hei"/>
        <family val="2"/>
      </rPr>
      <t xml:space="preserve">ブログパーツ「パック</t>
    </r>
    <r>
      <rPr>
        <sz val="10"/>
        <rFont val="Meiryo UI"/>
        <family val="0"/>
        <charset val="1"/>
      </rPr>
      <t xml:space="preserve">J</t>
    </r>
    <r>
      <rPr>
        <sz val="10"/>
        <rFont val="WenQuanYi Zen Hei"/>
        <family val="2"/>
      </rPr>
      <t xml:space="preserve">」「パック</t>
    </r>
    <r>
      <rPr>
        <sz val="10"/>
        <rFont val="Meiryo UI"/>
        <family val="0"/>
        <charset val="1"/>
      </rPr>
      <t xml:space="preserve">N</t>
    </r>
    <r>
      <rPr>
        <sz val="10"/>
        <rFont val="WenQuanYi Zen Hei"/>
        <family val="2"/>
      </rPr>
      <t xml:space="preserve">」を新規作成。保存後の</t>
    </r>
    <r>
      <rPr>
        <sz val="10"/>
        <rFont val="Meiryo UI"/>
        <family val="0"/>
        <charset val="1"/>
      </rPr>
      <t xml:space="preserve">ID</t>
    </r>
    <r>
      <rPr>
        <sz val="10"/>
        <rFont val="WenQuanYi Zen Hei"/>
        <family val="2"/>
      </rPr>
      <t xml:space="preserve">を控えて共有</t>
    </r>
  </si>
  <si>
    <r>
      <rPr>
        <sz val="10"/>
        <rFont val="Meiryo UI"/>
        <family val="0"/>
        <charset val="1"/>
      </rPr>
      <t xml:space="preserve">HTML_</t>
    </r>
    <r>
      <rPr>
        <sz val="10"/>
        <rFont val="WenQuanYi Zen Hei"/>
        <family val="2"/>
      </rPr>
      <t xml:space="preserve">パック</t>
    </r>
    <r>
      <rPr>
        <sz val="10"/>
        <rFont val="Meiryo UI"/>
        <family val="0"/>
        <charset val="1"/>
      </rPr>
      <t xml:space="preserve">J</t>
    </r>
    <r>
      <rPr>
        <sz val="10"/>
        <rFont val="WenQuanYi Zen Hei"/>
        <family val="2"/>
      </rPr>
      <t xml:space="preserve">／</t>
    </r>
    <r>
      <rPr>
        <sz val="10"/>
        <rFont val="Meiryo UI"/>
        <family val="0"/>
        <charset val="1"/>
      </rPr>
      <t xml:space="preserve">HTML_</t>
    </r>
    <r>
      <rPr>
        <sz val="10"/>
        <rFont val="WenQuanYi Zen Hei"/>
        <family val="2"/>
      </rPr>
      <t xml:space="preserve">パック</t>
    </r>
    <r>
      <rPr>
        <sz val="10"/>
        <rFont val="Meiryo UI"/>
        <family val="0"/>
        <charset val="1"/>
      </rPr>
      <t xml:space="preserve">N</t>
    </r>
  </si>
  <si>
    <r>
      <rPr>
        <sz val="10"/>
        <rFont val="Meiryo UI"/>
        <family val="0"/>
        <charset val="1"/>
      </rPr>
      <t xml:space="preserve">979 </t>
    </r>
    <r>
      <rPr>
        <sz val="10"/>
        <rFont val="WenQuanYi Zen Hei"/>
        <family val="2"/>
      </rPr>
      <t xml:space="preserve">富士通の配置（パック</t>
    </r>
    <r>
      <rPr>
        <sz val="10"/>
        <rFont val="Meiryo UI"/>
        <family val="0"/>
        <charset val="1"/>
      </rPr>
      <t xml:space="preserve">J</t>
    </r>
    <r>
      <rPr>
        <sz val="10"/>
        <rFont val="WenQuanYi Zen Hei"/>
        <family val="2"/>
      </rPr>
      <t xml:space="preserve">＋テキストリンク</t>
    </r>
    <r>
      <rPr>
        <sz val="10"/>
        <rFont val="Meiryo UI"/>
        <family val="0"/>
        <charset val="1"/>
      </rPr>
      <t xml:space="preserve">2</t>
    </r>
    <r>
      <rPr>
        <sz val="10"/>
        <rFont val="WenQuanYi Zen Hei"/>
        <family val="2"/>
      </rPr>
      <t xml:space="preserve">か所。冒頭・途中の</t>
    </r>
    <r>
      <rPr>
        <sz val="10"/>
        <rFont val="Meiryo UI"/>
        <family val="0"/>
        <charset val="1"/>
      </rPr>
      <t xml:space="preserve">2111</t>
    </r>
    <r>
      <rPr>
        <sz val="10"/>
        <rFont val="WenQuanYi Zen Hei"/>
        <family val="2"/>
      </rPr>
      <t xml:space="preserve">を削除）</t>
    </r>
  </si>
  <si>
    <r>
      <rPr>
        <sz val="10"/>
        <rFont val="Meiryo UI"/>
        <family val="0"/>
        <charset val="1"/>
      </rPr>
      <t xml:space="preserve">1489 ST</t>
    </r>
    <r>
      <rPr>
        <sz val="10"/>
        <rFont val="WenQuanYi Zen Hei"/>
        <family val="2"/>
      </rPr>
      <t xml:space="preserve">の配置（パック</t>
    </r>
    <r>
      <rPr>
        <sz val="10"/>
        <rFont val="Meiryo UI"/>
        <family val="0"/>
        <charset val="1"/>
      </rPr>
      <t xml:space="preserve">J</t>
    </r>
    <r>
      <rPr>
        <sz val="10"/>
        <rFont val="WenQuanYi Zen Hei"/>
        <family val="2"/>
      </rPr>
      <t xml:space="preserve">。①の</t>
    </r>
    <r>
      <rPr>
        <sz val="10"/>
        <rFont val="Meiryo UI"/>
        <family val="0"/>
        <charset val="1"/>
      </rPr>
      <t xml:space="preserve">2111</t>
    </r>
    <r>
      <rPr>
        <sz val="10"/>
        <rFont val="WenQuanYi Zen Hei"/>
        <family val="2"/>
      </rPr>
      <t xml:space="preserve">と誘導文を削除）</t>
    </r>
  </si>
  <si>
    <r>
      <rPr>
        <sz val="10"/>
        <rFont val="Meiryo UI"/>
        <family val="0"/>
        <charset val="1"/>
      </rPr>
      <t xml:space="preserve">1827 PM</t>
    </r>
    <r>
      <rPr>
        <sz val="10"/>
        <rFont val="WenQuanYi Zen Hei"/>
        <family val="2"/>
      </rPr>
      <t xml:space="preserve">の配置（パック</t>
    </r>
    <r>
      <rPr>
        <sz val="10"/>
        <rFont val="Meiryo UI"/>
        <family val="0"/>
        <charset val="1"/>
      </rPr>
      <t xml:space="preserve">J</t>
    </r>
    <r>
      <rPr>
        <sz val="10"/>
        <rFont val="WenQuanYi Zen Hei"/>
        <family val="2"/>
      </rPr>
      <t xml:space="preserve">。冒頭の</t>
    </r>
    <r>
      <rPr>
        <sz val="10"/>
        <rFont val="Meiryo UI"/>
        <family val="0"/>
        <charset val="1"/>
      </rPr>
      <t xml:space="preserve">2111</t>
    </r>
    <r>
      <rPr>
        <sz val="10"/>
        <rFont val="WenQuanYi Zen Hei"/>
        <family val="2"/>
      </rPr>
      <t xml:space="preserve">を削除。学習系の一文）</t>
    </r>
  </si>
  <si>
    <r>
      <rPr>
        <sz val="10"/>
        <rFont val="Meiryo UI"/>
        <family val="0"/>
        <charset val="1"/>
      </rPr>
      <t xml:space="preserve">664 </t>
    </r>
    <r>
      <rPr>
        <sz val="10"/>
        <rFont val="WenQuanYi Zen Hei"/>
        <family val="2"/>
      </rPr>
      <t xml:space="preserve">応用情報の配置（まとめの</t>
    </r>
    <r>
      <rPr>
        <sz val="10"/>
        <rFont val="Meiryo UI"/>
        <family val="0"/>
        <charset val="1"/>
      </rPr>
      <t xml:space="preserve">2111</t>
    </r>
    <r>
      <rPr>
        <sz val="10"/>
        <rFont val="WenQuanYi Zen Hei"/>
        <family val="2"/>
      </rPr>
      <t xml:space="preserve">の前に一文。学習系の一文</t>
    </r>
    <r>
      <rPr>
        <sz val="10"/>
        <rFont val="Meiryo UI"/>
        <family val="0"/>
        <charset val="1"/>
      </rPr>
      <t xml:space="preserve">×2</t>
    </r>
    <r>
      <rPr>
        <sz val="10"/>
        <rFont val="WenQuanYi Zen Hei"/>
        <family val="2"/>
      </rPr>
      <t xml:space="preserve">）</t>
    </r>
  </si>
  <si>
    <r>
      <rPr>
        <sz val="10"/>
        <rFont val="Meiryo UI"/>
        <family val="0"/>
        <charset val="1"/>
      </rPr>
      <t xml:space="preserve">1462 DB</t>
    </r>
    <r>
      <rPr>
        <sz val="10"/>
        <rFont val="WenQuanYi Zen Hei"/>
        <family val="2"/>
      </rPr>
      <t xml:space="preserve">の配置（冒頭・最後の</t>
    </r>
    <r>
      <rPr>
        <sz val="10"/>
        <rFont val="Meiryo UI"/>
        <family val="0"/>
        <charset val="1"/>
      </rPr>
      <t xml:space="preserve">2111</t>
    </r>
    <r>
      <rPr>
        <sz val="10"/>
        <rFont val="WenQuanYi Zen Hei"/>
        <family val="2"/>
      </rPr>
      <t xml:space="preserve">を削除。一文。学習系の一文）</t>
    </r>
  </si>
  <si>
    <r>
      <rPr>
        <sz val="10"/>
        <rFont val="Meiryo UI"/>
        <family val="0"/>
        <charset val="1"/>
      </rPr>
      <t xml:space="preserve">1449 NW</t>
    </r>
    <r>
      <rPr>
        <sz val="10"/>
        <rFont val="WenQuanYi Zen Hei"/>
        <family val="2"/>
      </rPr>
      <t xml:space="preserve">の配置（</t>
    </r>
    <r>
      <rPr>
        <sz val="10"/>
        <rFont val="Meiryo UI"/>
        <family val="0"/>
        <charset val="1"/>
      </rPr>
      <t xml:space="preserve">2111</t>
    </r>
    <r>
      <rPr>
        <sz val="10"/>
        <rFont val="WenQuanYi Zen Hei"/>
        <family val="2"/>
      </rPr>
      <t xml:space="preserve">を移動。最後の</t>
    </r>
    <r>
      <rPr>
        <sz val="10"/>
        <rFont val="Meiryo UI"/>
        <family val="0"/>
        <charset val="1"/>
      </rPr>
      <t xml:space="preserve">2111</t>
    </r>
    <r>
      <rPr>
        <sz val="10"/>
        <rFont val="WenQuanYi Zen Hei"/>
        <family val="2"/>
      </rPr>
      <t xml:space="preserve">を削除）</t>
    </r>
  </si>
  <si>
    <r>
      <rPr>
        <sz val="10"/>
        <rFont val="Meiryo UI"/>
        <family val="0"/>
        <charset val="1"/>
      </rPr>
      <t xml:space="preserve">1143 AWS</t>
    </r>
    <r>
      <rPr>
        <sz val="10"/>
        <rFont val="WenQuanYi Zen Hei"/>
        <family val="2"/>
      </rPr>
      <t xml:space="preserve">の配置（</t>
    </r>
    <r>
      <rPr>
        <sz val="10"/>
        <rFont val="Meiryo UI"/>
        <family val="0"/>
        <charset val="1"/>
      </rPr>
      <t xml:space="preserve">2111</t>
    </r>
    <r>
      <rPr>
        <sz val="10"/>
        <rFont val="WenQuanYi Zen Hei"/>
        <family val="2"/>
      </rPr>
      <t xml:space="preserve">を移動。最後の</t>
    </r>
    <r>
      <rPr>
        <sz val="10"/>
        <rFont val="Meiryo UI"/>
        <family val="0"/>
        <charset val="1"/>
      </rPr>
      <t xml:space="preserve">2111</t>
    </r>
    <r>
      <rPr>
        <sz val="10"/>
        <rFont val="WenQuanYi Zen Hei"/>
        <family val="2"/>
      </rPr>
      <t xml:space="preserve">を削除。学習系の一文）</t>
    </r>
  </si>
  <si>
    <r>
      <rPr>
        <sz val="10"/>
        <rFont val="Meiryo UI"/>
        <family val="0"/>
        <charset val="1"/>
      </rPr>
      <t xml:space="preserve">1809 PD</t>
    </r>
    <r>
      <rPr>
        <sz val="10"/>
        <rFont val="WenQuanYi Zen Hei"/>
        <family val="2"/>
      </rPr>
      <t xml:space="preserve">試験の配置（冒頭の</t>
    </r>
    <r>
      <rPr>
        <sz val="10"/>
        <rFont val="Meiryo UI"/>
        <family val="0"/>
        <charset val="1"/>
      </rPr>
      <t xml:space="preserve">2111</t>
    </r>
    <r>
      <rPr>
        <sz val="10"/>
        <rFont val="WenQuanYi Zen Hei"/>
        <family val="2"/>
      </rPr>
      <t xml:space="preserve">を削除。一文。学習系の一文）</t>
    </r>
  </si>
  <si>
    <r>
      <rPr>
        <sz val="10"/>
        <rFont val="Meiryo UI"/>
        <family val="0"/>
        <charset val="1"/>
      </rPr>
      <t xml:space="preserve">1479 SA</t>
    </r>
    <r>
      <rPr>
        <sz val="10"/>
        <rFont val="WenQuanYi Zen Hei"/>
        <family val="2"/>
      </rPr>
      <t xml:space="preserve">の配置（最後の</t>
    </r>
    <r>
      <rPr>
        <sz val="10"/>
        <rFont val="Meiryo UI"/>
        <family val="0"/>
        <charset val="1"/>
      </rPr>
      <t xml:space="preserve">2111</t>
    </r>
    <r>
      <rPr>
        <sz val="10"/>
        <rFont val="WenQuanYi Zen Hei"/>
        <family val="2"/>
      </rPr>
      <t xml:space="preserve">を削除。①の前に一文）</t>
    </r>
  </si>
  <si>
    <r>
      <rPr>
        <sz val="10"/>
        <rFont val="Meiryo UI"/>
        <family val="0"/>
        <charset val="1"/>
      </rPr>
      <t xml:space="preserve">1790 IT</t>
    </r>
    <r>
      <rPr>
        <sz val="10"/>
        <rFont val="WenQuanYi Zen Hei"/>
        <family val="2"/>
      </rPr>
      <t xml:space="preserve">パスの配置（</t>
    </r>
    <r>
      <rPr>
        <sz val="10"/>
        <rFont val="Meiryo UI"/>
        <family val="0"/>
        <charset val="1"/>
      </rPr>
      <t xml:space="preserve">2111×3</t>
    </r>
    <r>
      <rPr>
        <sz val="10"/>
        <rFont val="WenQuanYi Zen Hei"/>
        <family val="2"/>
      </rPr>
      <t xml:space="preserve">と誘導文</t>
    </r>
    <r>
      <rPr>
        <sz val="10"/>
        <rFont val="Meiryo UI"/>
        <family val="0"/>
        <charset val="1"/>
      </rPr>
      <t xml:space="preserve">×2</t>
    </r>
    <r>
      <rPr>
        <sz val="10"/>
        <rFont val="WenQuanYi Zen Hei"/>
        <family val="2"/>
      </rPr>
      <t xml:space="preserve">を削除、パック</t>
    </r>
    <r>
      <rPr>
        <sz val="10"/>
        <rFont val="Meiryo UI"/>
        <family val="0"/>
        <charset val="1"/>
      </rPr>
      <t xml:space="preserve">N</t>
    </r>
    <r>
      <rPr>
        <sz val="10"/>
        <rFont val="WenQuanYi Zen Hei"/>
        <family val="2"/>
      </rPr>
      <t xml:space="preserve">、学習系の一文</t>
    </r>
    <r>
      <rPr>
        <sz val="10"/>
        <rFont val="Meiryo UI"/>
        <family val="0"/>
        <charset val="1"/>
      </rPr>
      <t xml:space="preserve">×2</t>
    </r>
    <r>
      <rPr>
        <sz val="10"/>
        <rFont val="WenQuanYi Zen Hei"/>
        <family val="2"/>
      </rPr>
      <t xml:space="preserve">）</t>
    </r>
  </si>
  <si>
    <r>
      <rPr>
        <sz val="10"/>
        <rFont val="Meiryo UI"/>
        <family val="0"/>
        <charset val="1"/>
      </rPr>
      <t xml:space="preserve">10</t>
    </r>
    <r>
      <rPr>
        <sz val="10"/>
        <rFont val="WenQuanYi Zen Hei"/>
        <family val="2"/>
      </rPr>
      <t xml:space="preserve">記事をプレビューで見直す（表の崩れ・一文と表の順番）</t>
    </r>
  </si>
  <si>
    <r>
      <rPr>
        <sz val="10"/>
        <rFont val="WenQuanYi Zen Hei"/>
        <family val="2"/>
      </rPr>
      <t xml:space="preserve">【基準日】</t>
    </r>
    <r>
      <rPr>
        <sz val="10"/>
        <rFont val="Meiryo UI"/>
        <family val="0"/>
        <charset val="1"/>
      </rPr>
      <t xml:space="preserve">2112</t>
    </r>
    <r>
      <rPr>
        <sz val="10"/>
        <rFont val="WenQuanYi Zen Hei"/>
        <family val="2"/>
      </rPr>
      <t xml:space="preserve">を空にする → </t>
    </r>
    <r>
      <rPr>
        <sz val="10"/>
        <rFont val="Meiryo UI"/>
        <family val="0"/>
        <charset val="1"/>
      </rPr>
      <t xml:space="preserve">2111</t>
    </r>
    <r>
      <rPr>
        <sz val="10"/>
        <rFont val="WenQuanYi Zen Hei"/>
        <family val="2"/>
      </rPr>
      <t xml:space="preserve">を差し替える。作業した時刻を記録</t>
    </r>
  </si>
  <si>
    <r>
      <rPr>
        <sz val="10"/>
        <rFont val="Meiryo UI"/>
        <family val="0"/>
        <charset val="1"/>
      </rPr>
      <t xml:space="preserve">HTML_2112</t>
    </r>
    <r>
      <rPr>
        <sz val="10"/>
        <rFont val="WenQuanYi Zen Hei"/>
        <family val="2"/>
      </rPr>
      <t xml:space="preserve">／</t>
    </r>
    <r>
      <rPr>
        <sz val="10"/>
        <rFont val="Meiryo UI"/>
        <family val="0"/>
        <charset val="1"/>
      </rPr>
      <t xml:space="preserve">HTML_2111</t>
    </r>
  </si>
  <si>
    <r>
      <rPr>
        <sz val="10"/>
        <rFont val="WenQuanYi Zen Hei"/>
        <family val="2"/>
      </rPr>
      <t xml:space="preserve">キャッシュを消す（</t>
    </r>
    <r>
      <rPr>
        <sz val="10"/>
        <rFont val="Meiryo UI"/>
        <family val="0"/>
        <charset val="1"/>
      </rPr>
      <t xml:space="preserve">SWELL</t>
    </r>
    <r>
      <rPr>
        <sz val="10"/>
        <rFont val="WenQuanYi Zen Hei"/>
        <family val="2"/>
      </rPr>
      <t xml:space="preserve">・</t>
    </r>
    <r>
      <rPr>
        <sz val="10"/>
        <rFont val="Meiryo UI"/>
        <family val="0"/>
        <charset val="1"/>
      </rPr>
      <t xml:space="preserve">ConoHa WING</t>
    </r>
    <r>
      <rPr>
        <sz val="10"/>
        <rFont val="WenQuanYi Zen Hei"/>
        <family val="2"/>
      </rPr>
      <t xml:space="preserve">）</t>
    </r>
  </si>
  <si>
    <r>
      <rPr>
        <sz val="10"/>
        <rFont val="WenQuanYi Zen Hei"/>
        <family val="2"/>
      </rPr>
      <t xml:space="preserve">公開ページのソースで </t>
    </r>
    <r>
      <rPr>
        <sz val="10"/>
        <rFont val="Meiryo UI"/>
        <family val="0"/>
        <charset val="1"/>
      </rPr>
      <t xml:space="preserve">0.gif</t>
    </r>
    <r>
      <rPr>
        <sz val="10"/>
        <rFont val="WenQuanYi Zen Hei"/>
        <family val="2"/>
      </rPr>
      <t xml:space="preserve">・</t>
    </r>
    <r>
      <rPr>
        <sz val="10"/>
        <rFont val="Meiryo UI"/>
        <family val="0"/>
        <charset val="1"/>
      </rPr>
      <t xml:space="preserve">gifbanner </t>
    </r>
    <r>
      <rPr>
        <sz val="10"/>
        <rFont val="WenQuanYi Zen Hei"/>
        <family val="2"/>
      </rPr>
      <t xml:space="preserve">の件数と位置を確認（</t>
    </r>
    <r>
      <rPr>
        <sz val="10"/>
        <rFont val="Meiryo UI"/>
        <family val="0"/>
        <charset val="1"/>
      </rPr>
      <t xml:space="preserve">979</t>
    </r>
    <r>
      <rPr>
        <sz val="10"/>
        <rFont val="WenQuanYi Zen Hei"/>
        <family val="2"/>
      </rPr>
      <t xml:space="preserve">・</t>
    </r>
    <r>
      <rPr>
        <sz val="10"/>
        <rFont val="Meiryo UI"/>
        <family val="0"/>
        <charset val="1"/>
      </rPr>
      <t xml:space="preserve">1462</t>
    </r>
    <r>
      <rPr>
        <sz val="10"/>
        <rFont val="WenQuanYi Zen Hei"/>
        <family val="2"/>
      </rPr>
      <t xml:space="preserve">・</t>
    </r>
    <r>
      <rPr>
        <sz val="10"/>
        <rFont val="Meiryo UI"/>
        <family val="0"/>
        <charset val="1"/>
      </rPr>
      <t xml:space="preserve">1790</t>
    </r>
    <r>
      <rPr>
        <sz val="10"/>
        <rFont val="WenQuanYi Zen Hei"/>
        <family val="2"/>
      </rPr>
      <t xml:space="preserve">）。ボタンは押さない</t>
    </r>
  </si>
  <si>
    <r>
      <rPr>
        <sz val="10"/>
        <rFont val="WenQuanYi Zen Hei"/>
        <family val="2"/>
      </rPr>
      <t xml:space="preserve">ルール</t>
    </r>
    <r>
      <rPr>
        <sz val="10"/>
        <rFont val="Meiryo UI"/>
        <family val="0"/>
        <charset val="1"/>
      </rPr>
      <t xml:space="preserve">_</t>
    </r>
    <r>
      <rPr>
        <sz val="10"/>
        <rFont val="WenQuanYi Zen Hei"/>
        <family val="2"/>
      </rPr>
      <t xml:space="preserve">リンク発行</t>
    </r>
  </si>
  <si>
    <r>
      <rPr>
        <sz val="10"/>
        <rFont val="WenQuanYi Zen Hei"/>
        <family val="2"/>
      </rPr>
      <t xml:space="preserve">上位</t>
    </r>
    <r>
      <rPr>
        <sz val="10"/>
        <rFont val="Meiryo UI"/>
        <family val="0"/>
        <charset val="1"/>
      </rPr>
      <t xml:space="preserve">10</t>
    </r>
    <r>
      <rPr>
        <sz val="10"/>
        <rFont val="WenQuanYi Zen Hei"/>
        <family val="2"/>
      </rPr>
      <t xml:space="preserve">記事以外で</t>
    </r>
    <r>
      <rPr>
        <sz val="10"/>
        <rFont val="Meiryo UI"/>
        <family val="0"/>
        <charset val="1"/>
      </rPr>
      <t xml:space="preserve">2111</t>
    </r>
    <r>
      <rPr>
        <sz val="10"/>
        <rFont val="WenQuanYi Zen Hei"/>
        <family val="2"/>
      </rPr>
      <t xml:space="preserve">を</t>
    </r>
    <r>
      <rPr>
        <sz val="10"/>
        <rFont val="Meiryo UI"/>
        <family val="0"/>
        <charset val="1"/>
      </rPr>
      <t xml:space="preserve">2</t>
    </r>
    <r>
      <rPr>
        <sz val="10"/>
        <rFont val="WenQuanYi Zen Hei"/>
        <family val="2"/>
      </rPr>
      <t xml:space="preserve">か所以上呼んでいる記事を探し、</t>
    </r>
    <r>
      <rPr>
        <sz val="10"/>
        <rFont val="Meiryo UI"/>
        <family val="0"/>
        <charset val="1"/>
      </rPr>
      <t xml:space="preserve">1</t>
    </r>
    <r>
      <rPr>
        <sz val="10"/>
        <rFont val="WenQuanYi Zen Hei"/>
        <family val="2"/>
      </rPr>
      <t xml:space="preserve">か所に減らす（終わらない分は翌日）</t>
    </r>
  </si>
  <si>
    <t xml:space="preserve">効果測定の記録を始める。リンク台帳の「作業日から」を日付に直す</t>
  </si>
  <si>
    <t xml:space="preserve">効果測定／リンク台帳</t>
  </si>
  <si>
    <r>
      <rPr>
        <sz val="9"/>
        <color rgb="FF666666"/>
        <rFont val="WenQuanYi Zen Hei"/>
        <family val="2"/>
      </rPr>
      <t xml:space="preserve">※ 上限は 平日</t>
    </r>
    <r>
      <rPr>
        <sz val="9"/>
        <color rgb="FF666666"/>
        <rFont val="Meiryo UI"/>
        <family val="0"/>
        <charset val="1"/>
      </rPr>
      <t xml:space="preserve">90</t>
    </r>
    <r>
      <rPr>
        <sz val="9"/>
        <color rgb="FF666666"/>
        <rFont val="WenQuanYi Zen Hei"/>
        <family val="2"/>
      </rPr>
      <t xml:space="preserve">分・休日</t>
    </r>
    <r>
      <rPr>
        <sz val="9"/>
        <color rgb="FF666666"/>
        <rFont val="Meiryo UI"/>
        <family val="0"/>
        <charset val="1"/>
      </rPr>
      <t xml:space="preserve">120</t>
    </r>
    <r>
      <rPr>
        <sz val="9"/>
        <color rgb="FF666666"/>
        <rFont val="WenQuanYi Zen Hei"/>
        <family val="2"/>
      </rPr>
      <t xml:space="preserve">分（運営者）。祝日は平日扱い。</t>
    </r>
  </si>
  <si>
    <t xml:space="preserve">P2</t>
  </si>
  <si>
    <r>
      <rPr>
        <sz val="10"/>
        <rFont val="Meiryo UI"/>
        <family val="0"/>
        <charset val="1"/>
      </rPr>
      <t xml:space="preserve">835</t>
    </r>
    <r>
      <rPr>
        <sz val="10"/>
        <rFont val="WenQuanYi Zen Hei"/>
        <family val="2"/>
      </rPr>
      <t xml:space="preserve">・</t>
    </r>
    <r>
      <rPr>
        <sz val="10"/>
        <rFont val="Meiryo UI"/>
        <family val="0"/>
        <charset val="1"/>
      </rPr>
      <t xml:space="preserve">892 </t>
    </r>
    <r>
      <rPr>
        <sz val="10"/>
        <rFont val="WenQuanYi Zen Hei"/>
        <family val="2"/>
      </rPr>
      <t xml:space="preserve">の </t>
    </r>
    <r>
      <rPr>
        <sz val="10"/>
        <rFont val="Meiryo UI"/>
        <family val="0"/>
        <charset val="1"/>
      </rPr>
      <t xml:space="preserve">TechGO</t>
    </r>
    <r>
      <rPr>
        <sz val="10"/>
        <rFont val="WenQuanYi Zen Hei"/>
        <family val="2"/>
      </rPr>
      <t xml:space="preserve">（別サイト</t>
    </r>
    <r>
      <rPr>
        <sz val="10"/>
        <rFont val="Meiryo UI"/>
        <family val="0"/>
        <charset val="1"/>
      </rPr>
      <t xml:space="preserve">001</t>
    </r>
    <r>
      <rPr>
        <sz val="10"/>
        <rFont val="WenQuanYi Zen Hei"/>
        <family val="2"/>
      </rPr>
      <t xml:space="preserve">）を、発行済みのサイト</t>
    </r>
    <r>
      <rPr>
        <sz val="10"/>
        <rFont val="Meiryo UI"/>
        <family val="0"/>
        <charset val="1"/>
      </rPr>
      <t xml:space="preserve">002</t>
    </r>
    <r>
      <rPr>
        <sz val="10"/>
        <rFont val="WenQuanYi Zen Hei"/>
        <family val="2"/>
      </rPr>
      <t xml:space="preserve">のコードに差し替え</t>
    </r>
  </si>
  <si>
    <r>
      <rPr>
        <sz val="10"/>
        <rFont val="Meiryo UI"/>
        <family val="0"/>
        <charset val="1"/>
      </rPr>
      <t xml:space="preserve">Geekly </t>
    </r>
    <r>
      <rPr>
        <sz val="10"/>
        <rFont val="WenQuanYi Zen Hei"/>
        <family val="2"/>
      </rPr>
      <t xml:space="preserve">をサイト</t>
    </r>
    <r>
      <rPr>
        <sz val="10"/>
        <rFont val="Meiryo UI"/>
        <family val="0"/>
        <charset val="1"/>
      </rPr>
      <t xml:space="preserve">002</t>
    </r>
    <r>
      <rPr>
        <sz val="10"/>
        <rFont val="WenQuanYi Zen Hei"/>
        <family val="2"/>
      </rPr>
      <t xml:space="preserve">で発行し直し、</t>
    </r>
    <r>
      <rPr>
        <sz val="10"/>
        <rFont val="Meiryo UI"/>
        <family val="0"/>
        <charset val="1"/>
      </rPr>
      <t xml:space="preserve">81</t>
    </r>
    <r>
      <rPr>
        <sz val="10"/>
        <rFont val="WenQuanYi Zen Hei"/>
        <family val="2"/>
      </rPr>
      <t xml:space="preserve">・</t>
    </r>
    <r>
      <rPr>
        <sz val="10"/>
        <rFont val="Meiryo UI"/>
        <family val="0"/>
        <charset val="1"/>
      </rPr>
      <t xml:space="preserve">814 </t>
    </r>
    <r>
      <rPr>
        <sz val="10"/>
        <rFont val="WenQuanYi Zen Hei"/>
        <family val="2"/>
      </rPr>
      <t xml:space="preserve">を差し替え</t>
    </r>
  </si>
  <si>
    <r>
      <rPr>
        <sz val="10"/>
        <rFont val="Meiryo UI"/>
        <family val="0"/>
        <charset val="1"/>
      </rPr>
      <t xml:space="preserve">787 </t>
    </r>
    <r>
      <rPr>
        <sz val="10"/>
        <rFont val="WenQuanYi Zen Hei"/>
        <family val="2"/>
      </rPr>
      <t xml:space="preserve">の </t>
    </r>
    <r>
      <rPr>
        <sz val="10"/>
        <rFont val="Meiryo UI"/>
        <family val="0"/>
        <charset val="1"/>
      </rPr>
      <t xml:space="preserve">UZUZ </t>
    </r>
    <r>
      <rPr>
        <sz val="10"/>
        <rFont val="WenQuanYi Zen Hei"/>
        <family val="2"/>
      </rPr>
      <t xml:space="preserve">をサイト</t>
    </r>
    <r>
      <rPr>
        <sz val="10"/>
        <rFont val="Meiryo UI"/>
        <family val="0"/>
        <charset val="1"/>
      </rPr>
      <t xml:space="preserve">002</t>
    </r>
    <r>
      <rPr>
        <sz val="10"/>
        <rFont val="WenQuanYi Zen Hei"/>
        <family val="2"/>
      </rPr>
      <t xml:space="preserve">で発行し直して差し替え</t>
    </r>
  </si>
  <si>
    <r>
      <rPr>
        <sz val="10"/>
        <rFont val="Meiryo UI"/>
        <family val="0"/>
        <charset val="1"/>
      </rPr>
      <t xml:space="preserve">81 </t>
    </r>
    <r>
      <rPr>
        <sz val="10"/>
        <rFont val="WenQuanYi Zen Hei"/>
        <family val="2"/>
      </rPr>
      <t xml:space="preserve">の検索広告の</t>
    </r>
    <r>
      <rPr>
        <sz val="10"/>
        <rFont val="Meiryo UI"/>
        <family val="0"/>
        <charset val="1"/>
      </rPr>
      <t xml:space="preserve">URL</t>
    </r>
    <r>
      <rPr>
        <sz val="10"/>
        <rFont val="WenQuanYi Zen Hei"/>
        <family val="2"/>
      </rPr>
      <t xml:space="preserve">（</t>
    </r>
    <r>
      <rPr>
        <sz val="10"/>
        <rFont val="Meiryo UI"/>
        <family val="0"/>
        <charset val="1"/>
      </rPr>
      <t xml:space="preserve">Google</t>
    </r>
    <r>
      <rPr>
        <sz val="10"/>
        <rFont val="WenQuanYi Zen Hei"/>
        <family val="2"/>
      </rPr>
      <t xml:space="preserve">広告のパラメータ付き）を通常のリンクに直す</t>
    </r>
  </si>
  <si>
    <t xml:space="preserve">リンク台帳を更新</t>
  </si>
  <si>
    <r>
      <rPr>
        <sz val="10"/>
        <rFont val="WenQuanYi Zen Hei"/>
        <family val="2"/>
      </rPr>
      <t xml:space="preserve">学習系の案件を検索（</t>
    </r>
    <r>
      <rPr>
        <sz val="10"/>
        <rFont val="Meiryo UI"/>
        <family val="0"/>
        <charset val="1"/>
      </rPr>
      <t xml:space="preserve">A8</t>
    </r>
    <r>
      <rPr>
        <sz val="10"/>
        <rFont val="WenQuanYi Zen Hei"/>
        <family val="2"/>
      </rPr>
      <t xml:space="preserve">・もしも・</t>
    </r>
    <r>
      <rPr>
        <sz val="10"/>
        <rFont val="Meiryo UI"/>
        <family val="0"/>
        <charset val="1"/>
      </rPr>
      <t xml:space="preserve">VC</t>
    </r>
    <r>
      <rPr>
        <sz val="10"/>
        <rFont val="WenQuanYi Zen Hei"/>
        <family val="2"/>
      </rPr>
      <t xml:space="preserve">：情報処理／基本情報／応用情報／</t>
    </r>
    <r>
      <rPr>
        <sz val="10"/>
        <rFont val="Meiryo UI"/>
        <family val="0"/>
        <charset val="1"/>
      </rPr>
      <t xml:space="preserve">IT</t>
    </r>
    <r>
      <rPr>
        <sz val="10"/>
        <rFont val="WenQuanYi Zen Hei"/>
        <family val="2"/>
      </rPr>
      <t xml:space="preserve">パスポート／資格 講座／通信講座／</t>
    </r>
    <r>
      <rPr>
        <sz val="10"/>
        <rFont val="Meiryo UI"/>
        <family val="0"/>
        <charset val="1"/>
      </rPr>
      <t xml:space="preserve">Udemy</t>
    </r>
    <r>
      <rPr>
        <sz val="10"/>
        <rFont val="WenQuanYi Zen Hei"/>
        <family val="2"/>
      </rPr>
      <t xml:space="preserve">）→ 一覧を共有</t>
    </r>
  </si>
  <si>
    <t xml:space="preserve">学習系の案件の候補を決めて提携を申請</t>
  </si>
  <si>
    <r>
      <rPr>
        <sz val="10"/>
        <rFont val="WenQuanYi Zen Hei"/>
        <family val="2"/>
      </rPr>
      <t xml:space="preserve">パック</t>
    </r>
    <r>
      <rPr>
        <sz val="10"/>
        <rFont val="Meiryo UI"/>
        <family val="0"/>
        <charset val="1"/>
      </rPr>
      <t xml:space="preserve">C</t>
    </r>
    <r>
      <rPr>
        <sz val="10"/>
        <rFont val="WenQuanYi Zen Hei"/>
        <family val="2"/>
      </rPr>
      <t xml:space="preserve">・</t>
    </r>
    <r>
      <rPr>
        <sz val="10"/>
        <rFont val="Meiryo UI"/>
        <family val="0"/>
        <charset val="1"/>
      </rPr>
      <t xml:space="preserve">E</t>
    </r>
    <r>
      <rPr>
        <sz val="10"/>
        <rFont val="WenQuanYi Zen Hei"/>
        <family val="2"/>
      </rPr>
      <t xml:space="preserve">の「書類選考なし」「書類選考を挟まない」を外す（文言だけ。ピクセル用パーツは触らない）</t>
    </r>
  </si>
  <si>
    <r>
      <rPr>
        <sz val="10"/>
        <rFont val="Meiryo UI"/>
        <family val="0"/>
        <charset val="1"/>
      </rPr>
      <t xml:space="preserve">892</t>
    </r>
    <r>
      <rPr>
        <sz val="10"/>
        <rFont val="WenQuanYi Zen Hei"/>
        <family val="2"/>
      </rPr>
      <t xml:space="preserve">の「断られた」の見出しなどを確認 → </t>
    </r>
    <r>
      <rPr>
        <sz val="10"/>
        <rFont val="Meiryo UI"/>
        <family val="0"/>
        <charset val="1"/>
      </rPr>
      <t xml:space="preserve">JAC</t>
    </r>
    <r>
      <rPr>
        <sz val="10"/>
        <rFont val="WenQuanYi Zen Hei"/>
        <family val="2"/>
      </rPr>
      <t xml:space="preserve">の禁止事項に当たるか</t>
    </r>
    <r>
      <rPr>
        <sz val="10"/>
        <rFont val="Meiryo UI"/>
        <family val="0"/>
        <charset val="1"/>
      </rPr>
      <t xml:space="preserve">VC</t>
    </r>
    <r>
      <rPr>
        <sz val="10"/>
        <rFont val="WenQuanYi Zen Hei"/>
        <family val="2"/>
      </rPr>
      <t xml:space="preserve">に問い合わせ</t>
    </r>
  </si>
  <si>
    <r>
      <rPr>
        <sz val="10"/>
        <rFont val="WenQuanYi Zen Hei"/>
        <family val="2"/>
      </rPr>
      <t xml:space="preserve">もしもの </t>
    </r>
    <r>
      <rPr>
        <sz val="10"/>
        <rFont val="Meiryo UI"/>
        <family val="0"/>
        <charset val="1"/>
      </rPr>
      <t xml:space="preserve">type </t>
    </r>
    <r>
      <rPr>
        <sz val="10"/>
        <rFont val="WenQuanYi Zen Hei"/>
        <family val="2"/>
      </rPr>
      <t xml:space="preserve">のボタン（</t>
    </r>
    <r>
      <rPr>
        <sz val="10"/>
        <rFont val="Meiryo UI"/>
        <family val="0"/>
        <charset val="1"/>
      </rPr>
      <t xml:space="preserve">2915</t>
    </r>
    <r>
      <rPr>
        <sz val="10"/>
        <rFont val="WenQuanYi Zen Hei"/>
        <family val="2"/>
      </rPr>
      <t xml:space="preserve">・</t>
    </r>
    <r>
      <rPr>
        <sz val="10"/>
        <rFont val="Meiryo UI"/>
        <family val="0"/>
        <charset val="1"/>
      </rPr>
      <t xml:space="preserve">2949</t>
    </r>
    <r>
      <rPr>
        <sz val="10"/>
        <rFont val="WenQuanYi Zen Hei"/>
        <family val="2"/>
      </rPr>
      <t xml:space="preserve">）に表示計測用画像があるか確認</t>
    </r>
  </si>
  <si>
    <t xml:space="preserve">P3</t>
  </si>
  <si>
    <r>
      <rPr>
        <sz val="10"/>
        <rFont val="Meiryo UI"/>
        <family val="0"/>
        <charset val="1"/>
      </rPr>
      <t xml:space="preserve">1449 NW</t>
    </r>
    <r>
      <rPr>
        <sz val="10"/>
        <rFont val="WenQuanYi Zen Hei"/>
        <family val="2"/>
      </rPr>
      <t xml:space="preserve">の情報を更新（「</t>
    </r>
    <r>
      <rPr>
        <sz val="10"/>
        <rFont val="Meiryo UI"/>
        <family val="0"/>
        <charset val="1"/>
      </rPr>
      <t xml:space="preserve">9</t>
    </r>
    <r>
      <rPr>
        <sz val="10"/>
        <rFont val="WenQuanYi Zen Hei"/>
        <family val="2"/>
      </rPr>
      <t xml:space="preserve">月から始めた場合」、シラバス公開済み、経過措置の言い切り）</t>
    </r>
  </si>
  <si>
    <r>
      <rPr>
        <sz val="10"/>
        <rFont val="Meiryo UI"/>
        <family val="0"/>
        <charset val="1"/>
      </rPr>
      <t xml:space="preserve">1462 DB</t>
    </r>
    <r>
      <rPr>
        <sz val="10"/>
        <rFont val="WenQuanYi Zen Hei"/>
        <family val="2"/>
      </rPr>
      <t xml:space="preserve">の情報を更新（時点、シラバスの公開状況、後期試験の日程）</t>
    </r>
  </si>
  <si>
    <t xml:space="preserve">予備。審査が通った学習系の案件があれば、リンクを発行して一文の後に入れる</t>
  </si>
  <si>
    <r>
      <rPr>
        <sz val="10"/>
        <rFont val="Meiryo UI"/>
        <family val="0"/>
        <charset val="1"/>
      </rPr>
      <t xml:space="preserve">1827 PM</t>
    </r>
    <r>
      <rPr>
        <sz val="10"/>
        <rFont val="WenQuanYi Zen Hei"/>
        <family val="2"/>
      </rPr>
      <t xml:space="preserve">の更新（後期だけ・申込 </t>
    </r>
    <r>
      <rPr>
        <sz val="10"/>
        <rFont val="Meiryo UI"/>
        <family val="0"/>
        <charset val="1"/>
      </rPr>
      <t xml:space="preserve">1/27</t>
    </r>
    <r>
      <rPr>
        <sz val="10"/>
        <rFont val="WenQuanYi Zen Hei"/>
        <family val="2"/>
      </rPr>
      <t xml:space="preserve">〜</t>
    </r>
    <r>
      <rPr>
        <sz val="10"/>
        <rFont val="Meiryo UI"/>
        <family val="0"/>
        <charset val="1"/>
      </rPr>
      <t xml:space="preserve">2/16 </t>
    </r>
    <r>
      <rPr>
        <sz val="10"/>
        <rFont val="WenQuanYi Zen Hei"/>
        <family val="2"/>
      </rPr>
      <t xml:space="preserve">の日程、合格率の計算、時点、シラバス）</t>
    </r>
  </si>
  <si>
    <r>
      <rPr>
        <sz val="10"/>
        <rFont val="WenQuanYi Zen Hei"/>
        <family val="2"/>
      </rPr>
      <t xml:space="preserve">締切後の更新：</t>
    </r>
    <r>
      <rPr>
        <sz val="10"/>
        <rFont val="Meiryo UI"/>
        <family val="0"/>
        <charset val="1"/>
      </rPr>
      <t xml:space="preserve">1489</t>
    </r>
    <r>
      <rPr>
        <sz val="10"/>
        <rFont val="WenQuanYi Zen Hei"/>
        <family val="2"/>
      </rPr>
      <t xml:space="preserve">・</t>
    </r>
    <r>
      <rPr>
        <sz val="10"/>
        <rFont val="Meiryo UI"/>
        <family val="0"/>
        <charset val="1"/>
      </rPr>
      <t xml:space="preserve">1449</t>
    </r>
    <r>
      <rPr>
        <sz val="10"/>
        <rFont val="WenQuanYi Zen Hei"/>
        <family val="2"/>
      </rPr>
      <t xml:space="preserve">・</t>
    </r>
    <r>
      <rPr>
        <sz val="10"/>
        <rFont val="Meiryo UI"/>
        <family val="0"/>
        <charset val="1"/>
      </rPr>
      <t xml:space="preserve">1479 </t>
    </r>
    <r>
      <rPr>
        <sz val="10"/>
        <rFont val="WenQuanYi Zen Hei"/>
        <family val="2"/>
      </rPr>
      <t xml:space="preserve">の「申込は</t>
    </r>
    <r>
      <rPr>
        <sz val="10"/>
        <rFont val="Meiryo UI"/>
        <family val="0"/>
        <charset val="1"/>
      </rPr>
      <t xml:space="preserve">10/24</t>
    </r>
    <r>
      <rPr>
        <sz val="10"/>
        <rFont val="WenQuanYi Zen Hei"/>
        <family val="2"/>
      </rPr>
      <t xml:space="preserve">まで」→「申込は終了、試験は</t>
    </r>
    <r>
      <rPr>
        <sz val="10"/>
        <rFont val="Meiryo UI"/>
        <family val="0"/>
        <charset val="1"/>
      </rPr>
      <t xml:space="preserve">11/23</t>
    </r>
    <r>
      <rPr>
        <sz val="10"/>
        <rFont val="WenQuanYi Zen Hei"/>
        <family val="2"/>
      </rPr>
      <t xml:space="preserve">まで」＋新試験への案内</t>
    </r>
  </si>
  <si>
    <t xml:space="preserve">効果測定の週次の記録</t>
  </si>
  <si>
    <r>
      <rPr>
        <sz val="10"/>
        <rFont val="Meiryo UI"/>
        <family val="0"/>
        <charset val="1"/>
      </rPr>
      <t xml:space="preserve">1790 </t>
    </r>
    <r>
      <rPr>
        <sz val="10"/>
        <rFont val="WenQuanYi Zen Hei"/>
        <family val="2"/>
      </rPr>
      <t xml:space="preserve">の分野の対応表を直す</t>
    </r>
  </si>
  <si>
    <r>
      <rPr>
        <sz val="10"/>
        <rFont val="WenQuanYi Zen Hei"/>
        <family val="2"/>
      </rPr>
      <t xml:space="preserve">画像の </t>
    </r>
    <r>
      <rPr>
        <sz val="10"/>
        <rFont val="Meiryo UI"/>
        <family val="0"/>
        <charset val="1"/>
      </rPr>
      <t xml:space="preserve">alt</t>
    </r>
    <r>
      <rPr>
        <sz val="10"/>
        <rFont val="WenQuanYi Zen Hei"/>
        <family val="2"/>
      </rPr>
      <t xml:space="preserve">（</t>
    </r>
    <r>
      <rPr>
        <sz val="10"/>
        <rFont val="Meiryo UI"/>
        <family val="0"/>
        <charset val="1"/>
      </rPr>
      <t xml:space="preserve">1462</t>
    </r>
    <r>
      <rPr>
        <sz val="10"/>
        <rFont val="WenQuanYi Zen Hei"/>
        <family val="2"/>
      </rPr>
      <t xml:space="preserve">・</t>
    </r>
    <r>
      <rPr>
        <sz val="10"/>
        <rFont val="Meiryo UI"/>
        <family val="0"/>
        <charset val="1"/>
      </rPr>
      <t xml:space="preserve">1449</t>
    </r>
    <r>
      <rPr>
        <sz val="10"/>
        <rFont val="WenQuanYi Zen Hei"/>
        <family val="2"/>
      </rPr>
      <t xml:space="preserve">・</t>
    </r>
    <r>
      <rPr>
        <sz val="10"/>
        <rFont val="Meiryo UI"/>
        <family val="0"/>
        <charset val="1"/>
      </rPr>
      <t xml:space="preserve">1479</t>
    </r>
    <r>
      <rPr>
        <sz val="10"/>
        <rFont val="WenQuanYi Zen Hei"/>
        <family val="2"/>
      </rPr>
      <t xml:space="preserve">）</t>
    </r>
  </si>
  <si>
    <r>
      <rPr>
        <sz val="10"/>
        <rFont val="WenQuanYi Zen Hei"/>
        <family val="2"/>
      </rPr>
      <t xml:space="preserve">画像の </t>
    </r>
    <r>
      <rPr>
        <sz val="10"/>
        <rFont val="Meiryo UI"/>
        <family val="0"/>
        <charset val="1"/>
      </rPr>
      <t xml:space="preserve">alt</t>
    </r>
    <r>
      <rPr>
        <sz val="10"/>
        <rFont val="WenQuanYi Zen Hei"/>
        <family val="2"/>
      </rPr>
      <t xml:space="preserve">（</t>
    </r>
    <r>
      <rPr>
        <sz val="10"/>
        <rFont val="Meiryo UI"/>
        <family val="0"/>
        <charset val="1"/>
      </rPr>
      <t xml:space="preserve">1143</t>
    </r>
    <r>
      <rPr>
        <sz val="10"/>
        <rFont val="WenQuanYi Zen Hei"/>
        <family val="2"/>
      </rPr>
      <t xml:space="preserve">・</t>
    </r>
    <r>
      <rPr>
        <sz val="10"/>
        <rFont val="Meiryo UI"/>
        <family val="0"/>
        <charset val="1"/>
      </rPr>
      <t xml:space="preserve">1827</t>
    </r>
    <r>
      <rPr>
        <sz val="10"/>
        <rFont val="WenQuanYi Zen Hei"/>
        <family val="2"/>
      </rPr>
      <t xml:space="preserve">・</t>
    </r>
    <r>
      <rPr>
        <sz val="10"/>
        <rFont val="Meiryo UI"/>
        <family val="0"/>
        <charset val="1"/>
      </rPr>
      <t xml:space="preserve">1790</t>
    </r>
    <r>
      <rPr>
        <sz val="10"/>
        <rFont val="WenQuanYi Zen Hei"/>
        <family val="2"/>
      </rPr>
      <t xml:space="preserve">）</t>
    </r>
  </si>
  <si>
    <t xml:space="preserve">予備・学習系の案件の差し込み</t>
  </si>
  <si>
    <r>
      <rPr>
        <sz val="10"/>
        <rFont val="WenQuanYi Zen Hei"/>
        <family val="2"/>
      </rPr>
      <t xml:space="preserve">【</t>
    </r>
    <r>
      <rPr>
        <sz val="10"/>
        <rFont val="Meiryo UI"/>
        <family val="0"/>
        <charset val="1"/>
      </rPr>
      <t xml:space="preserve">2</t>
    </r>
    <r>
      <rPr>
        <sz val="10"/>
        <rFont val="WenQuanYi Zen Hei"/>
        <family val="2"/>
      </rPr>
      <t xml:space="preserve">週間の判定】</t>
    </r>
    <r>
      <rPr>
        <sz val="10"/>
        <rFont val="Meiryo UI"/>
        <family val="0"/>
        <charset val="1"/>
      </rPr>
      <t xml:space="preserve">10/18</t>
    </r>
    <r>
      <rPr>
        <sz val="10"/>
        <rFont val="WenQuanYi Zen Hei"/>
        <family val="2"/>
      </rPr>
      <t xml:space="preserve">〜</t>
    </r>
    <r>
      <rPr>
        <sz val="10"/>
        <rFont val="Meiryo UI"/>
        <family val="0"/>
        <charset val="1"/>
      </rPr>
      <t xml:space="preserve">10/31 </t>
    </r>
    <r>
      <rPr>
        <sz val="10"/>
        <rFont val="WenQuanYi Zen Hei"/>
        <family val="2"/>
      </rPr>
      <t xml:space="preserve">の日別レポートを記録・共有</t>
    </r>
  </si>
  <si>
    <r>
      <rPr>
        <sz val="10"/>
        <rFont val="WenQuanYi Zen Hei"/>
        <family val="2"/>
      </rPr>
      <t xml:space="preserve">判定の結果で手直し（①が</t>
    </r>
    <r>
      <rPr>
        <sz val="10"/>
        <rFont val="Meiryo UI"/>
        <family val="0"/>
        <charset val="1"/>
      </rPr>
      <t xml:space="preserve">80</t>
    </r>
    <r>
      <rPr>
        <sz val="10"/>
        <rFont val="WenQuanYi Zen Hei"/>
        <family val="2"/>
      </rPr>
      <t xml:space="preserve">未満ならソースの点検）</t>
    </r>
  </si>
  <si>
    <r>
      <rPr>
        <sz val="10"/>
        <rFont val="WenQuanYi Zen Hei"/>
        <family val="2"/>
      </rPr>
      <t xml:space="preserve">【</t>
    </r>
    <r>
      <rPr>
        <sz val="10"/>
        <rFont val="Meiryo UI"/>
        <family val="0"/>
        <charset val="1"/>
      </rPr>
      <t xml:space="preserve">1</t>
    </r>
    <r>
      <rPr>
        <sz val="10"/>
        <rFont val="WenQuanYi Zen Hei"/>
        <family val="2"/>
      </rPr>
      <t xml:space="preserve">か月の判定】</t>
    </r>
    <r>
      <rPr>
        <sz val="10"/>
        <rFont val="Meiryo UI"/>
        <family val="0"/>
        <charset val="1"/>
      </rPr>
      <t xml:space="preserve">10/18</t>
    </r>
    <r>
      <rPr>
        <sz val="10"/>
        <rFont val="WenQuanYi Zen Hei"/>
        <family val="2"/>
      </rPr>
      <t xml:space="preserve">〜</t>
    </r>
    <r>
      <rPr>
        <sz val="10"/>
        <rFont val="Meiryo UI"/>
        <family val="0"/>
        <charset val="1"/>
      </rPr>
      <t xml:space="preserve">11/16 </t>
    </r>
    <r>
      <rPr>
        <sz val="10"/>
        <rFont val="WenQuanYi Zen Hei"/>
        <family val="2"/>
      </rPr>
      <t xml:space="preserve">の日別レポートを記録・共有 → 次の手を決める</t>
    </r>
  </si>
  <si>
    <r>
      <rPr>
        <sz val="10"/>
        <rFont val="WenQuanYi Zen Hei"/>
        <family val="2"/>
      </rPr>
      <t xml:space="preserve">パック</t>
    </r>
    <r>
      <rPr>
        <sz val="10"/>
        <rFont val="Meiryo UI"/>
        <family val="0"/>
        <charset val="1"/>
      </rPr>
      <t xml:space="preserve">C</t>
    </r>
    <r>
      <rPr>
        <sz val="10"/>
        <rFont val="WenQuanYi Zen Hei"/>
        <family val="2"/>
      </rPr>
      <t xml:space="preserve">（</t>
    </r>
    <r>
      <rPr>
        <sz val="10"/>
        <rFont val="Meiryo UI"/>
        <family val="0"/>
        <charset val="1"/>
      </rPr>
      <t xml:space="preserve">2538/2539</t>
    </r>
    <r>
      <rPr>
        <sz val="10"/>
        <rFont val="WenQuanYi Zen Hei"/>
        <family val="2"/>
      </rPr>
      <t xml:space="preserve">）・</t>
    </r>
    <r>
      <rPr>
        <sz val="10"/>
        <rFont val="Meiryo UI"/>
        <family val="0"/>
        <charset val="1"/>
      </rPr>
      <t xml:space="preserve">E</t>
    </r>
    <r>
      <rPr>
        <sz val="10"/>
        <rFont val="WenQuanYi Zen Hei"/>
        <family val="2"/>
      </rPr>
      <t xml:space="preserve">（</t>
    </r>
    <r>
      <rPr>
        <sz val="10"/>
        <rFont val="Meiryo UI"/>
        <family val="0"/>
        <charset val="1"/>
      </rPr>
      <t xml:space="preserve">2660/2662</t>
    </r>
    <r>
      <rPr>
        <sz val="10"/>
        <rFont val="WenQuanYi Zen Hei"/>
        <family val="2"/>
      </rPr>
      <t xml:space="preserve">）の計測用画像を表の中へ移す（</t>
    </r>
    <r>
      <rPr>
        <sz val="10"/>
        <rFont val="Meiryo UI"/>
        <family val="0"/>
        <charset val="1"/>
      </rPr>
      <t xml:space="preserve">2111</t>
    </r>
    <r>
      <rPr>
        <sz val="10"/>
        <rFont val="WenQuanYi Zen Hei"/>
        <family val="2"/>
      </rPr>
      <t xml:space="preserve">と同じ直し方）</t>
    </r>
  </si>
  <si>
    <r>
      <rPr>
        <b val="true"/>
        <sz val="14"/>
        <rFont val="Meiryo UI"/>
        <family val="0"/>
        <charset val="1"/>
      </rPr>
      <t xml:space="preserve">STEP3</t>
    </r>
    <r>
      <rPr>
        <b val="true"/>
        <sz val="14"/>
        <rFont val="WenQuanYi Zen Hei"/>
        <family val="2"/>
      </rPr>
      <t xml:space="preserve">：記事別の配置（確定 </t>
    </r>
    <r>
      <rPr>
        <b val="true"/>
        <sz val="14"/>
        <rFont val="Meiryo UI"/>
        <family val="0"/>
        <charset val="1"/>
      </rPr>
      <t xml:space="preserve">2026-10-12</t>
    </r>
    <r>
      <rPr>
        <b val="true"/>
        <sz val="14"/>
        <rFont val="WenQuanYi Zen Hei"/>
        <family val="2"/>
      </rPr>
      <t xml:space="preserve">）</t>
    </r>
  </si>
  <si>
    <t xml:space="preserve">区分：削除＝今あるものを消す／置く＝新しく置く／残す＝位置はそのまま。「一文」は表やリンクの直前に入れる段落（体験談は含まない）。</t>
  </si>
  <si>
    <t xml:space="preserve">記事</t>
  </si>
  <si>
    <t xml:space="preserve">月間クリック</t>
  </si>
  <si>
    <t xml:space="preserve">区分</t>
  </si>
  <si>
    <t xml:space="preserve">位置</t>
  </si>
  <si>
    <t xml:space="preserve">案件</t>
  </si>
  <si>
    <t xml:space="preserve">形式</t>
  </si>
  <si>
    <t xml:space="preserve">添える一文</t>
  </si>
  <si>
    <t xml:space="preserve">済</t>
  </si>
  <si>
    <t xml:space="preserve">979</t>
  </si>
  <si>
    <t xml:space="preserve">削除</t>
  </si>
  <si>
    <r>
      <rPr>
        <sz val="10"/>
        <rFont val="WenQuanYi Zen Hei"/>
        <family val="2"/>
      </rPr>
      <t xml:space="preserve">導入の吹き出し「</t>
    </r>
    <r>
      <rPr>
        <sz val="10"/>
        <rFont val="Meiryo UI"/>
        <family val="0"/>
        <charset val="1"/>
      </rPr>
      <t xml:space="preserve">IT</t>
    </r>
    <r>
      <rPr>
        <sz val="10"/>
        <rFont val="WenQuanYi Zen Hei"/>
        <family val="2"/>
      </rPr>
      <t xml:space="preserve">転職で失敗したくない方へ…」と</t>
    </r>
    <r>
      <rPr>
        <sz val="10"/>
        <rFont val="Meiryo UI"/>
        <family val="0"/>
        <charset val="1"/>
      </rPr>
      <t xml:space="preserve">[2111]①</t>
    </r>
  </si>
  <si>
    <t xml:space="preserve">置く</t>
  </si>
  <si>
    <r>
      <rPr>
        <sz val="10"/>
        <rFont val="Meiryo UI"/>
        <family val="0"/>
        <charset val="1"/>
      </rPr>
      <t xml:space="preserve">H3</t>
    </r>
    <r>
      <rPr>
        <sz val="10"/>
        <rFont val="WenQuanYi Zen Hei"/>
        <family val="2"/>
      </rPr>
      <t xml:space="preserve">「【重要】富士通は中途入社のほうが年収が高い」の採用のウラ側メモの直後</t>
    </r>
  </si>
  <si>
    <r>
      <rPr>
        <sz val="10"/>
        <rFont val="Meiryo UI"/>
        <family val="0"/>
        <charset val="1"/>
      </rPr>
      <t xml:space="preserve">JAC</t>
    </r>
    <r>
      <rPr>
        <sz val="10"/>
        <rFont val="WenQuanYi Zen Hei"/>
        <family val="2"/>
      </rPr>
      <t xml:space="preserve">＋レバテックダイレクト</t>
    </r>
  </si>
  <si>
    <r>
      <rPr>
        <sz val="10"/>
        <rFont val="WenQuanYi Zen Hei"/>
        <family val="2"/>
      </rPr>
      <t xml:space="preserve">パック</t>
    </r>
    <r>
      <rPr>
        <sz val="10"/>
        <rFont val="Meiryo UI"/>
        <family val="0"/>
        <charset val="1"/>
      </rPr>
      <t xml:space="preserve">J</t>
    </r>
  </si>
  <si>
    <r>
      <rPr>
        <sz val="10"/>
        <rFont val="Meiryo UI"/>
        <family val="0"/>
        <charset val="1"/>
      </rPr>
      <t xml:space="preserve">Level</t>
    </r>
    <r>
      <rPr>
        <sz val="10"/>
        <rFont val="WenQuanYi Zen Hei"/>
        <family val="2"/>
      </rPr>
      <t xml:space="preserve">や</t>
    </r>
    <r>
      <rPr>
        <sz val="10"/>
        <rFont val="Meiryo UI"/>
        <family val="0"/>
        <charset val="1"/>
      </rPr>
      <t xml:space="preserve">SPIRIT</t>
    </r>
    <r>
      <rPr>
        <sz val="10"/>
        <rFont val="WenQuanYi Zen Hei"/>
        <family val="2"/>
      </rPr>
      <t xml:space="preserve">の確認を、自分から切り出しにくいと感じる方は、エージェントに確認を任せる方法があります。管理・専門職の転職に強い</t>
    </r>
    <r>
      <rPr>
        <sz val="10"/>
        <rFont val="Meiryo UI"/>
        <family val="0"/>
        <charset val="1"/>
      </rPr>
      <t xml:space="preserve">JAC</t>
    </r>
    <r>
      <rPr>
        <sz val="10"/>
        <rFont val="WenQuanYi Zen Hei"/>
        <family val="2"/>
      </rPr>
      <t xml:space="preserve">と、エンジニアの方なら企業から直接スカウトが届くレバテックダイレクトを比べてみてください。</t>
    </r>
  </si>
  <si>
    <r>
      <rPr>
        <sz val="10"/>
        <rFont val="Meiryo UI"/>
        <family val="0"/>
        <charset val="1"/>
      </rPr>
      <t xml:space="preserve">H2</t>
    </r>
    <r>
      <rPr>
        <sz val="10"/>
        <rFont val="WenQuanYi Zen Hei"/>
        <family val="2"/>
      </rPr>
      <t xml:space="preserve">「課長・部長は何レベル？」最後の採用のウラ側メモの直後（今の</t>
    </r>
    <r>
      <rPr>
        <sz val="10"/>
        <rFont val="Meiryo UI"/>
        <family val="0"/>
        <charset val="1"/>
      </rPr>
      <t xml:space="preserve">[2111]②</t>
    </r>
    <r>
      <rPr>
        <sz val="10"/>
        <rFont val="WenQuanYi Zen Hei"/>
        <family val="2"/>
      </rPr>
      <t xml:space="preserve">の位置。表は消す）</t>
    </r>
  </si>
  <si>
    <t xml:space="preserve">JAC</t>
  </si>
  <si>
    <t xml:space="preserve">テキストリンク</t>
  </si>
  <si>
    <r>
      <rPr>
        <sz val="10"/>
        <rFont val="WenQuanYi Zen Hei"/>
        <family val="2"/>
      </rPr>
      <t xml:space="preserve">ポジションの等級をエージェント経由で確認したい方は、【</t>
    </r>
    <r>
      <rPr>
        <sz val="10"/>
        <rFont val="Meiryo UI"/>
        <family val="0"/>
        <charset val="1"/>
      </rPr>
      <t xml:space="preserve">JAC</t>
    </r>
    <r>
      <rPr>
        <sz val="10"/>
        <rFont val="WenQuanYi Zen Hei"/>
        <family val="2"/>
      </rPr>
      <t xml:space="preserve">リクルートメント】に相談できます。年収</t>
    </r>
    <r>
      <rPr>
        <sz val="10"/>
        <rFont val="Meiryo UI"/>
        <family val="0"/>
        <charset val="1"/>
      </rPr>
      <t xml:space="preserve">600</t>
    </r>
    <r>
      <rPr>
        <sz val="10"/>
        <rFont val="WenQuanYi Zen Hei"/>
        <family val="2"/>
      </rPr>
      <t xml:space="preserve">万円以上の方が中心のサービスです。</t>
    </r>
  </si>
  <si>
    <r>
      <rPr>
        <sz val="10"/>
        <rFont val="Meiryo UI"/>
        <family val="0"/>
        <charset val="1"/>
      </rPr>
      <t xml:space="preserve">H2</t>
    </r>
    <r>
      <rPr>
        <sz val="10"/>
        <rFont val="WenQuanYi Zen Hei"/>
        <family val="2"/>
      </rPr>
      <t xml:space="preserve">「まとめ」の吹き出し「</t>
    </r>
    <r>
      <rPr>
        <sz val="10"/>
        <rFont val="Meiryo UI"/>
        <family val="0"/>
        <charset val="1"/>
      </rPr>
      <t xml:space="preserve">IT</t>
    </r>
    <r>
      <rPr>
        <sz val="10"/>
        <rFont val="WenQuanYi Zen Hei"/>
        <family val="2"/>
      </rPr>
      <t xml:space="preserve">転職を成功させるためには…」を置き換え（</t>
    </r>
    <r>
      <rPr>
        <sz val="10"/>
        <rFont val="Meiryo UI"/>
        <family val="0"/>
        <charset val="1"/>
      </rPr>
      <t xml:space="preserve">[2111]③</t>
    </r>
    <r>
      <rPr>
        <sz val="10"/>
        <rFont val="WenQuanYi Zen Hei"/>
        <family val="2"/>
      </rPr>
      <t xml:space="preserve">は消す）</t>
    </r>
  </si>
  <si>
    <r>
      <rPr>
        <sz val="10"/>
        <rFont val="Meiryo UI"/>
        <family val="0"/>
        <charset val="1"/>
      </rPr>
      <t xml:space="preserve">JAC</t>
    </r>
    <r>
      <rPr>
        <sz val="10"/>
        <rFont val="WenQuanYi Zen Hei"/>
        <family val="2"/>
      </rPr>
      <t xml:space="preserve">・レバテックダイレクト</t>
    </r>
  </si>
  <si>
    <r>
      <rPr>
        <sz val="10"/>
        <rFont val="WenQuanYi Zen Hei"/>
        <family val="2"/>
      </rPr>
      <t xml:space="preserve">テキストリンク</t>
    </r>
    <r>
      <rPr>
        <sz val="10"/>
        <rFont val="Meiryo UI"/>
        <family val="0"/>
        <charset val="1"/>
      </rPr>
      <t xml:space="preserve">2</t>
    </r>
    <r>
      <rPr>
        <sz val="10"/>
        <rFont val="WenQuanYi Zen Hei"/>
        <family val="2"/>
      </rPr>
      <t xml:space="preserve">行</t>
    </r>
  </si>
  <si>
    <r>
      <rPr>
        <sz val="10"/>
        <rFont val="WenQuanYi Zen Hei"/>
        <family val="2"/>
      </rPr>
      <t xml:space="preserve">富士通への応募を考えている方は、まず</t>
    </r>
    <r>
      <rPr>
        <sz val="10"/>
        <rFont val="Meiryo UI"/>
        <family val="0"/>
        <charset val="1"/>
      </rPr>
      <t xml:space="preserve">Level</t>
    </r>
    <r>
      <rPr>
        <sz val="10"/>
        <rFont val="WenQuanYi Zen Hei"/>
        <family val="2"/>
      </rPr>
      <t xml:space="preserve">と</t>
    </r>
    <r>
      <rPr>
        <sz val="10"/>
        <rFont val="Meiryo UI"/>
        <family val="0"/>
        <charset val="1"/>
      </rPr>
      <t xml:space="preserve">SPIRIT</t>
    </r>
    <r>
      <rPr>
        <sz val="10"/>
        <rFont val="WenQuanYi Zen Hei"/>
        <family val="2"/>
      </rPr>
      <t xml:space="preserve">の確認から。オファー面談の前に、外の評価も知っておくと判断しやすくなります。＋箇条書き「管理・専門職、年収</t>
    </r>
    <r>
      <rPr>
        <sz val="10"/>
        <rFont val="Meiryo UI"/>
        <family val="0"/>
        <charset val="1"/>
      </rPr>
      <t xml:space="preserve">600</t>
    </r>
    <r>
      <rPr>
        <sz val="10"/>
        <rFont val="WenQuanYi Zen Hei"/>
        <family val="2"/>
      </rPr>
      <t xml:space="preserve">万円以上の方 → 【</t>
    </r>
    <r>
      <rPr>
        <sz val="10"/>
        <rFont val="Meiryo UI"/>
        <family val="0"/>
        <charset val="1"/>
      </rPr>
      <t xml:space="preserve">JAC</t>
    </r>
    <r>
      <rPr>
        <sz val="10"/>
        <rFont val="WenQuanYi Zen Hei"/>
        <family val="2"/>
      </rPr>
      <t xml:space="preserve">】」「エンジニア・クリエイターの実務経験がある方 → 【レバテックダイレクト】」</t>
    </r>
  </si>
  <si>
    <t xml:space="preserve">[2112]</t>
  </si>
  <si>
    <t xml:space="preserve">664</t>
  </si>
  <si>
    <r>
      <rPr>
        <sz val="10"/>
        <rFont val="Meiryo UI"/>
        <family val="0"/>
        <charset val="1"/>
      </rPr>
      <t xml:space="preserve">H3</t>
    </r>
    <r>
      <rPr>
        <sz val="10"/>
        <rFont val="WenQuanYi Zen Hei"/>
        <family val="2"/>
      </rPr>
      <t xml:space="preserve">「『応用情報がなくなるから、今のうちに取るべき』は本当か」の番号付きリストの直後</t>
    </r>
  </si>
  <si>
    <t xml:space="preserve">学習系（案件決定後）</t>
  </si>
  <si>
    <t xml:space="preserve">一文のみ</t>
  </si>
  <si>
    <r>
      <rPr>
        <sz val="10"/>
        <rFont val="Meiryo UI"/>
        <family val="0"/>
        <charset val="1"/>
      </rPr>
      <t xml:space="preserve">2026</t>
    </r>
    <r>
      <rPr>
        <sz val="10"/>
        <rFont val="WenQuanYi Zen Hei"/>
        <family val="2"/>
      </rPr>
      <t xml:space="preserve">年度の試験は、範囲も出題形式も変わりません。今の過去問と参考書で、そのまま準備できます。</t>
    </r>
  </si>
  <si>
    <r>
      <rPr>
        <sz val="10"/>
        <rFont val="Meiryo UI"/>
        <family val="0"/>
        <charset val="1"/>
      </rPr>
      <t xml:space="preserve">H3</t>
    </r>
    <r>
      <rPr>
        <sz val="10"/>
        <rFont val="WenQuanYi Zen Hei"/>
        <family val="2"/>
      </rPr>
      <t xml:space="preserve">「最後の</t>
    </r>
    <r>
      <rPr>
        <sz val="10"/>
        <rFont val="Meiryo UI"/>
        <family val="0"/>
        <charset val="1"/>
      </rPr>
      <t xml:space="preserve">2</t>
    </r>
    <r>
      <rPr>
        <sz val="10"/>
        <rFont val="WenQuanYi Zen Hei"/>
        <family val="2"/>
      </rPr>
      <t xml:space="preserve">回は</t>
    </r>
    <r>
      <rPr>
        <sz val="10"/>
        <rFont val="Meiryo UI"/>
        <family val="0"/>
        <charset val="1"/>
      </rPr>
      <t xml:space="preserve">CBT</t>
    </r>
    <r>
      <rPr>
        <sz val="10"/>
        <rFont val="WenQuanYi Zen Hei"/>
        <family val="2"/>
      </rPr>
      <t xml:space="preserve">方式…」の「これまでの過去問や参考書が、そのまま使えます。」の直後</t>
    </r>
  </si>
  <si>
    <t xml:space="preserve">（案件が決まったらリンクだけ）</t>
  </si>
  <si>
    <t xml:space="preserve">残す</t>
  </si>
  <si>
    <r>
      <rPr>
        <sz val="10"/>
        <rFont val="Meiryo UI"/>
        <family val="0"/>
        <charset val="1"/>
      </rPr>
      <t xml:space="preserve">H2</t>
    </r>
    <r>
      <rPr>
        <sz val="10"/>
        <rFont val="WenQuanYi Zen Hei"/>
        <family val="2"/>
      </rPr>
      <t xml:space="preserve">「まとめ」の後の</t>
    </r>
    <r>
      <rPr>
        <sz val="10"/>
        <rFont val="Meiryo UI"/>
        <family val="0"/>
        <charset val="1"/>
      </rPr>
      <t xml:space="preserve">[2111]</t>
    </r>
    <r>
      <rPr>
        <sz val="10"/>
        <rFont val="WenQuanYi Zen Hei"/>
        <family val="2"/>
      </rPr>
      <t xml:space="preserve">（直前に一文を足す）</t>
    </r>
  </si>
  <si>
    <r>
      <rPr>
        <sz val="10"/>
        <rFont val="WenQuanYi Zen Hei"/>
        <family val="2"/>
      </rPr>
      <t xml:space="preserve">レバテックダイレクト＋</t>
    </r>
    <r>
      <rPr>
        <sz val="10"/>
        <rFont val="Meiryo UI"/>
        <family val="0"/>
        <charset val="1"/>
      </rPr>
      <t xml:space="preserve">TechGo</t>
    </r>
  </si>
  <si>
    <r>
      <rPr>
        <sz val="10"/>
        <rFont val="WenQuanYi Zen Hei"/>
        <family val="2"/>
      </rPr>
      <t xml:space="preserve">パック</t>
    </r>
    <r>
      <rPr>
        <sz val="10"/>
        <rFont val="Meiryo UI"/>
        <family val="0"/>
        <charset val="1"/>
      </rPr>
      <t xml:space="preserve">A</t>
    </r>
    <r>
      <rPr>
        <sz val="10"/>
        <rFont val="WenQuanYi Zen Hei"/>
        <family val="2"/>
      </rPr>
      <t xml:space="preserve">（改）</t>
    </r>
  </si>
  <si>
    <t xml:space="preserve">応用情報の合格と今の実務経験が、ほかの会社でどう評価されるかを知りたいエンジニアの方は、企業から届くスカウトで確かめられます。</t>
  </si>
  <si>
    <t xml:space="preserve">1462</t>
  </si>
  <si>
    <r>
      <rPr>
        <sz val="10"/>
        <rFont val="WenQuanYi Zen Hei"/>
        <family val="2"/>
      </rPr>
      <t xml:space="preserve">囲み「この記事で分かること」の後の</t>
    </r>
    <r>
      <rPr>
        <sz val="10"/>
        <rFont val="Meiryo UI"/>
        <family val="0"/>
        <charset val="1"/>
      </rPr>
      <t xml:space="preserve">[2111]①</t>
    </r>
  </si>
  <si>
    <r>
      <rPr>
        <sz val="10"/>
        <rFont val="Meiryo UI"/>
        <family val="0"/>
        <charset val="1"/>
      </rPr>
      <t xml:space="preserve">H3</t>
    </r>
    <r>
      <rPr>
        <sz val="10"/>
        <rFont val="WenQuanYi Zen Hei"/>
        <family val="2"/>
      </rPr>
      <t xml:space="preserve">「新試験…は転職で武器になるか？」のメモの直後の</t>
    </r>
    <r>
      <rPr>
        <sz val="10"/>
        <rFont val="Meiryo UI"/>
        <family val="0"/>
        <charset val="1"/>
      </rPr>
      <t xml:space="preserve">[2111]②</t>
    </r>
    <r>
      <rPr>
        <sz val="10"/>
        <rFont val="WenQuanYi Zen Hei"/>
        <family val="2"/>
      </rPr>
      <t xml:space="preserve">（直前に一文）</t>
    </r>
  </si>
  <si>
    <r>
      <rPr>
        <sz val="10"/>
        <rFont val="Meiryo UI"/>
        <family val="0"/>
        <charset val="1"/>
      </rPr>
      <t xml:space="preserve">DB</t>
    </r>
    <r>
      <rPr>
        <sz val="10"/>
        <rFont val="WenQuanYi Zen Hei"/>
        <family val="2"/>
      </rPr>
      <t xml:space="preserve">の設計やチューニングの経験が、今の職場の外でどう評価されるかは、企業から届くスカウトで確かめられます。</t>
    </r>
  </si>
  <si>
    <r>
      <rPr>
        <sz val="10"/>
        <rFont val="Meiryo UI"/>
        <family val="0"/>
        <charset val="1"/>
      </rPr>
      <t xml:space="preserve">H3</t>
    </r>
    <r>
      <rPr>
        <sz val="10"/>
        <rFont val="WenQuanYi Zen Hei"/>
        <family val="2"/>
      </rPr>
      <t xml:space="preserve">「</t>
    </r>
    <r>
      <rPr>
        <sz val="10"/>
        <rFont val="Meiryo UI"/>
        <family val="0"/>
        <charset val="1"/>
      </rPr>
      <t xml:space="preserve">2026</t>
    </r>
    <r>
      <rPr>
        <sz val="10"/>
        <rFont val="WenQuanYi Zen Hei"/>
        <family val="2"/>
      </rPr>
      <t xml:space="preserve">年度の受験スケジュール」の「今から勉強を始めても十分間に合います。」の直後</t>
    </r>
  </si>
  <si>
    <r>
      <rPr>
        <sz val="10"/>
        <rFont val="Meiryo UI"/>
        <family val="0"/>
        <charset val="1"/>
      </rPr>
      <t xml:space="preserve">2026</t>
    </r>
    <r>
      <rPr>
        <sz val="10"/>
        <rFont val="WenQuanYi Zen Hei"/>
        <family val="2"/>
      </rPr>
      <t xml:space="preserve">年度のデータベーススペシャリスト試験は、</t>
    </r>
    <r>
      <rPr>
        <sz val="10"/>
        <rFont val="Meiryo UI"/>
        <family val="0"/>
        <charset val="1"/>
      </rPr>
      <t xml:space="preserve">2027</t>
    </r>
    <r>
      <rPr>
        <sz val="10"/>
        <rFont val="WenQuanYi Zen Hei"/>
        <family val="2"/>
      </rPr>
      <t xml:space="preserve">年</t>
    </r>
    <r>
      <rPr>
        <sz val="10"/>
        <rFont val="Meiryo UI"/>
        <family val="0"/>
        <charset val="1"/>
      </rPr>
      <t xml:space="preserve">2</t>
    </r>
    <r>
      <rPr>
        <sz val="10"/>
        <rFont val="WenQuanYi Zen Hei"/>
        <family val="2"/>
      </rPr>
      <t xml:space="preserve">月頃の実施予定です。</t>
    </r>
  </si>
  <si>
    <r>
      <rPr>
        <sz val="10"/>
        <rFont val="WenQuanYi Zen Hei"/>
        <family val="2"/>
      </rPr>
      <t xml:space="preserve">記事の最後の</t>
    </r>
    <r>
      <rPr>
        <sz val="10"/>
        <rFont val="Meiryo UI"/>
        <family val="0"/>
        <charset val="1"/>
      </rPr>
      <t xml:space="preserve">[2111]③</t>
    </r>
    <r>
      <rPr>
        <sz val="10"/>
        <rFont val="WenQuanYi Zen Hei"/>
        <family val="2"/>
      </rPr>
      <t xml:space="preserve">・</t>
    </r>
    <r>
      <rPr>
        <sz val="10"/>
        <rFont val="Meiryo UI"/>
        <family val="0"/>
        <charset val="1"/>
      </rPr>
      <t xml:space="preserve">[2112]</t>
    </r>
  </si>
  <si>
    <t xml:space="preserve">1489</t>
  </si>
  <si>
    <r>
      <rPr>
        <sz val="10"/>
        <rFont val="Meiryo UI"/>
        <family val="0"/>
        <charset val="1"/>
      </rPr>
      <t xml:space="preserve">H3</t>
    </r>
    <r>
      <rPr>
        <sz val="10"/>
        <rFont val="WenQuanYi Zen Hei"/>
        <family val="2"/>
      </rPr>
      <t xml:space="preserve">「新試験『マネジメント領域』の合格は…」の後の誘導文「</t>
    </r>
    <r>
      <rPr>
        <sz val="10"/>
        <rFont val="Meiryo UI"/>
        <family val="0"/>
        <charset val="1"/>
      </rPr>
      <t xml:space="preserve">ST</t>
    </r>
    <r>
      <rPr>
        <sz val="10"/>
        <rFont val="WenQuanYi Zen Hei"/>
        <family val="2"/>
      </rPr>
      <t xml:space="preserve">の勉強で身につけたことや…」と</t>
    </r>
    <r>
      <rPr>
        <sz val="10"/>
        <rFont val="Meiryo UI"/>
        <family val="0"/>
        <charset val="1"/>
      </rPr>
      <t xml:space="preserve">[2111]①</t>
    </r>
  </si>
  <si>
    <r>
      <rPr>
        <sz val="10"/>
        <rFont val="Meiryo UI"/>
        <family val="0"/>
        <charset val="1"/>
      </rPr>
      <t xml:space="preserve">H3</t>
    </r>
    <r>
      <rPr>
        <sz val="10"/>
        <rFont val="WenQuanYi Zen Hei"/>
        <family val="2"/>
      </rPr>
      <t xml:space="preserve">「人事から見た答え…」の採用のウラ側メモの後（今の</t>
    </r>
    <r>
      <rPr>
        <sz val="10"/>
        <rFont val="Meiryo UI"/>
        <family val="0"/>
        <charset val="1"/>
      </rPr>
      <t xml:space="preserve">[2111]②</t>
    </r>
    <r>
      <rPr>
        <sz val="10"/>
        <rFont val="WenQuanYi Zen Hei"/>
        <family val="2"/>
      </rPr>
      <t xml:space="preserve">の位置。誘導文を差し替え）</t>
    </r>
  </si>
  <si>
    <r>
      <rPr>
        <sz val="10"/>
        <rFont val="Meiryo UI"/>
        <family val="0"/>
        <charset val="1"/>
      </rPr>
      <t xml:space="preserve">ST</t>
    </r>
    <r>
      <rPr>
        <sz val="10"/>
        <rFont val="WenQuanYi Zen Hei"/>
        <family val="2"/>
      </rPr>
      <t xml:space="preserve">の出題範囲と重なる仕事（</t>
    </r>
    <r>
      <rPr>
        <sz val="10"/>
        <rFont val="Meiryo UI"/>
        <family val="0"/>
        <charset val="1"/>
      </rPr>
      <t xml:space="preserve">IT</t>
    </r>
    <r>
      <rPr>
        <sz val="10"/>
        <rFont val="WenQuanYi Zen Hei"/>
        <family val="2"/>
      </rPr>
      <t xml:space="preserve">企画・</t>
    </r>
    <r>
      <rPr>
        <sz val="10"/>
        <rFont val="Meiryo UI"/>
        <family val="0"/>
        <charset val="1"/>
      </rPr>
      <t xml:space="preserve">IT</t>
    </r>
    <r>
      <rPr>
        <sz val="10"/>
        <rFont val="WenQuanYi Zen Hei"/>
        <family val="2"/>
      </rPr>
      <t xml:space="preserve">コンサル・上流工程）の求人を見てみると、合格の使いどころが具体的になります。管理・専門職に強い</t>
    </r>
    <r>
      <rPr>
        <sz val="10"/>
        <rFont val="Meiryo UI"/>
        <family val="0"/>
        <charset val="1"/>
      </rPr>
      <t xml:space="preserve">JAC</t>
    </r>
    <r>
      <rPr>
        <sz val="10"/>
        <rFont val="WenQuanYi Zen Hei"/>
        <family val="2"/>
      </rPr>
      <t xml:space="preserve">と、エンジニアの実務経験がある方向けのレバテックダイレクトを比べてみてください。</t>
    </r>
  </si>
  <si>
    <r>
      <rPr>
        <sz val="10"/>
        <rFont val="WenQuanYi Zen Hei"/>
        <family val="2"/>
      </rPr>
      <t xml:space="preserve">よくある質問の後の</t>
    </r>
    <r>
      <rPr>
        <sz val="10"/>
        <rFont val="Meiryo UI"/>
        <family val="0"/>
        <charset val="1"/>
      </rPr>
      <t xml:space="preserve">[2112]</t>
    </r>
  </si>
  <si>
    <t xml:space="preserve">1449</t>
  </si>
  <si>
    <r>
      <rPr>
        <sz val="10"/>
        <rFont val="Meiryo UI"/>
        <family val="0"/>
        <charset val="1"/>
      </rPr>
      <t xml:space="preserve">H3</t>
    </r>
    <r>
      <rPr>
        <sz val="10"/>
        <rFont val="WenQuanYi Zen Hei"/>
        <family val="2"/>
      </rPr>
      <t xml:space="preserve">「新試験…は転職で武器になるか？」の吹き出しの後の</t>
    </r>
    <r>
      <rPr>
        <sz val="10"/>
        <rFont val="Meiryo UI"/>
        <family val="0"/>
        <charset val="1"/>
      </rPr>
      <t xml:space="preserve">[2111]①</t>
    </r>
  </si>
  <si>
    <r>
      <rPr>
        <sz val="10"/>
        <rFont val="Meiryo UI"/>
        <family val="0"/>
        <charset val="1"/>
      </rPr>
      <t xml:space="preserve">H3</t>
    </r>
    <r>
      <rPr>
        <sz val="10"/>
        <rFont val="WenQuanYi Zen Hei"/>
        <family val="2"/>
      </rPr>
      <t xml:space="preserve">「ただし『資格名だけ』で評価が上がる時代は終わりつつある」の吹き出しの直後</t>
    </r>
  </si>
  <si>
    <t xml:space="preserve">ネットワークの設計・構築の実務経験がある方は、その経験にどんな企業から声がかかるかを、スカウトで確かめられます。</t>
  </si>
  <si>
    <r>
      <rPr>
        <sz val="10"/>
        <rFont val="WenQuanYi Zen Hei"/>
        <family val="2"/>
      </rPr>
      <t xml:space="preserve">記事の最後の</t>
    </r>
    <r>
      <rPr>
        <sz val="10"/>
        <rFont val="Meiryo UI"/>
        <family val="0"/>
        <charset val="1"/>
      </rPr>
      <t xml:space="preserve">[2111]②</t>
    </r>
    <r>
      <rPr>
        <sz val="10"/>
        <rFont val="WenQuanYi Zen Hei"/>
        <family val="2"/>
      </rPr>
      <t xml:space="preserve">・</t>
    </r>
    <r>
      <rPr>
        <sz val="10"/>
        <rFont val="Meiryo UI"/>
        <family val="0"/>
        <charset val="1"/>
      </rPr>
      <t xml:space="preserve">[2112]</t>
    </r>
  </si>
  <si>
    <t xml:space="preserve">1143</t>
  </si>
  <si>
    <r>
      <rPr>
        <sz val="10"/>
        <rFont val="Meiryo UI"/>
        <family val="0"/>
        <charset val="1"/>
      </rPr>
      <t xml:space="preserve">H3</t>
    </r>
    <r>
      <rPr>
        <sz val="10"/>
        <rFont val="WenQuanYi Zen Hei"/>
        <family val="2"/>
      </rPr>
      <t xml:space="preserve">「『オンプレ経験＋</t>
    </r>
    <r>
      <rPr>
        <sz val="10"/>
        <rFont val="Meiryo UI"/>
        <family val="0"/>
        <charset val="1"/>
      </rPr>
      <t xml:space="preserve">SAP</t>
    </r>
    <r>
      <rPr>
        <sz val="10"/>
        <rFont val="WenQuanYi Zen Hei"/>
        <family val="2"/>
      </rPr>
      <t xml:space="preserve">』…」の</t>
    </r>
    <r>
      <rPr>
        <sz val="10"/>
        <rFont val="Meiryo UI"/>
        <family val="0"/>
        <charset val="1"/>
      </rPr>
      <t xml:space="preserve">doda</t>
    </r>
    <r>
      <rPr>
        <sz val="10"/>
        <rFont val="WenQuanYi Zen Hei"/>
        <family val="2"/>
      </rPr>
      <t xml:space="preserve">の段落の後の</t>
    </r>
    <r>
      <rPr>
        <sz val="10"/>
        <rFont val="Meiryo UI"/>
        <family val="0"/>
        <charset val="1"/>
      </rPr>
      <t xml:space="preserve">[2111]①</t>
    </r>
  </si>
  <si>
    <r>
      <rPr>
        <sz val="10"/>
        <rFont val="Meiryo UI"/>
        <family val="0"/>
        <charset val="1"/>
      </rPr>
      <t xml:space="preserve">H3</t>
    </r>
    <r>
      <rPr>
        <sz val="10"/>
        <rFont val="WenQuanYi Zen Hei"/>
        <family val="2"/>
      </rPr>
      <t xml:space="preserve">「</t>
    </r>
    <r>
      <rPr>
        <sz val="10"/>
        <rFont val="Meiryo UI"/>
        <family val="0"/>
        <charset val="1"/>
      </rPr>
      <t xml:space="preserve">SAP</t>
    </r>
    <r>
      <rPr>
        <sz val="10"/>
        <rFont val="WenQuanYi Zen Hei"/>
        <family val="2"/>
      </rPr>
      <t xml:space="preserve">が開くキャリアパス…」の採用のウラ側メモの直後</t>
    </r>
  </si>
  <si>
    <r>
      <rPr>
        <sz val="10"/>
        <rFont val="Meiryo UI"/>
        <family val="0"/>
        <charset val="1"/>
      </rPr>
      <t xml:space="preserve">AWS</t>
    </r>
    <r>
      <rPr>
        <sz val="10"/>
        <rFont val="WenQuanYi Zen Hei"/>
        <family val="2"/>
      </rPr>
      <t xml:space="preserve">の設計・構築の経験がある方は、クラウドの経験にどんな企業から声がかかるかを、スカウトで確かめられます。</t>
    </r>
  </si>
  <si>
    <r>
      <rPr>
        <sz val="10"/>
        <rFont val="Meiryo UI"/>
        <family val="0"/>
        <charset val="1"/>
      </rPr>
      <t xml:space="preserve">H3</t>
    </r>
    <r>
      <rPr>
        <sz val="10"/>
        <rFont val="WenQuanYi Zen Hei"/>
        <family val="2"/>
      </rPr>
      <t xml:space="preserve">「おすすめの教材と学習ステップ」のステップ</t>
    </r>
    <r>
      <rPr>
        <sz val="10"/>
        <rFont val="Meiryo UI"/>
        <family val="0"/>
        <charset val="1"/>
      </rPr>
      <t xml:space="preserve">2</t>
    </r>
    <r>
      <rPr>
        <sz val="10"/>
        <rFont val="WenQuanYi Zen Hei"/>
        <family val="2"/>
      </rPr>
      <t xml:space="preserve">（</t>
    </r>
    <r>
      <rPr>
        <sz val="10"/>
        <rFont val="Meiryo UI"/>
        <family val="0"/>
        <charset val="1"/>
      </rPr>
      <t xml:space="preserve">Udemy</t>
    </r>
    <r>
      <rPr>
        <sz val="10"/>
        <rFont val="WenQuanYi Zen Hei"/>
        <family val="2"/>
      </rPr>
      <t xml:space="preserve">などの問題集）の段落の後</t>
    </r>
  </si>
  <si>
    <t xml:space="preserve">問題集で演習するときは、解説を読んで公式ドキュメントで確かめる使い方が効きます。</t>
  </si>
  <si>
    <t xml:space="preserve">1809</t>
  </si>
  <si>
    <r>
      <rPr>
        <sz val="10"/>
        <rFont val="WenQuanYi Zen Hei"/>
        <family val="2"/>
      </rPr>
      <t xml:space="preserve">冒頭の※注記の後の</t>
    </r>
    <r>
      <rPr>
        <sz val="10"/>
        <rFont val="Meiryo UI"/>
        <family val="0"/>
        <charset val="1"/>
      </rPr>
      <t xml:space="preserve">[2111]①</t>
    </r>
  </si>
  <si>
    <r>
      <rPr>
        <sz val="10"/>
        <rFont val="Meiryo UI"/>
        <family val="0"/>
        <charset val="1"/>
      </rPr>
      <t xml:space="preserve">H3</t>
    </r>
    <r>
      <rPr>
        <sz val="10"/>
        <rFont val="WenQuanYi Zen Hei"/>
        <family val="2"/>
      </rPr>
      <t xml:space="preserve">「シラバス案が出た今、できること」の箇条書きの直後</t>
    </r>
  </si>
  <si>
    <r>
      <rPr>
        <sz val="10"/>
        <rFont val="WenQuanYi Zen Hei"/>
        <family val="2"/>
      </rPr>
      <t xml:space="preserve">受ける領域を決めたら、</t>
    </r>
    <r>
      <rPr>
        <sz val="10"/>
        <rFont val="Meiryo UI"/>
        <family val="0"/>
        <charset val="1"/>
      </rPr>
      <t xml:space="preserve">IPA</t>
    </r>
    <r>
      <rPr>
        <sz val="10"/>
        <rFont val="WenQuanYi Zen Hei"/>
        <family val="2"/>
      </rPr>
      <t xml:space="preserve">のシラバス案と並行して、</t>
    </r>
    <r>
      <rPr>
        <sz val="10"/>
        <rFont val="Meiryo UI"/>
        <family val="0"/>
        <charset val="1"/>
      </rPr>
      <t xml:space="preserve">3</t>
    </r>
    <r>
      <rPr>
        <sz val="10"/>
        <rFont val="WenQuanYi Zen Hei"/>
        <family val="2"/>
      </rPr>
      <t xml:space="preserve">領域に共通の知識（デジタル戦略・</t>
    </r>
    <r>
      <rPr>
        <sz val="10"/>
        <rFont val="Meiryo UI"/>
        <family val="0"/>
        <charset val="1"/>
      </rPr>
      <t xml:space="preserve">AI</t>
    </r>
    <r>
      <rPr>
        <sz val="10"/>
        <rFont val="WenQuanYi Zen Hei"/>
        <family val="2"/>
      </rPr>
      <t xml:space="preserve">基礎・セキュリティ）から固めておくと進めやすくなります。</t>
    </r>
  </si>
  <si>
    <r>
      <rPr>
        <sz val="10"/>
        <rFont val="Meiryo UI"/>
        <family val="0"/>
        <charset val="1"/>
      </rPr>
      <t xml:space="preserve">H2</t>
    </r>
    <r>
      <rPr>
        <sz val="10"/>
        <rFont val="WenQuanYi Zen Hei"/>
        <family val="2"/>
      </rPr>
      <t xml:space="preserve">「まとめ」の後の</t>
    </r>
    <r>
      <rPr>
        <sz val="10"/>
        <rFont val="Meiryo UI"/>
        <family val="0"/>
        <charset val="1"/>
      </rPr>
      <t xml:space="preserve">[2111]②</t>
    </r>
    <r>
      <rPr>
        <sz val="10"/>
        <rFont val="WenQuanYi Zen Hei"/>
        <family val="2"/>
      </rPr>
      <t xml:space="preserve">（直前に一文）</t>
    </r>
  </si>
  <si>
    <t xml:space="preserve">すでに実務経験があり、受験と並行して転職も考えている方は、今の経験の評価を先に知っておくと、受ける領域も決めやすくなります。</t>
  </si>
  <si>
    <t xml:space="preserve">1827</t>
  </si>
  <si>
    <r>
      <rPr>
        <sz val="10"/>
        <rFont val="Meiryo UI"/>
        <family val="0"/>
        <charset val="1"/>
      </rPr>
      <t xml:space="preserve">H2</t>
    </r>
    <r>
      <rPr>
        <sz val="10"/>
        <rFont val="WenQuanYi Zen Hei"/>
        <family val="2"/>
      </rPr>
      <t xml:space="preserve">「転職・キャリアで評価されるのか」のメモの後（今の</t>
    </r>
    <r>
      <rPr>
        <sz val="10"/>
        <rFont val="Meiryo UI"/>
        <family val="0"/>
        <charset val="1"/>
      </rPr>
      <t xml:space="preserve">[2111]②</t>
    </r>
    <r>
      <rPr>
        <sz val="10"/>
        <rFont val="WenQuanYi Zen Hei"/>
        <family val="2"/>
      </rPr>
      <t xml:space="preserve">の位置）</t>
    </r>
  </si>
  <si>
    <r>
      <rPr>
        <sz val="10"/>
        <rFont val="Meiryo UI"/>
        <family val="0"/>
        <charset val="1"/>
      </rPr>
      <t xml:space="preserve">PM</t>
    </r>
    <r>
      <rPr>
        <sz val="10"/>
        <rFont val="WenQuanYi Zen Hei"/>
        <family val="2"/>
      </rPr>
      <t xml:space="preserve">としての経験を活かせる求人は、管理・専門職に強いエージェントに相談すると探しやすくなります。エンジニアとしての実務経験がある方は、企業から直接スカウトを受け取る方法もあります。</t>
    </r>
  </si>
  <si>
    <r>
      <rPr>
        <sz val="10"/>
        <rFont val="WenQuanYi Zen Hei"/>
        <family val="2"/>
      </rPr>
      <t xml:space="preserve">同じ位置の</t>
    </r>
    <r>
      <rPr>
        <sz val="10"/>
        <rFont val="Meiryo UI"/>
        <family val="0"/>
        <charset val="1"/>
      </rPr>
      <t xml:space="preserve">[2112]</t>
    </r>
  </si>
  <si>
    <r>
      <rPr>
        <sz val="10"/>
        <rFont val="Meiryo UI"/>
        <family val="0"/>
        <charset val="1"/>
      </rPr>
      <t xml:space="preserve">H2</t>
    </r>
    <r>
      <rPr>
        <sz val="10"/>
        <rFont val="WenQuanYi Zen Hei"/>
        <family val="2"/>
      </rPr>
      <t xml:space="preserve">「受験を決めるためのチェックポイント」の「受けると決めたら、次にやること」の直後</t>
    </r>
  </si>
  <si>
    <r>
      <rPr>
        <sz val="10"/>
        <rFont val="Meiryo UI"/>
        <family val="0"/>
        <charset val="1"/>
      </rPr>
      <t xml:space="preserve">2026</t>
    </r>
    <r>
      <rPr>
        <sz val="10"/>
        <rFont val="WenQuanYi Zen Hei"/>
        <family val="2"/>
      </rPr>
      <t xml:space="preserve">年度のプロジェクトマネージャ試験は、後期（</t>
    </r>
    <r>
      <rPr>
        <sz val="10"/>
        <rFont val="Meiryo UI"/>
        <family val="0"/>
        <charset val="1"/>
      </rPr>
      <t xml:space="preserve">2027</t>
    </r>
    <r>
      <rPr>
        <sz val="10"/>
        <rFont val="WenQuanYi Zen Hei"/>
        <family val="2"/>
      </rPr>
      <t xml:space="preserve">年</t>
    </r>
    <r>
      <rPr>
        <sz val="10"/>
        <rFont val="Meiryo UI"/>
        <family val="0"/>
        <charset val="1"/>
      </rPr>
      <t xml:space="preserve">2</t>
    </r>
    <r>
      <rPr>
        <sz val="10"/>
        <rFont val="WenQuanYi Zen Hei"/>
        <family val="2"/>
      </rPr>
      <t xml:space="preserve">〜</t>
    </r>
    <r>
      <rPr>
        <sz val="10"/>
        <rFont val="Meiryo UI"/>
        <family val="0"/>
        <charset val="1"/>
      </rPr>
      <t xml:space="preserve">3</t>
    </r>
    <r>
      <rPr>
        <sz val="10"/>
        <rFont val="WenQuanYi Zen Hei"/>
        <family val="2"/>
      </rPr>
      <t xml:space="preserve">月）だけの実施です。論文の対策は早めに始めてください。</t>
    </r>
  </si>
  <si>
    <t xml:space="preserve">1479</t>
  </si>
  <si>
    <r>
      <rPr>
        <sz val="10"/>
        <rFont val="Meiryo UI"/>
        <family val="0"/>
        <charset val="1"/>
      </rPr>
      <t xml:space="preserve">H3</t>
    </r>
    <r>
      <rPr>
        <sz val="10"/>
        <rFont val="WenQuanYi Zen Hei"/>
        <family val="2"/>
      </rPr>
      <t xml:space="preserve">「『アーキテクト』を明示的に置く企業が増えている」の最後の</t>
    </r>
    <r>
      <rPr>
        <sz val="10"/>
        <rFont val="Meiryo UI"/>
        <family val="0"/>
        <charset val="1"/>
      </rPr>
      <t xml:space="preserve">[2111]①</t>
    </r>
    <r>
      <rPr>
        <sz val="10"/>
        <rFont val="WenQuanYi Zen Hei"/>
        <family val="2"/>
      </rPr>
      <t xml:space="preserve">（直前に一文）</t>
    </r>
  </si>
  <si>
    <t xml:space="preserve">要件定義や基本設計の経験がある方は、その経験にどんな企業から声がかかるかを、スカウトで確かめられます。</t>
  </si>
  <si>
    <t xml:space="preserve">1790</t>
  </si>
  <si>
    <r>
      <rPr>
        <sz val="10"/>
        <rFont val="WenQuanYi Zen Hei"/>
        <family val="2"/>
      </rPr>
      <t xml:space="preserve">冒頭の</t>
    </r>
    <r>
      <rPr>
        <sz val="10"/>
        <rFont val="Meiryo UI"/>
        <family val="0"/>
        <charset val="1"/>
      </rPr>
      <t xml:space="preserve">[2111]①</t>
    </r>
  </si>
  <si>
    <r>
      <rPr>
        <sz val="10"/>
        <rFont val="Meiryo UI"/>
        <family val="0"/>
        <charset val="1"/>
      </rPr>
      <t xml:space="preserve">H3</t>
    </r>
    <r>
      <rPr>
        <sz val="10"/>
        <rFont val="WenQuanYi Zen Hei"/>
        <family val="2"/>
      </rPr>
      <t xml:space="preserve">「迷ったら『受験の目的』で決めましょう」の段落「自分だけで判断が難しいときは、</t>
    </r>
    <r>
      <rPr>
        <sz val="10"/>
        <rFont val="Meiryo UI"/>
        <family val="0"/>
        <charset val="1"/>
      </rPr>
      <t xml:space="preserve">IT</t>
    </r>
    <r>
      <rPr>
        <sz val="10"/>
        <rFont val="WenQuanYi Zen Hei"/>
        <family val="2"/>
      </rPr>
      <t xml:space="preserve">業界に詳しい転職エージェントに…」と</t>
    </r>
    <r>
      <rPr>
        <sz val="10"/>
        <rFont val="Meiryo UI"/>
        <family val="0"/>
        <charset val="1"/>
      </rPr>
      <t xml:space="preserve">[2111]②</t>
    </r>
  </si>
  <si>
    <r>
      <rPr>
        <sz val="10"/>
        <rFont val="WenQuanYi Zen Hei"/>
        <family val="2"/>
      </rPr>
      <t xml:space="preserve">まとめの段落「『自分の場合はどう動くのがいいだろう？』と迷ったら…」と</t>
    </r>
    <r>
      <rPr>
        <sz val="10"/>
        <rFont val="Meiryo UI"/>
        <family val="0"/>
        <charset val="1"/>
      </rPr>
      <t xml:space="preserve">[2111]③</t>
    </r>
    <r>
      <rPr>
        <sz val="10"/>
        <rFont val="WenQuanYi Zen Hei"/>
        <family val="2"/>
      </rPr>
      <t xml:space="preserve">・</t>
    </r>
    <r>
      <rPr>
        <sz val="10"/>
        <rFont val="Meiryo UI"/>
        <family val="0"/>
        <charset val="1"/>
      </rPr>
      <t xml:space="preserve">[2112]</t>
    </r>
  </si>
  <si>
    <r>
      <rPr>
        <sz val="10"/>
        <rFont val="Meiryo UI"/>
        <family val="0"/>
        <charset val="1"/>
      </rPr>
      <t xml:space="preserve">H3</t>
    </r>
    <r>
      <rPr>
        <sz val="10"/>
        <rFont val="WenQuanYi Zen Hei"/>
        <family val="2"/>
      </rPr>
      <t xml:space="preserve">「科目</t>
    </r>
    <r>
      <rPr>
        <sz val="10"/>
        <rFont val="Meiryo UI"/>
        <family val="0"/>
        <charset val="1"/>
      </rPr>
      <t xml:space="preserve">A</t>
    </r>
    <r>
      <rPr>
        <sz val="10"/>
        <rFont val="WenQuanYi Zen Hei"/>
        <family val="2"/>
      </rPr>
      <t xml:space="preserve">免除制度は継続される」の箇条書きの直後</t>
    </r>
  </si>
  <si>
    <r>
      <rPr>
        <sz val="10"/>
        <rFont val="WenQuanYi Zen Hei"/>
        <family val="2"/>
      </rPr>
      <t xml:space="preserve">科目</t>
    </r>
    <r>
      <rPr>
        <sz val="10"/>
        <rFont val="Meiryo UI"/>
        <family val="0"/>
        <charset val="1"/>
      </rPr>
      <t xml:space="preserve">A</t>
    </r>
    <r>
      <rPr>
        <sz val="10"/>
        <rFont val="WenQuanYi Zen Hei"/>
        <family val="2"/>
      </rPr>
      <t xml:space="preserve">の免除を使うには、対象講座の受講と修了試験の合格が必要です。</t>
    </r>
  </si>
  <si>
    <r>
      <rPr>
        <sz val="10"/>
        <rFont val="Meiryo UI"/>
        <family val="0"/>
        <charset val="1"/>
      </rPr>
      <t xml:space="preserve">H3</t>
    </r>
    <r>
      <rPr>
        <sz val="10"/>
        <rFont val="WenQuanYi Zen Hei"/>
        <family val="2"/>
      </rPr>
      <t xml:space="preserve">「これからの基本情報対策で押さえたい勉強法」の表の直後</t>
    </r>
  </si>
  <si>
    <r>
      <rPr>
        <sz val="10"/>
        <rFont val="WenQuanYi Zen Hei"/>
        <family val="2"/>
      </rPr>
      <t xml:space="preserve">教材は、</t>
    </r>
    <r>
      <rPr>
        <sz val="10"/>
        <rFont val="Meiryo UI"/>
        <family val="0"/>
        <charset val="1"/>
      </rPr>
      <t xml:space="preserve">2023</t>
    </r>
    <r>
      <rPr>
        <sz val="10"/>
        <rFont val="WenQuanYi Zen Hei"/>
        <family val="2"/>
      </rPr>
      <t xml:space="preserve">年以降の出題に対応した最新版を選んでください。</t>
    </r>
  </si>
  <si>
    <r>
      <rPr>
        <sz val="10"/>
        <rFont val="Meiryo UI"/>
        <family val="0"/>
        <charset val="1"/>
      </rPr>
      <t xml:space="preserve">H3</t>
    </r>
    <r>
      <rPr>
        <sz val="10"/>
        <rFont val="WenQuanYi Zen Hei"/>
        <family val="2"/>
      </rPr>
      <t xml:space="preserve">「なかなか受からないときの考え方」の箇条書きの直後（内部リンク</t>
    </r>
    <r>
      <rPr>
        <sz val="10"/>
        <rFont val="Meiryo UI"/>
        <family val="0"/>
        <charset val="1"/>
      </rPr>
      <t xml:space="preserve">207</t>
    </r>
    <r>
      <rPr>
        <sz val="10"/>
        <rFont val="WenQuanYi Zen Hei"/>
        <family val="2"/>
      </rPr>
      <t xml:space="preserve">の前）</t>
    </r>
  </si>
  <si>
    <r>
      <rPr>
        <sz val="10"/>
        <rFont val="WenQuanYi Zen Hei"/>
        <family val="2"/>
      </rPr>
      <t xml:space="preserve">第二新卒エージェント</t>
    </r>
    <r>
      <rPr>
        <sz val="10"/>
        <rFont val="Meiryo UI"/>
        <family val="0"/>
        <charset val="1"/>
      </rPr>
      <t xml:space="preserve">neo</t>
    </r>
  </si>
  <si>
    <r>
      <rPr>
        <sz val="10"/>
        <rFont val="WenQuanYi Zen Hei"/>
        <family val="2"/>
      </rPr>
      <t xml:space="preserve">パック</t>
    </r>
    <r>
      <rPr>
        <sz val="10"/>
        <rFont val="Meiryo UI"/>
        <family val="0"/>
        <charset val="1"/>
      </rPr>
      <t xml:space="preserve">N</t>
    </r>
  </si>
  <si>
    <r>
      <rPr>
        <sz val="10"/>
        <rFont val="WenQuanYi Zen Hei"/>
        <family val="2"/>
      </rPr>
      <t xml:space="preserve">経歴に自信がない</t>
    </r>
    <r>
      <rPr>
        <sz val="10"/>
        <rFont val="Meiryo UI"/>
        <family val="0"/>
        <charset val="1"/>
      </rPr>
      <t xml:space="preserve">20</t>
    </r>
    <r>
      <rPr>
        <sz val="10"/>
        <rFont val="WenQuanYi Zen Hei"/>
        <family val="2"/>
      </rPr>
      <t xml:space="preserve">代の方は、書類づくりから一緒に進めてくれるエージェントに相談する方法もあります。新卒での就職を希望する学生の方は対象外です。</t>
    </r>
  </si>
  <si>
    <t xml:space="preserve">表（比較表パック）の数</t>
  </si>
  <si>
    <t xml:space="preserve">変更前</t>
  </si>
  <si>
    <t xml:space="preserve">変更後</t>
  </si>
  <si>
    <t xml:space="preserve">中身</t>
  </si>
  <si>
    <r>
      <rPr>
        <sz val="10"/>
        <rFont val="WenQuanYi Zen Hei"/>
        <family val="2"/>
      </rPr>
      <t xml:space="preserve">パック</t>
    </r>
    <r>
      <rPr>
        <sz val="10"/>
        <rFont val="Meiryo UI"/>
        <family val="0"/>
        <charset val="1"/>
      </rPr>
      <t xml:space="preserve">J</t>
    </r>
    <r>
      <rPr>
        <sz val="10"/>
        <rFont val="WenQuanYi Zen Hei"/>
        <family val="2"/>
      </rPr>
      <t xml:space="preserve">＋テキストリンク</t>
    </r>
    <r>
      <rPr>
        <sz val="10"/>
        <rFont val="Meiryo UI"/>
        <family val="0"/>
        <charset val="1"/>
      </rPr>
      <t xml:space="preserve">2</t>
    </r>
  </si>
  <si>
    <r>
      <rPr>
        <sz val="10"/>
        <rFont val="WenQuanYi Zen Hei"/>
        <family val="2"/>
      </rPr>
      <t xml:space="preserve">パック</t>
    </r>
    <r>
      <rPr>
        <sz val="10"/>
        <rFont val="Meiryo UI"/>
        <family val="0"/>
        <charset val="1"/>
      </rPr>
      <t xml:space="preserve">A</t>
    </r>
    <r>
      <rPr>
        <sz val="10"/>
        <rFont val="WenQuanYi Zen Hei"/>
        <family val="2"/>
      </rPr>
      <t xml:space="preserve">＋学習系</t>
    </r>
    <r>
      <rPr>
        <sz val="10"/>
        <rFont val="Meiryo UI"/>
        <family val="0"/>
        <charset val="1"/>
      </rPr>
      <t xml:space="preserve">2</t>
    </r>
  </si>
  <si>
    <r>
      <rPr>
        <sz val="10"/>
        <rFont val="WenQuanYi Zen Hei"/>
        <family val="2"/>
      </rPr>
      <t xml:space="preserve">パック</t>
    </r>
    <r>
      <rPr>
        <sz val="10"/>
        <rFont val="Meiryo UI"/>
        <family val="0"/>
        <charset val="1"/>
      </rPr>
      <t xml:space="preserve">A</t>
    </r>
    <r>
      <rPr>
        <sz val="10"/>
        <rFont val="WenQuanYi Zen Hei"/>
        <family val="2"/>
      </rPr>
      <t xml:space="preserve">＋学習系</t>
    </r>
    <r>
      <rPr>
        <sz val="10"/>
        <rFont val="Meiryo UI"/>
        <family val="0"/>
        <charset val="1"/>
      </rPr>
      <t xml:space="preserve">1</t>
    </r>
  </si>
  <si>
    <r>
      <rPr>
        <sz val="10"/>
        <rFont val="WenQuanYi Zen Hei"/>
        <family val="2"/>
      </rPr>
      <t xml:space="preserve">パック</t>
    </r>
    <r>
      <rPr>
        <sz val="10"/>
        <rFont val="Meiryo UI"/>
        <family val="0"/>
        <charset val="1"/>
      </rPr>
      <t xml:space="preserve">A</t>
    </r>
  </si>
  <si>
    <r>
      <rPr>
        <sz val="10"/>
        <rFont val="WenQuanYi Zen Hei"/>
        <family val="2"/>
      </rPr>
      <t xml:space="preserve">パック</t>
    </r>
    <r>
      <rPr>
        <sz val="10"/>
        <rFont val="Meiryo UI"/>
        <family val="0"/>
        <charset val="1"/>
      </rPr>
      <t xml:space="preserve">J</t>
    </r>
    <r>
      <rPr>
        <sz val="10"/>
        <rFont val="WenQuanYi Zen Hei"/>
        <family val="2"/>
      </rPr>
      <t xml:space="preserve">＋学習系</t>
    </r>
    <r>
      <rPr>
        <sz val="10"/>
        <rFont val="Meiryo UI"/>
        <family val="0"/>
        <charset val="1"/>
      </rPr>
      <t xml:space="preserve">1</t>
    </r>
  </si>
  <si>
    <r>
      <rPr>
        <sz val="10"/>
        <rFont val="WenQuanYi Zen Hei"/>
        <family val="2"/>
      </rPr>
      <t xml:space="preserve">パック</t>
    </r>
    <r>
      <rPr>
        <sz val="10"/>
        <rFont val="Meiryo UI"/>
        <family val="0"/>
        <charset val="1"/>
      </rPr>
      <t xml:space="preserve">N</t>
    </r>
    <r>
      <rPr>
        <sz val="10"/>
        <rFont val="WenQuanYi Zen Hei"/>
        <family val="2"/>
      </rPr>
      <t xml:space="preserve">＋学習系</t>
    </r>
    <r>
      <rPr>
        <sz val="10"/>
        <rFont val="Meiryo UI"/>
        <family val="0"/>
        <charset val="1"/>
      </rPr>
      <t xml:space="preserve">2</t>
    </r>
  </si>
  <si>
    <t xml:space="preserve">合計</t>
  </si>
  <si>
    <r>
      <rPr>
        <b val="true"/>
        <sz val="14"/>
        <rFont val="Meiryo UI"/>
        <family val="0"/>
        <charset val="1"/>
      </rPr>
      <t xml:space="preserve">2112</t>
    </r>
    <r>
      <rPr>
        <b val="true"/>
        <sz val="14"/>
        <rFont val="WenQuanYi Zen Hei"/>
        <family val="2"/>
      </rPr>
      <t xml:space="preserve">（パック</t>
    </r>
    <r>
      <rPr>
        <b val="true"/>
        <sz val="14"/>
        <rFont val="Meiryo UI"/>
        <family val="0"/>
        <charset val="1"/>
      </rPr>
      <t xml:space="preserve">A_</t>
    </r>
    <r>
      <rPr>
        <b val="true"/>
        <sz val="14"/>
        <rFont val="WenQuanYi Zen Hei"/>
        <family val="2"/>
      </rPr>
      <t xml:space="preserve">インプレピクセル）を空にする</t>
    </r>
  </si>
  <si>
    <r>
      <rPr>
        <sz val="9"/>
        <color rgb="FF666666"/>
        <rFont val="Meiryo UI"/>
        <family val="0"/>
        <charset val="1"/>
      </rPr>
      <t xml:space="preserve">10/17</t>
    </r>
    <r>
      <rPr>
        <sz val="9"/>
        <color rgb="FF666666"/>
        <rFont val="WenQuanYi Zen Hei"/>
        <family val="2"/>
      </rPr>
      <t xml:space="preserve">（基準日）に、ブログパーツ</t>
    </r>
    <r>
      <rPr>
        <sz val="9"/>
        <color rgb="FF666666"/>
        <rFont val="Meiryo UI"/>
        <family val="0"/>
        <charset val="1"/>
      </rPr>
      <t xml:space="preserve">2112</t>
    </r>
    <r>
      <rPr>
        <sz val="9"/>
        <color rgb="FF666666"/>
        <rFont val="WenQuanYi Zen Hei"/>
        <family val="2"/>
      </rPr>
      <t xml:space="preserve">の「︙」→「コードエディター」の中身を全部これに置き換える。</t>
    </r>
  </si>
  <si>
    <t xml:space="preserve">行</t>
  </si>
  <si>
    <r>
      <rPr>
        <b val="true"/>
        <sz val="10"/>
        <color rgb="FFFFFFFF"/>
        <rFont val="WenQuanYi Zen Hei"/>
        <family val="2"/>
      </rPr>
      <t xml:space="preserve">コード（</t>
    </r>
    <r>
      <rPr>
        <b val="true"/>
        <sz val="10"/>
        <color rgb="FFFFFFFF"/>
        <rFont val="Meiryo UI"/>
        <family val="0"/>
        <charset val="1"/>
      </rPr>
      <t xml:space="preserve">B5</t>
    </r>
    <r>
      <rPr>
        <b val="true"/>
        <sz val="10"/>
        <color rgb="FFFFFFFF"/>
        <rFont val="WenQuanYi Zen Hei"/>
        <family val="2"/>
      </rPr>
      <t xml:space="preserve">〜</t>
    </r>
    <r>
      <rPr>
        <b val="true"/>
        <sz val="10"/>
        <color rgb="FFFFFFFF"/>
        <rFont val="Meiryo UI"/>
        <family val="0"/>
        <charset val="1"/>
      </rPr>
      <t xml:space="preserve">B8 </t>
    </r>
    <r>
      <rPr>
        <b val="true"/>
        <sz val="10"/>
        <color rgb="FFFFFFFF"/>
        <rFont val="WenQuanYi Zen Hei"/>
        <family val="2"/>
      </rPr>
      <t xml:space="preserve">を選んでコピー）</t>
    </r>
  </si>
  <si>
    <t xml:space="preserve">&lt;!-- wp:html --&gt;</t>
  </si>
  <si>
    <r>
      <rPr>
        <sz val="9"/>
        <rFont val="Consolas"/>
        <family val="0"/>
        <charset val="1"/>
      </rPr>
      <t xml:space="preserve">&lt;!-- </t>
    </r>
    <r>
      <rPr>
        <sz val="9"/>
        <rFont val="WenQuanYi Zen Hei"/>
        <family val="2"/>
      </rPr>
      <t xml:space="preserve">採用のウラ側 </t>
    </r>
    <r>
      <rPr>
        <sz val="9"/>
        <rFont val="Consolas"/>
        <family val="0"/>
        <charset val="1"/>
      </rPr>
      <t xml:space="preserve">/ </t>
    </r>
    <r>
      <rPr>
        <sz val="9"/>
        <rFont val="WenQuanYi Zen Hei"/>
        <family val="2"/>
      </rPr>
      <t xml:space="preserve">パック</t>
    </r>
    <r>
      <rPr>
        <sz val="9"/>
        <rFont val="Consolas"/>
        <family val="0"/>
        <charset val="1"/>
      </rPr>
      <t xml:space="preserve">A_</t>
    </r>
    <r>
      <rPr>
        <sz val="9"/>
        <rFont val="WenQuanYi Zen Hei"/>
        <family val="2"/>
      </rPr>
      <t xml:space="preserve">インプレピクセル </t>
    </r>
    <r>
      <rPr>
        <sz val="9"/>
        <rFont val="Consolas"/>
        <family val="0"/>
        <charset val="1"/>
      </rPr>
      <t xml:space="preserve">id=2112 --&gt;</t>
    </r>
  </si>
  <si>
    <r>
      <rPr>
        <sz val="9"/>
        <rFont val="Consolas"/>
        <family val="0"/>
        <charset val="1"/>
      </rPr>
      <t xml:space="preserve">&lt;!-- 2026-10 </t>
    </r>
    <r>
      <rPr>
        <sz val="9"/>
        <rFont val="WenQuanYi Zen Hei"/>
        <family val="2"/>
      </rPr>
      <t xml:space="preserve">計測用画像は比較表（</t>
    </r>
    <r>
      <rPr>
        <sz val="9"/>
        <rFont val="Consolas"/>
        <family val="0"/>
        <charset val="1"/>
      </rPr>
      <t xml:space="preserve">2111</t>
    </r>
    <r>
      <rPr>
        <sz val="9"/>
        <rFont val="WenQuanYi Zen Hei"/>
        <family val="2"/>
      </rPr>
      <t xml:space="preserve">）の中、ボタンの直後へ移動。このパーツは空のまま残す（記事に呼び出しが残っていても二重に数えないため）。中身を戻さないこと。 </t>
    </r>
    <r>
      <rPr>
        <sz val="9"/>
        <rFont val="Consolas"/>
        <family val="0"/>
        <charset val="1"/>
      </rPr>
      <t xml:space="preserve">--&gt;</t>
    </r>
  </si>
  <si>
    <t xml:space="preserve">&lt;!-- /wp:html --&gt;</t>
  </si>
  <si>
    <r>
      <rPr>
        <b val="true"/>
        <sz val="14"/>
        <rFont val="Meiryo UI"/>
        <family val="0"/>
        <charset val="1"/>
      </rPr>
      <t xml:space="preserve">2111</t>
    </r>
    <r>
      <rPr>
        <b val="true"/>
        <sz val="14"/>
        <rFont val="WenQuanYi Zen Hei"/>
        <family val="2"/>
      </rPr>
      <t xml:space="preserve">（パック</t>
    </r>
    <r>
      <rPr>
        <b val="true"/>
        <sz val="14"/>
        <rFont val="Meiryo UI"/>
        <family val="0"/>
        <charset val="1"/>
      </rPr>
      <t xml:space="preserve">A_</t>
    </r>
    <r>
      <rPr>
        <b val="true"/>
        <sz val="14"/>
        <rFont val="WenQuanYi Zen Hei"/>
        <family val="2"/>
      </rPr>
      <t xml:space="preserve">比較表）の差し替え</t>
    </r>
  </si>
  <si>
    <r>
      <rPr>
        <sz val="9"/>
        <color rgb="FF666666"/>
        <rFont val="Meiryo UI"/>
        <family val="0"/>
        <charset val="1"/>
      </rPr>
      <t xml:space="preserve">10/17</t>
    </r>
    <r>
      <rPr>
        <sz val="9"/>
        <color rgb="FF666666"/>
        <rFont val="WenQuanYi Zen Hei"/>
        <family val="2"/>
      </rPr>
      <t xml:space="preserve">（基準日）に、ブログパーツ</t>
    </r>
    <r>
      <rPr>
        <sz val="9"/>
        <color rgb="FF666666"/>
        <rFont val="Meiryo UI"/>
        <family val="0"/>
        <charset val="1"/>
      </rPr>
      <t xml:space="preserve">2111</t>
    </r>
    <r>
      <rPr>
        <sz val="9"/>
        <color rgb="FF666666"/>
        <rFont val="WenQuanYi Zen Hei"/>
        <family val="2"/>
      </rPr>
      <t xml:space="preserve">のコードエディターの中身を全部これに置き換える。レバテックダイレクト・</t>
    </r>
    <r>
      <rPr>
        <sz val="9"/>
        <color rgb="FF666666"/>
        <rFont val="Meiryo UI"/>
        <family val="0"/>
        <charset val="1"/>
      </rPr>
      <t xml:space="preserve">TechGo</t>
    </r>
    <r>
      <rPr>
        <sz val="9"/>
        <color rgb="FF666666"/>
        <rFont val="WenQuanYi Zen Hei"/>
        <family val="2"/>
      </rPr>
      <t xml:space="preserve">（</t>
    </r>
    <r>
      <rPr>
        <sz val="9"/>
        <color rgb="FF666666"/>
        <rFont val="Meiryo UI"/>
        <family val="0"/>
        <charset val="1"/>
      </rPr>
      <t xml:space="preserve">A8</t>
    </r>
    <r>
      <rPr>
        <sz val="9"/>
        <color rgb="FF666666"/>
        <rFont val="WenQuanYi Zen Hei"/>
        <family val="2"/>
      </rPr>
      <t xml:space="preserve">・サイト</t>
    </r>
    <r>
      <rPr>
        <sz val="9"/>
        <color rgb="FF666666"/>
        <rFont val="Meiryo UI"/>
        <family val="0"/>
        <charset val="1"/>
      </rPr>
      <t xml:space="preserve">002</t>
    </r>
    <r>
      <rPr>
        <sz val="9"/>
        <color rgb="FF666666"/>
        <rFont val="WenQuanYi Zen Hei"/>
        <family val="2"/>
      </rPr>
      <t xml:space="preserve">）の計測用画像はボタンの直後。</t>
    </r>
  </si>
  <si>
    <r>
      <rPr>
        <b val="true"/>
        <sz val="10"/>
        <color rgb="FFFFFFFF"/>
        <rFont val="WenQuanYi Zen Hei"/>
        <family val="2"/>
      </rPr>
      <t xml:space="preserve">コード（</t>
    </r>
    <r>
      <rPr>
        <b val="true"/>
        <sz val="10"/>
        <color rgb="FFFFFFFF"/>
        <rFont val="Meiryo UI"/>
        <family val="0"/>
        <charset val="1"/>
      </rPr>
      <t xml:space="preserve">B5</t>
    </r>
    <r>
      <rPr>
        <b val="true"/>
        <sz val="10"/>
        <color rgb="FFFFFFFF"/>
        <rFont val="WenQuanYi Zen Hei"/>
        <family val="2"/>
      </rPr>
      <t xml:space="preserve">〜</t>
    </r>
    <r>
      <rPr>
        <b val="true"/>
        <sz val="10"/>
        <color rgb="FFFFFFFF"/>
        <rFont val="Meiryo UI"/>
        <family val="0"/>
        <charset val="1"/>
      </rPr>
      <t xml:space="preserve">B96 </t>
    </r>
    <r>
      <rPr>
        <b val="true"/>
        <sz val="10"/>
        <color rgb="FFFFFFFF"/>
        <rFont val="WenQuanYi Zen Hei"/>
        <family val="2"/>
      </rPr>
      <t xml:space="preserve">を選んでコピー）</t>
    </r>
  </si>
  <si>
    <r>
      <rPr>
        <sz val="9"/>
        <rFont val="Consolas"/>
        <family val="0"/>
        <charset val="1"/>
      </rPr>
      <t xml:space="preserve">&lt;!-- </t>
    </r>
    <r>
      <rPr>
        <sz val="9"/>
        <rFont val="WenQuanYi Zen Hei"/>
        <family val="2"/>
      </rPr>
      <t xml:space="preserve">採用のウラ側 </t>
    </r>
    <r>
      <rPr>
        <sz val="9"/>
        <rFont val="Consolas"/>
        <family val="0"/>
        <charset val="1"/>
      </rPr>
      <t xml:space="preserve">/ </t>
    </r>
    <r>
      <rPr>
        <sz val="9"/>
        <rFont val="WenQuanYi Zen Hei"/>
        <family val="2"/>
      </rPr>
      <t xml:space="preserve">パック</t>
    </r>
    <r>
      <rPr>
        <sz val="9"/>
        <rFont val="Consolas"/>
        <family val="0"/>
        <charset val="1"/>
      </rPr>
      <t xml:space="preserve">A_</t>
    </r>
    <r>
      <rPr>
        <sz val="9"/>
        <rFont val="WenQuanYi Zen Hei"/>
        <family val="2"/>
      </rPr>
      <t xml:space="preserve">比較表 </t>
    </r>
    <r>
      <rPr>
        <sz val="9"/>
        <rFont val="Consolas"/>
        <family val="0"/>
        <charset val="1"/>
      </rPr>
      <t xml:space="preserve">id=2111</t>
    </r>
    <r>
      <rPr>
        <sz val="9"/>
        <rFont val="WenQuanYi Zen Hei"/>
        <family val="2"/>
      </rPr>
      <t xml:space="preserve">（</t>
    </r>
    <r>
      <rPr>
        <sz val="9"/>
        <rFont val="Consolas"/>
        <family val="0"/>
        <charset val="1"/>
      </rPr>
      <t xml:space="preserve">2026-10 </t>
    </r>
    <r>
      <rPr>
        <sz val="9"/>
        <rFont val="WenQuanYi Zen Hei"/>
        <family val="2"/>
      </rPr>
      <t xml:space="preserve">計測用画像を表の中へ移動・対象条件を掲載条件に合わせて修正） </t>
    </r>
    <r>
      <rPr>
        <sz val="9"/>
        <rFont val="Consolas"/>
        <family val="0"/>
        <charset val="1"/>
      </rPr>
      <t xml:space="preserve">--&gt;</t>
    </r>
  </si>
  <si>
    <t xml:space="preserve">&lt;style&gt;</t>
  </si>
  <si>
    <t xml:space="preserve">.saiyo-cta{background:#f5f5f0;border-radius:12px;padding:20px 16px;font-family:sans-serif;color:#3d3d3d;max-width:100%;box-sizing:border-box;margin:28px 0;}</t>
  </si>
  <si>
    <t xml:space="preserve">.saiyo-cta *{box-sizing:border-box}</t>
  </si>
  <si>
    <t xml:space="preserve">.saiyo-cta__badge-wrap{text-align:center;margin-bottom:8px;}</t>
  </si>
  <si>
    <t xml:space="preserve">.saiyo-cta__badge{display:inline-block;background:#e8b44a;color:#3d3d3d;font-size:13px;font-weight:700;padding:6px 14px;border-radius:20px;}</t>
  </si>
  <si>
    <t xml:space="preserve">.saiyo-cta__title{text-align:center;font-size:17px;font-weight:700;margin:8px 0 6px;line-height:1.6;}</t>
  </si>
  <si>
    <t xml:space="preserve">.saiyo-cta__lead{text-align:center;font-size:12.5px;color:#77776e;margin:0 0 16px;line-height:1.7;}</t>
  </si>
  <si>
    <t xml:space="preserve">.saiyo-cta__panel{background:#fff;border-radius:8px;overflow:hidden;border:1px solid #e0e0d8;}</t>
  </si>
  <si>
    <t xml:space="preserve">.saiyo-cta__header-row{display:grid;grid-template-columns:22% 20% 38% 20%;background:#f0f0e8;padding:10px 8px;font-size:12px;font-weight:700;text-align:center;border-bottom:1px solid #e0e0d8;}</t>
  </si>
  <si>
    <t xml:space="preserve">.saiyo-cta__row{display:grid;grid-template-columns:22% 20% 38% 20%;padding:18px 8px;border-bottom:1px solid #e0e0d8;align-items:center;position:relative;}</t>
  </si>
  <si>
    <t xml:space="preserve">.saiyo-cta__row:last-child{border-bottom:none;}</t>
  </si>
  <si>
    <t xml:space="preserve">.saiyo-cta__row--best{background:#fdfaf1;}</t>
  </si>
  <si>
    <t xml:space="preserve">.saiyo-cta__rank{position:absolute;top:0;left:0;background:#e8b44a;color:#3d3d3d;font-size:11px;font-weight:700;padding:3px 10px;border-radius:0 0 6px 0;}</t>
  </si>
  <si>
    <t xml:space="preserve">.saiyo-cta__name{text-align:center;}</t>
  </si>
  <si>
    <t xml:space="preserve">.saiyo-cta__name-link{display:block;color:inherit;text-decoration:none;transition:opacity .2s;}</t>
  </si>
  <si>
    <t xml:space="preserve">.saiyo-cta__name-link:hover{opacity:.85;color:inherit;}</t>
  </si>
  <si>
    <t xml:space="preserve">.saiyo-cta__logo{display:block;margin:0 auto 6px;max-width:100%;height:auto;border:none;}</t>
  </si>
  <si>
    <t xml:space="preserve">.saiyo-cta__logo--text{display:flex;align-items:center;justify-content:center;width:100px;height:60px;margin:0 auto 6px;background:#fff;border:1px solid #ddd8cc;border-bottom:3px solid #c94444;border-radius:4px 4px 2px 2px;font-size:13px;font-weight:700;line-height:1.3;color:#2f2f28;text-align:center;letter-spacing:.01em;}</t>
  </si>
  <si>
    <t xml:space="preserve">.saiyo-cta__name-text{font-size:13px;font-weight:700;}</t>
  </si>
  <si>
    <t xml:space="preserve">.saiyo-cta__count{text-align:center;color:#c94444;font-weight:700;font-size:14px;line-height:1.4;}</t>
  </si>
  <si>
    <t xml:space="preserve">.saiyo-cta__count-sub{font-size:10.5px;color:#888;font-weight:400;display:block;margin-top:4px;line-height:1.5;}</t>
  </si>
  <si>
    <t xml:space="preserve">.saiyo-cta__target{display:block;margin-top:6px;font-size:10.5px;color:#66665e;font-weight:400;background:#f0f0e8;border-radius:3px;padding:4px 5px;line-height:1.5;}</t>
  </si>
  <si>
    <t xml:space="preserve">.saiyo-cta__point{font-size:12px;padding:0 8px;line-height:1.7;}</t>
  </si>
  <si>
    <t xml:space="preserve">.saiyo-cta__point-title{color:#c94444;font-weight:700;margin-bottom:4px;}</t>
  </si>
  <si>
    <t xml:space="preserve">.saiyo-cta__hr{background:#f7f4ea;border-left:3px solid #e8b44a;padding:7px 9px;margin:0 0 6px;border-radius:0 3px 3px 0;font-size:12px;line-height:1.65;color:#4a4a42;}</t>
  </si>
  <si>
    <t xml:space="preserve">.saiyo-cta__btn-cell{text-align:center;}</t>
  </si>
  <si>
    <t xml:space="preserve">.saiyo-cta__btn{display:inline-block;background:#6baa95;color:#fff !important;padding:11px 14px;text-decoration:none;border-radius:4px;font-size:13px;font-weight:700;transition:opacity .2s;line-height:1.35;}</t>
  </si>
  <si>
    <t xml:space="preserve">.saiyo-cta__btn:hover{opacity:.85;color:#fff !important;}</t>
  </si>
  <si>
    <t xml:space="preserve">.saiyo-cta__btn small{display:block;font-size:10px;font-weight:400;opacity:.92;margin-top:3px;}</t>
  </si>
  <si>
    <t xml:space="preserve">.saiyo-cta__footer{text-align:center;font-size:11px;color:#8a8a82;margin:12px 2px 0;line-height:1.7;}</t>
  </si>
  <si>
    <t xml:space="preserve">@media (max-width:600px){</t>
  </si>
  <si>
    <t xml:space="preserve">.saiyo-cta__header-row{display:none;}</t>
  </si>
  <si>
    <t xml:space="preserve">.saiyo-cta__row{grid-template-columns:1fr;gap:12px;padding:26px 14px 18px;text-align:center;}</t>
  </si>
  <si>
    <t xml:space="preserve">.saiyo-cta__name-text{font-size:15px;}</t>
  </si>
  <si>
    <t xml:space="preserve">.saiyo-cta__logo--text{width:132px;height:70px;font-size:15px;}</t>
  </si>
  <si>
    <t xml:space="preserve">.saiyo-cta__point{padding:0;text-align:left;}</t>
  </si>
  <si>
    <t xml:space="preserve">.saiyo-cta__btn{padding:14px 20px;font-size:14.5px;width:100%;max-width:320px;}</t>
  </si>
  <si>
    <t xml:space="preserve">}</t>
  </si>
  <si>
    <t xml:space="preserve">&lt;/style&gt;</t>
  </si>
  <si>
    <t xml:space="preserve">&lt;div class="saiyo-cta"&gt;</t>
  </si>
  <si>
    <r>
      <rPr>
        <sz val="9"/>
        <rFont val="Consolas"/>
        <family val="0"/>
        <charset val="1"/>
      </rPr>
      <t xml:space="preserve">  &lt;div class="saiyo-cta__badge-wrap"&gt;&lt;span class="saiyo-cta__badge"&gt;</t>
    </r>
    <r>
      <rPr>
        <sz val="9"/>
        <rFont val="WenQuanYi Zen Hei"/>
        <family val="2"/>
      </rPr>
      <t xml:space="preserve">登録・相談は無料です</t>
    </r>
    <r>
      <rPr>
        <sz val="9"/>
        <rFont val="Consolas"/>
        <family val="0"/>
        <charset val="1"/>
      </rPr>
      <t xml:space="preserve">&lt;/span&gt;&lt;/div&gt;</t>
    </r>
  </si>
  <si>
    <r>
      <rPr>
        <sz val="9"/>
        <rFont val="Consolas"/>
        <family val="0"/>
        <charset val="1"/>
      </rPr>
      <t xml:space="preserve">  &lt;p class="saiyo-cta__title"&gt;</t>
    </r>
    <r>
      <rPr>
        <sz val="9"/>
        <rFont val="WenQuanYi Zen Hei"/>
        <family val="2"/>
      </rPr>
      <t xml:space="preserve">今の経験が、ほかの会社で</t>
    </r>
    <r>
      <rPr>
        <sz val="9"/>
        <rFont val="Consolas"/>
        <family val="0"/>
        <charset val="1"/>
      </rPr>
      <t xml:space="preserve">&lt;br&gt;</t>
    </r>
    <r>
      <rPr>
        <sz val="9"/>
        <rFont val="WenQuanYi Zen Hei"/>
        <family val="2"/>
      </rPr>
      <t xml:space="preserve">どう評価されるかを知っておく</t>
    </r>
    <r>
      <rPr>
        <sz val="9"/>
        <rFont val="Consolas"/>
        <family val="0"/>
        <charset val="1"/>
      </rPr>
      <t xml:space="preserve">&lt;/p&gt;</t>
    </r>
  </si>
  <si>
    <r>
      <rPr>
        <sz val="9"/>
        <rFont val="Consolas"/>
        <family val="0"/>
        <charset val="1"/>
      </rPr>
      <t xml:space="preserve">  &lt;p class="saiyo-cta__lead"&gt;</t>
    </r>
    <r>
      <rPr>
        <sz val="9"/>
        <rFont val="WenQuanYi Zen Hei"/>
        <family val="2"/>
      </rPr>
      <t xml:space="preserve">人事の立場から言うと、比較対象を持たないまま決めている人が一番損をしています。</t>
    </r>
    <r>
      <rPr>
        <sz val="9"/>
        <rFont val="Consolas"/>
        <family val="0"/>
        <charset val="1"/>
      </rPr>
      <t xml:space="preserve">&lt;/p&gt;</t>
    </r>
  </si>
  <si>
    <t xml:space="preserve">  &lt;div class="saiyo-cta__panel"&gt;</t>
  </si>
  <si>
    <r>
      <rPr>
        <sz val="9"/>
        <rFont val="Consolas"/>
        <family val="0"/>
        <charset val="1"/>
      </rPr>
      <t xml:space="preserve">    &lt;div class="saiyo-cta__header-row"&gt;&lt;div&gt;</t>
    </r>
    <r>
      <rPr>
        <sz val="9"/>
        <rFont val="WenQuanYi Zen Hei"/>
        <family val="2"/>
      </rPr>
      <t xml:space="preserve">サービス名</t>
    </r>
    <r>
      <rPr>
        <sz val="9"/>
        <rFont val="Consolas"/>
        <family val="0"/>
        <charset val="1"/>
      </rPr>
      <t xml:space="preserve">&lt;/div&gt;&lt;div&gt;</t>
    </r>
    <r>
      <rPr>
        <sz val="9"/>
        <rFont val="WenQuanYi Zen Hei"/>
        <family val="2"/>
      </rPr>
      <t xml:space="preserve">特徴・対象</t>
    </r>
    <r>
      <rPr>
        <sz val="9"/>
        <rFont val="Consolas"/>
        <family val="0"/>
        <charset val="1"/>
      </rPr>
      <t xml:space="preserve">&lt;/div&gt;&lt;div&gt;</t>
    </r>
    <r>
      <rPr>
        <sz val="9"/>
        <rFont val="WenQuanYi Zen Hei"/>
        <family val="2"/>
      </rPr>
      <t xml:space="preserve">ポイント</t>
    </r>
    <r>
      <rPr>
        <sz val="9"/>
        <rFont val="Consolas"/>
        <family val="0"/>
        <charset val="1"/>
      </rPr>
      <t xml:space="preserve">&lt;/div&gt;&lt;div&gt;</t>
    </r>
    <r>
      <rPr>
        <sz val="9"/>
        <rFont val="WenQuanYi Zen Hei"/>
        <family val="2"/>
      </rPr>
      <t xml:space="preserve">公式サイト</t>
    </r>
    <r>
      <rPr>
        <sz val="9"/>
        <rFont val="Consolas"/>
        <family val="0"/>
        <charset val="1"/>
      </rPr>
      <t xml:space="preserve">&lt;/div&gt;&lt;/div&gt;</t>
    </r>
  </si>
  <si>
    <r>
      <rPr>
        <sz val="9"/>
        <rFont val="Consolas"/>
        <family val="0"/>
        <charset val="1"/>
      </rPr>
      <t xml:space="preserve">    &lt;div class="saiyo-cta__row saiyo-cta__row--best"&gt;&lt;span class="saiyo-cta__rank"&gt;</t>
    </r>
    <r>
      <rPr>
        <sz val="9"/>
        <rFont val="WenQuanYi Zen Hei"/>
        <family val="2"/>
      </rPr>
      <t xml:space="preserve">迷ったらここ</t>
    </r>
    <r>
      <rPr>
        <sz val="9"/>
        <rFont val="Consolas"/>
        <family val="0"/>
        <charset val="1"/>
      </rPr>
      <t xml:space="preserve">&lt;/span&gt;</t>
    </r>
  </si>
  <si>
    <t xml:space="preserve">      &lt;div class="saiyo-cta__name"&gt;</t>
  </si>
  <si>
    <t xml:space="preserve">        &lt;a class="saiyo-cta__name-link" href="https://px.a8.net/svt/ejp?a8mat=4B1ILL+786GWQ+2JK4+4SNX5E" rel="nofollow sponsored"&gt;</t>
  </si>
  <si>
    <r>
      <rPr>
        <sz val="9"/>
        <rFont val="Consolas"/>
        <family val="0"/>
        <charset val="1"/>
      </rPr>
      <t xml:space="preserve">          &lt;div class="saiyo-cta__logo--text"&gt;</t>
    </r>
    <r>
      <rPr>
        <sz val="9"/>
        <rFont val="WenQuanYi Zen Hei"/>
        <family val="2"/>
      </rPr>
      <t xml:space="preserve">レバテック</t>
    </r>
    <r>
      <rPr>
        <sz val="9"/>
        <rFont val="Consolas"/>
        <family val="0"/>
        <charset val="1"/>
      </rPr>
      <t xml:space="preserve">&lt;br&gt;</t>
    </r>
    <r>
      <rPr>
        <sz val="9"/>
        <rFont val="WenQuanYi Zen Hei"/>
        <family val="2"/>
      </rPr>
      <t xml:space="preserve">ダイレクト</t>
    </r>
    <r>
      <rPr>
        <sz val="9"/>
        <rFont val="Consolas"/>
        <family val="0"/>
        <charset val="1"/>
      </rPr>
      <t xml:space="preserve">&lt;/div&gt;</t>
    </r>
  </si>
  <si>
    <r>
      <rPr>
        <sz val="9"/>
        <rFont val="Consolas"/>
        <family val="0"/>
        <charset val="1"/>
      </rPr>
      <t xml:space="preserve">          &lt;div class="saiyo-cta__name-text"&gt;</t>
    </r>
    <r>
      <rPr>
        <sz val="9"/>
        <rFont val="WenQuanYi Zen Hei"/>
        <family val="2"/>
      </rPr>
      <t xml:space="preserve">スカウト型</t>
    </r>
    <r>
      <rPr>
        <sz val="9"/>
        <rFont val="Consolas"/>
        <family val="0"/>
        <charset val="1"/>
      </rPr>
      <t xml:space="preserve">&lt;/div&gt;</t>
    </r>
  </si>
  <si>
    <t xml:space="preserve">        &lt;/a&gt;</t>
  </si>
  <si>
    <t xml:space="preserve">      &lt;/div&gt;</t>
  </si>
  <si>
    <r>
      <rPr>
        <sz val="9"/>
        <rFont val="Consolas"/>
        <family val="0"/>
        <charset val="1"/>
      </rPr>
      <t xml:space="preserve">      &lt;div class="saiyo-cta__count"&gt;</t>
    </r>
    <r>
      <rPr>
        <sz val="9"/>
        <rFont val="WenQuanYi Zen Hei"/>
        <family val="2"/>
      </rPr>
      <t xml:space="preserve">企業から</t>
    </r>
    <r>
      <rPr>
        <sz val="9"/>
        <rFont val="Consolas"/>
        <family val="0"/>
        <charset val="1"/>
      </rPr>
      <t xml:space="preserve">&lt;br&gt;</t>
    </r>
    <r>
      <rPr>
        <sz val="9"/>
        <rFont val="WenQuanYi Zen Hei"/>
        <family val="2"/>
      </rPr>
      <t xml:space="preserve">直接スカウト</t>
    </r>
    <r>
      <rPr>
        <sz val="9"/>
        <rFont val="Consolas"/>
        <family val="0"/>
        <charset val="1"/>
      </rPr>
      <t xml:space="preserve">&lt;span class="saiyo-cta__count-sub"&gt;</t>
    </r>
    <r>
      <rPr>
        <sz val="9"/>
        <rFont val="WenQuanYi Zen Hei"/>
        <family val="2"/>
      </rPr>
      <t xml:space="preserve">登録は無料</t>
    </r>
    <r>
      <rPr>
        <sz val="9"/>
        <rFont val="Consolas"/>
        <family val="0"/>
        <charset val="1"/>
      </rPr>
      <t xml:space="preserve">&lt;/span&gt;&lt;span class="saiyo-cta__target"&gt;</t>
    </r>
    <r>
      <rPr>
        <sz val="9"/>
        <rFont val="WenQuanYi Zen Hei"/>
        <family val="2"/>
      </rPr>
      <t xml:space="preserve">エンジニア・クリエイターの</t>
    </r>
    <r>
      <rPr>
        <sz val="9"/>
        <rFont val="Consolas"/>
        <family val="0"/>
        <charset val="1"/>
      </rPr>
      <t xml:space="preserve">&lt;br&gt;</t>
    </r>
    <r>
      <rPr>
        <sz val="9"/>
        <rFont val="WenQuanYi Zen Hei"/>
        <family val="2"/>
      </rPr>
      <t xml:space="preserve">実務経験がある方／</t>
    </r>
    <r>
      <rPr>
        <sz val="9"/>
        <rFont val="Consolas"/>
        <family val="0"/>
        <charset val="1"/>
      </rPr>
      <t xml:space="preserve">50</t>
    </r>
    <r>
      <rPr>
        <sz val="9"/>
        <rFont val="WenQuanYi Zen Hei"/>
        <family val="2"/>
      </rPr>
      <t xml:space="preserve">歳未満</t>
    </r>
    <r>
      <rPr>
        <sz val="9"/>
        <rFont val="Consolas"/>
        <family val="0"/>
        <charset val="1"/>
      </rPr>
      <t xml:space="preserve">&lt;br&gt;</t>
    </r>
    <r>
      <rPr>
        <sz val="9"/>
        <rFont val="WenQuanYi Zen Hei"/>
        <family val="2"/>
      </rPr>
      <t xml:space="preserve">（未経験の方は対象外）</t>
    </r>
    <r>
      <rPr>
        <sz val="9"/>
        <rFont val="Consolas"/>
        <family val="0"/>
        <charset val="1"/>
      </rPr>
      <t xml:space="preserve">&lt;/span&gt;&lt;/div&gt;</t>
    </r>
  </si>
  <si>
    <t xml:space="preserve">      &lt;div class="saiyo-cta__point"&gt;</t>
  </si>
  <si>
    <r>
      <rPr>
        <sz val="9"/>
        <rFont val="Consolas"/>
        <family val="0"/>
        <charset val="1"/>
      </rPr>
      <t xml:space="preserve">        &lt;div class="saiyo-cta__hr"&gt;&lt;b&gt;</t>
    </r>
    <r>
      <rPr>
        <sz val="9"/>
        <rFont val="WenQuanYi Zen Hei"/>
        <family val="2"/>
      </rPr>
      <t xml:space="preserve">人事コメント：</t>
    </r>
    <r>
      <rPr>
        <sz val="9"/>
        <rFont val="Consolas"/>
        <family val="0"/>
        <charset val="1"/>
      </rPr>
      <t xml:space="preserve">&lt;/b&gt;&lt;b&gt;</t>
    </r>
    <r>
      <rPr>
        <sz val="9"/>
        <rFont val="WenQuanYi Zen Hei"/>
        <family val="2"/>
      </rPr>
      <t xml:space="preserve">今の自分にどんな企業がいくらで声をかけるか</t>
    </r>
    <r>
      <rPr>
        <sz val="9"/>
        <rFont val="Consolas"/>
        <family val="0"/>
        <charset val="1"/>
      </rPr>
      <t xml:space="preserve">&lt;/b&gt;</t>
    </r>
    <r>
      <rPr>
        <sz val="9"/>
        <rFont val="WenQuanYi Zen Hei"/>
        <family val="2"/>
      </rPr>
      <t xml:space="preserve">を知らないまま条件交渉している人が、一番損をしています。</t>
    </r>
    <r>
      <rPr>
        <sz val="9"/>
        <rFont val="Consolas"/>
        <family val="0"/>
        <charset val="1"/>
      </rPr>
      <t xml:space="preserve">&lt;/div&gt;</t>
    </r>
  </si>
  <si>
    <r>
      <rPr>
        <sz val="9"/>
        <rFont val="Consolas"/>
        <family val="0"/>
        <charset val="1"/>
      </rPr>
      <t xml:space="preserve">        &lt;div class="saiyo-cta__point-title"&gt;</t>
    </r>
    <r>
      <rPr>
        <sz val="9"/>
        <rFont val="WenQuanYi Zen Hei"/>
        <family val="2"/>
      </rPr>
      <t xml:space="preserve">【スカウトで市場価値を知る】</t>
    </r>
    <r>
      <rPr>
        <sz val="9"/>
        <rFont val="Consolas"/>
        <family val="0"/>
        <charset val="1"/>
      </rPr>
      <t xml:space="preserve">&lt;/div&gt;</t>
    </r>
  </si>
  <si>
    <r>
      <rPr>
        <sz val="9"/>
        <rFont val="WenQuanYi Zen Hei"/>
        <family val="2"/>
      </rPr>
      <t xml:space="preserve">        ✓ 経験やスキルに興味を持った企業からスカウトが届く</t>
    </r>
    <r>
      <rPr>
        <sz val="9"/>
        <rFont val="Consolas"/>
        <family val="0"/>
        <charset val="1"/>
      </rPr>
      <t xml:space="preserve">&lt;br&gt;</t>
    </r>
  </si>
  <si>
    <r>
      <rPr>
        <sz val="9"/>
        <rFont val="WenQuanYi Zen Hei"/>
        <family val="2"/>
      </rPr>
      <t xml:space="preserve">        ✓ 求人との相性（マッチ率）を数値で確かめられる</t>
    </r>
    <r>
      <rPr>
        <sz val="9"/>
        <rFont val="Consolas"/>
        <family val="0"/>
        <charset val="1"/>
      </rPr>
      <t xml:space="preserve">&lt;br&gt;</t>
    </r>
  </si>
  <si>
    <t xml:space="preserve">        ✓ リモート可否・フレックスなど細かい条件で探せる</t>
  </si>
  <si>
    <t xml:space="preserve">      &lt;div class="saiyo-cta__btn-cell"&gt;</t>
  </si>
  <si>
    <r>
      <rPr>
        <sz val="9"/>
        <rFont val="Consolas"/>
        <family val="0"/>
        <charset val="1"/>
      </rPr>
      <t xml:space="preserve">        &lt;a class="saiyo-cta__btn" href="https://px.a8.net/svt/ejp?a8mat=4B1ILL+786GWQ+2JK4+4SNX5E" rel="nofollow sponsored"&gt;</t>
    </r>
    <r>
      <rPr>
        <sz val="9"/>
        <rFont val="WenQuanYi Zen Hei"/>
        <family val="2"/>
      </rPr>
      <t xml:space="preserve">無料で登録する ›</t>
    </r>
    <r>
      <rPr>
        <sz val="9"/>
        <rFont val="Consolas"/>
        <family val="0"/>
        <charset val="1"/>
      </rPr>
      <t xml:space="preserve">&lt;small&gt;</t>
    </r>
    <r>
      <rPr>
        <sz val="9"/>
        <rFont val="WenQuanYi Zen Hei"/>
        <family val="2"/>
      </rPr>
      <t xml:space="preserve">この端末のまま完了を</t>
    </r>
    <r>
      <rPr>
        <sz val="9"/>
        <rFont val="Consolas"/>
        <family val="0"/>
        <charset val="1"/>
      </rPr>
      <t xml:space="preserve">&lt;/small&gt;&lt;/a&gt;</t>
    </r>
  </si>
  <si>
    <t xml:space="preserve">        &lt;img border="0" width="1" height="1" src="https://www11.a8.net/0.gif?a8mat=4B1ILL+786GWQ+2JK4+4SNX5E" alt=""&gt;</t>
  </si>
  <si>
    <t xml:space="preserve">    &lt;/div&gt;</t>
  </si>
  <si>
    <t xml:space="preserve">    &lt;div class="saiyo-cta__row"&gt;</t>
  </si>
  <si>
    <t xml:space="preserve">        &lt;a class="saiyo-cta__name-link" href="https://px.a8.net/svt/ejp?a8mat=4AXJKA+F172FU+5B0Y+HVFKY" rel="nofollow sponsored"&gt;</t>
  </si>
  <si>
    <r>
      <rPr>
        <sz val="9"/>
        <rFont val="Consolas"/>
        <family val="0"/>
        <charset val="1"/>
      </rPr>
      <t xml:space="preserve">          &lt;div class="saiyo-cta__logo--text"&gt;</t>
    </r>
    <r>
      <rPr>
        <sz val="9"/>
        <rFont val="WenQuanYi Zen Hei"/>
        <family val="2"/>
      </rPr>
      <t xml:space="preserve">テックゴー</t>
    </r>
    <r>
      <rPr>
        <sz val="9"/>
        <rFont val="Consolas"/>
        <family val="0"/>
        <charset val="1"/>
      </rPr>
      <t xml:space="preserve">&lt;br&gt;</t>
    </r>
    <r>
      <rPr>
        <sz val="9"/>
        <rFont val="WenQuanYi Zen Hei"/>
        <family val="2"/>
      </rPr>
      <t xml:space="preserve">（</t>
    </r>
    <r>
      <rPr>
        <sz val="9"/>
        <rFont val="Consolas"/>
        <family val="0"/>
        <charset val="1"/>
      </rPr>
      <t xml:space="preserve">TechGo</t>
    </r>
    <r>
      <rPr>
        <sz val="9"/>
        <rFont val="WenQuanYi Zen Hei"/>
        <family val="2"/>
      </rPr>
      <t xml:space="preserve">）</t>
    </r>
    <r>
      <rPr>
        <sz val="9"/>
        <rFont val="Consolas"/>
        <family val="0"/>
        <charset val="1"/>
      </rPr>
      <t xml:space="preserve">&lt;/div&gt;</t>
    </r>
  </si>
  <si>
    <r>
      <rPr>
        <sz val="9"/>
        <rFont val="Consolas"/>
        <family val="0"/>
        <charset val="1"/>
      </rPr>
      <t xml:space="preserve">          &lt;div class="saiyo-cta__name-text"&gt;</t>
    </r>
    <r>
      <rPr>
        <sz val="9"/>
        <rFont val="WenQuanYi Zen Hei"/>
        <family val="2"/>
      </rPr>
      <t xml:space="preserve">エージェント型</t>
    </r>
    <r>
      <rPr>
        <sz val="9"/>
        <rFont val="Consolas"/>
        <family val="0"/>
        <charset val="1"/>
      </rPr>
      <t xml:space="preserve">&lt;/div&gt;</t>
    </r>
  </si>
  <si>
    <r>
      <rPr>
        <sz val="9"/>
        <rFont val="Consolas"/>
        <family val="0"/>
        <charset val="1"/>
      </rPr>
      <t xml:space="preserve">      &lt;div class="saiyo-cta__count"&gt;IT</t>
    </r>
    <r>
      <rPr>
        <sz val="9"/>
        <rFont val="WenQuanYi Zen Hei"/>
        <family val="2"/>
      </rPr>
      <t xml:space="preserve">エンジニア</t>
    </r>
    <r>
      <rPr>
        <sz val="9"/>
        <rFont val="Consolas"/>
        <family val="0"/>
        <charset val="1"/>
      </rPr>
      <t xml:space="preserve">&lt;br&gt;</t>
    </r>
    <r>
      <rPr>
        <sz val="9"/>
        <rFont val="WenQuanYi Zen Hei"/>
        <family val="2"/>
      </rPr>
      <t xml:space="preserve">専門</t>
    </r>
    <r>
      <rPr>
        <sz val="9"/>
        <rFont val="Consolas"/>
        <family val="0"/>
        <charset val="1"/>
      </rPr>
      <t xml:space="preserve">&lt;span class="saiyo-cta__count-sub"&gt;</t>
    </r>
    <r>
      <rPr>
        <sz val="9"/>
        <rFont val="WenQuanYi Zen Hei"/>
        <family val="2"/>
      </rPr>
      <t xml:space="preserve">高年収の正社員ポジション</t>
    </r>
    <r>
      <rPr>
        <sz val="9"/>
        <rFont val="Consolas"/>
        <family val="0"/>
        <charset val="1"/>
      </rPr>
      <t xml:space="preserve">&lt;/span&gt;&lt;span class="saiyo-cta__target"&gt;</t>
    </r>
    <r>
      <rPr>
        <sz val="9"/>
        <rFont val="WenQuanYi Zen Hei"/>
        <family val="2"/>
      </rPr>
      <t xml:space="preserve">実務</t>
    </r>
    <r>
      <rPr>
        <sz val="9"/>
        <rFont val="Consolas"/>
        <family val="0"/>
        <charset val="1"/>
      </rPr>
      <t xml:space="preserve">2</t>
    </r>
    <r>
      <rPr>
        <sz val="9"/>
        <rFont val="WenQuanYi Zen Hei"/>
        <family val="2"/>
      </rPr>
      <t xml:space="preserve">年以上の</t>
    </r>
    <r>
      <rPr>
        <sz val="9"/>
        <rFont val="Consolas"/>
        <family val="0"/>
        <charset val="1"/>
      </rPr>
      <t xml:space="preserve">IT</t>
    </r>
    <r>
      <rPr>
        <sz val="9"/>
        <rFont val="WenQuanYi Zen Hei"/>
        <family val="2"/>
      </rPr>
      <t xml:space="preserve">エンジニア</t>
    </r>
    <r>
      <rPr>
        <sz val="9"/>
        <rFont val="Consolas"/>
        <family val="0"/>
        <charset val="1"/>
      </rPr>
      <t xml:space="preserve">&lt;br&gt;20</t>
    </r>
    <r>
      <rPr>
        <sz val="9"/>
        <rFont val="WenQuanYi Zen Hei"/>
        <family val="2"/>
      </rPr>
      <t xml:space="preserve">代後半〜</t>
    </r>
    <r>
      <rPr>
        <sz val="9"/>
        <rFont val="Consolas"/>
        <family val="0"/>
        <charset val="1"/>
      </rPr>
      <t xml:space="preserve">30</t>
    </r>
    <r>
      <rPr>
        <sz val="9"/>
        <rFont val="WenQuanYi Zen Hei"/>
        <family val="2"/>
      </rPr>
      <t xml:space="preserve">代の支援が中心</t>
    </r>
    <r>
      <rPr>
        <sz val="9"/>
        <rFont val="Consolas"/>
        <family val="0"/>
        <charset val="1"/>
      </rPr>
      <t xml:space="preserve">&lt;br&gt;</t>
    </r>
    <r>
      <rPr>
        <sz val="9"/>
        <rFont val="WenQuanYi Zen Hei"/>
        <family val="2"/>
      </rPr>
      <t xml:space="preserve">（学生の方は対象外）</t>
    </r>
    <r>
      <rPr>
        <sz val="9"/>
        <rFont val="Consolas"/>
        <family val="0"/>
        <charset val="1"/>
      </rPr>
      <t xml:space="preserve">&lt;/span&gt;&lt;/div&gt;</t>
    </r>
  </si>
  <si>
    <r>
      <rPr>
        <sz val="9"/>
        <rFont val="Consolas"/>
        <family val="0"/>
        <charset val="1"/>
      </rPr>
      <t xml:space="preserve">        &lt;div class="saiyo-cta__hr"&gt;&lt;b&gt;</t>
    </r>
    <r>
      <rPr>
        <sz val="9"/>
        <rFont val="WenQuanYi Zen Hei"/>
        <family val="2"/>
      </rPr>
      <t xml:space="preserve">人事コメント：</t>
    </r>
    <r>
      <rPr>
        <sz val="9"/>
        <rFont val="Consolas"/>
        <family val="0"/>
        <charset val="1"/>
      </rPr>
      <t xml:space="preserve">&lt;/b&gt;</t>
    </r>
    <r>
      <rPr>
        <sz val="9"/>
        <rFont val="WenQuanYi Zen Hei"/>
        <family val="2"/>
      </rPr>
      <t xml:space="preserve">模擬面接の回数に制限がありません。</t>
    </r>
    <r>
      <rPr>
        <sz val="9"/>
        <rFont val="Consolas"/>
        <family val="0"/>
        <charset val="1"/>
      </rPr>
      <t xml:space="preserve">&lt;b&gt;</t>
    </r>
    <r>
      <rPr>
        <sz val="9"/>
        <rFont val="WenQuanYi Zen Hei"/>
        <family val="2"/>
      </rPr>
      <t xml:space="preserve">実績はあるのに面接で伝えきれない人</t>
    </r>
    <r>
      <rPr>
        <sz val="9"/>
        <rFont val="Consolas"/>
        <family val="0"/>
        <charset val="1"/>
      </rPr>
      <t xml:space="preserve">&lt;/b&gt;</t>
    </r>
    <r>
      <rPr>
        <sz val="9"/>
        <rFont val="WenQuanYi Zen Hei"/>
        <family val="2"/>
      </rPr>
      <t xml:space="preserve">には、ここが一番効きます。</t>
    </r>
    <r>
      <rPr>
        <sz val="9"/>
        <rFont val="Consolas"/>
        <family val="0"/>
        <charset val="1"/>
      </rPr>
      <t xml:space="preserve">&lt;/div&gt;</t>
    </r>
  </si>
  <si>
    <r>
      <rPr>
        <sz val="9"/>
        <rFont val="Consolas"/>
        <family val="0"/>
        <charset val="1"/>
      </rPr>
      <t xml:space="preserve">        &lt;div class="saiyo-cta__point-title"&gt;</t>
    </r>
    <r>
      <rPr>
        <sz val="9"/>
        <rFont val="WenQuanYi Zen Hei"/>
        <family val="2"/>
      </rPr>
      <t xml:space="preserve">【面接対策を何度でも】</t>
    </r>
    <r>
      <rPr>
        <sz val="9"/>
        <rFont val="Consolas"/>
        <family val="0"/>
        <charset val="1"/>
      </rPr>
      <t xml:space="preserve">&lt;/div&gt;</t>
    </r>
  </si>
  <si>
    <r>
      <rPr>
        <sz val="9"/>
        <rFont val="WenQuanYi Zen Hei"/>
        <family val="2"/>
      </rPr>
      <t xml:space="preserve">        ✓ 模擬面接の回数に制限がない</t>
    </r>
    <r>
      <rPr>
        <sz val="9"/>
        <rFont val="Consolas"/>
        <family val="0"/>
        <charset val="1"/>
      </rPr>
      <t xml:space="preserve">&lt;br&gt;</t>
    </r>
  </si>
  <si>
    <r>
      <rPr>
        <sz val="9"/>
        <rFont val="WenQuanYi Zen Hei"/>
        <family val="2"/>
      </rPr>
      <t xml:space="preserve">        ✓ 土曜</t>
    </r>
    <r>
      <rPr>
        <sz val="9"/>
        <rFont val="Consolas"/>
        <family val="0"/>
        <charset val="1"/>
      </rPr>
      <t xml:space="preserve">1</t>
    </r>
    <r>
      <rPr>
        <sz val="9"/>
        <rFont val="WenQuanYi Zen Hei"/>
        <family val="2"/>
      </rPr>
      <t xml:space="preserve">日で面接を終えられる</t>
    </r>
    <r>
      <rPr>
        <sz val="9"/>
        <rFont val="Consolas"/>
        <family val="0"/>
        <charset val="1"/>
      </rPr>
      <t xml:space="preserve">1Day</t>
    </r>
    <r>
      <rPr>
        <sz val="9"/>
        <rFont val="WenQuanYi Zen Hei"/>
        <family val="2"/>
      </rPr>
      <t xml:space="preserve">選考会がある（参加には事前の面談と書類選考の通過が必要）</t>
    </r>
    <r>
      <rPr>
        <sz val="9"/>
        <rFont val="Consolas"/>
        <family val="0"/>
        <charset val="1"/>
      </rPr>
      <t xml:space="preserve">&lt;br&gt;</t>
    </r>
  </si>
  <si>
    <r>
      <rPr>
        <sz val="9"/>
        <rFont val="Consolas"/>
        <family val="0"/>
        <charset val="1"/>
      </rPr>
      <t xml:space="preserve">        ✓ IT</t>
    </r>
    <r>
      <rPr>
        <sz val="9"/>
        <rFont val="WenQuanYi Zen Hei"/>
        <family val="2"/>
      </rPr>
      <t xml:space="preserve">コンサル・メガベンチャーなど高年収のポジションを扱う</t>
    </r>
  </si>
  <si>
    <r>
      <rPr>
        <sz val="9"/>
        <rFont val="Consolas"/>
        <family val="0"/>
        <charset val="1"/>
      </rPr>
      <t xml:space="preserve">        &lt;a class="saiyo-cta__btn" href="https://px.a8.net/svt/ejp?a8mat=4AXJKA+F172FU+5B0Y+HVFKY" rel="nofollow sponsored"&gt;</t>
    </r>
    <r>
      <rPr>
        <sz val="9"/>
        <rFont val="WenQuanYi Zen Hei"/>
        <family val="2"/>
      </rPr>
      <t xml:space="preserve">無料で相談する ›</t>
    </r>
    <r>
      <rPr>
        <sz val="9"/>
        <rFont val="Consolas"/>
        <family val="0"/>
        <charset val="1"/>
      </rPr>
      <t xml:space="preserve">&lt;small&gt;</t>
    </r>
    <r>
      <rPr>
        <sz val="9"/>
        <rFont val="WenQuanYi Zen Hei"/>
        <family val="2"/>
      </rPr>
      <t xml:space="preserve">入力は数分で完了</t>
    </r>
    <r>
      <rPr>
        <sz val="9"/>
        <rFont val="Consolas"/>
        <family val="0"/>
        <charset val="1"/>
      </rPr>
      <t xml:space="preserve">&lt;/small&gt;&lt;/a&gt;</t>
    </r>
  </si>
  <si>
    <t xml:space="preserve">        &lt;img border="0" width="1" height="1" src="https://www14.a8.net/0.gif?a8mat=4AXJKA+F172FU+5B0Y+HVFKY" alt=""&gt;</t>
  </si>
  <si>
    <t xml:space="preserve">  &lt;/div&gt;</t>
  </si>
  <si>
    <r>
      <rPr>
        <sz val="9"/>
        <rFont val="Consolas"/>
        <family val="0"/>
        <charset val="1"/>
      </rPr>
      <t xml:space="preserve">  &lt;p class="saiyo-cta__footer"&gt;</t>
    </r>
    <r>
      <rPr>
        <sz val="9"/>
        <rFont val="WenQuanYi Zen Hei"/>
        <family val="2"/>
      </rPr>
      <t xml:space="preserve">スマートフォンでご覧の方は、そのままこの端末で登録を完了してください（別の端末やブラウザに移ると正しく処理されない場合があります）。</t>
    </r>
    <r>
      <rPr>
        <sz val="9"/>
        <rFont val="Consolas"/>
        <family val="0"/>
        <charset val="1"/>
      </rPr>
      <t xml:space="preserve">&lt;br&gt;</t>
    </r>
    <r>
      <rPr>
        <sz val="9"/>
        <rFont val="WenQuanYi Zen Hei"/>
        <family val="2"/>
      </rPr>
      <t xml:space="preserve">対象条件・求人数は各社公式サイトの表記に基づきます。</t>
    </r>
    <r>
      <rPr>
        <sz val="9"/>
        <rFont val="Consolas"/>
        <family val="0"/>
        <charset val="1"/>
      </rPr>
      <t xml:space="preserve">&lt;/p&gt;</t>
    </r>
  </si>
  <si>
    <t xml:space="preserve">&lt;/div&gt;</t>
  </si>
  <si>
    <r>
      <rPr>
        <b val="true"/>
        <sz val="14"/>
        <rFont val="WenQuanYi Zen Hei"/>
        <family val="2"/>
      </rPr>
      <t xml:space="preserve">パック</t>
    </r>
    <r>
      <rPr>
        <b val="true"/>
        <sz val="14"/>
        <rFont val="Meiryo UI"/>
        <family val="0"/>
        <charset val="1"/>
      </rPr>
      <t xml:space="preserve">J</t>
    </r>
    <r>
      <rPr>
        <b val="true"/>
        <sz val="14"/>
        <rFont val="WenQuanYi Zen Hei"/>
        <family val="2"/>
      </rPr>
      <t xml:space="preserve">（</t>
    </r>
    <r>
      <rPr>
        <b val="true"/>
        <sz val="14"/>
        <rFont val="Meiryo UI"/>
        <family val="0"/>
        <charset val="1"/>
      </rPr>
      <t xml:space="preserve">JAC</t>
    </r>
    <r>
      <rPr>
        <b val="true"/>
        <sz val="14"/>
        <rFont val="WenQuanYi Zen Hei"/>
        <family val="2"/>
      </rPr>
      <t xml:space="preserve">＋レバテックダイレクト）新規</t>
    </r>
  </si>
  <si>
    <r>
      <rPr>
        <sz val="9"/>
        <color rgb="FF666666"/>
        <rFont val="Meiryo UI"/>
        <family val="0"/>
        <charset val="1"/>
      </rPr>
      <t xml:space="preserve">10/14 </t>
    </r>
    <r>
      <rPr>
        <sz val="9"/>
        <color rgb="FF666666"/>
        <rFont val="WenQuanYi Zen Hei"/>
        <family val="2"/>
      </rPr>
      <t xml:space="preserve">にブログパーツを新規作成して貼る。タイトル例「パック</t>
    </r>
    <r>
      <rPr>
        <sz val="9"/>
        <color rgb="FF666666"/>
        <rFont val="Meiryo UI"/>
        <family val="0"/>
        <charset val="1"/>
      </rPr>
      <t xml:space="preserve">J_</t>
    </r>
    <r>
      <rPr>
        <sz val="9"/>
        <color rgb="FF666666"/>
        <rFont val="WenQuanYi Zen Hei"/>
        <family val="2"/>
      </rPr>
      <t xml:space="preserve">比較表（</t>
    </r>
    <r>
      <rPr>
        <sz val="9"/>
        <color rgb="FF666666"/>
        <rFont val="Meiryo UI"/>
        <family val="0"/>
        <charset val="1"/>
      </rPr>
      <t xml:space="preserve">JAC</t>
    </r>
    <r>
      <rPr>
        <sz val="9"/>
        <color rgb="FF666666"/>
        <rFont val="WenQuanYi Zen Hei"/>
        <family val="2"/>
      </rPr>
      <t xml:space="preserve">＋レバテックダイレクト）」。保存後の</t>
    </r>
    <r>
      <rPr>
        <sz val="9"/>
        <color rgb="FF666666"/>
        <rFont val="Meiryo UI"/>
        <family val="0"/>
        <charset val="1"/>
      </rPr>
      <t xml:space="preserve">ID</t>
    </r>
    <r>
      <rPr>
        <sz val="9"/>
        <color rgb="FF666666"/>
        <rFont val="WenQuanYi Zen Hei"/>
        <family val="2"/>
      </rPr>
      <t xml:space="preserve">を控える。使う記事：</t>
    </r>
    <r>
      <rPr>
        <sz val="9"/>
        <color rgb="FF666666"/>
        <rFont val="Meiryo UI"/>
        <family val="0"/>
        <charset val="1"/>
      </rPr>
      <t xml:space="preserve">979</t>
    </r>
    <r>
      <rPr>
        <sz val="9"/>
        <color rgb="FF666666"/>
        <rFont val="WenQuanYi Zen Hei"/>
        <family val="2"/>
      </rPr>
      <t xml:space="preserve">・</t>
    </r>
    <r>
      <rPr>
        <sz val="9"/>
        <color rgb="FF666666"/>
        <rFont val="Meiryo UI"/>
        <family val="0"/>
        <charset val="1"/>
      </rPr>
      <t xml:space="preserve">1489</t>
    </r>
    <r>
      <rPr>
        <sz val="9"/>
        <color rgb="FF666666"/>
        <rFont val="WenQuanYi Zen Hei"/>
        <family val="2"/>
      </rPr>
      <t xml:space="preserve">・</t>
    </r>
    <r>
      <rPr>
        <sz val="9"/>
        <color rgb="FF666666"/>
        <rFont val="Meiryo UI"/>
        <family val="0"/>
        <charset val="1"/>
      </rPr>
      <t xml:space="preserve">1827</t>
    </r>
    <r>
      <rPr>
        <sz val="9"/>
        <color rgb="FF666666"/>
        <rFont val="WenQuanYi Zen Hei"/>
        <family val="2"/>
      </rPr>
      <t xml:space="preserve">。</t>
    </r>
  </si>
  <si>
    <r>
      <rPr>
        <sz val="9"/>
        <rFont val="Consolas"/>
        <family val="0"/>
        <charset val="1"/>
      </rPr>
      <t xml:space="preserve">&lt;!-- </t>
    </r>
    <r>
      <rPr>
        <sz val="9"/>
        <rFont val="WenQuanYi Zen Hei"/>
        <family val="2"/>
      </rPr>
      <t xml:space="preserve">採用のウラ側 </t>
    </r>
    <r>
      <rPr>
        <sz val="9"/>
        <rFont val="Consolas"/>
        <family val="0"/>
        <charset val="1"/>
      </rPr>
      <t xml:space="preserve">/ </t>
    </r>
    <r>
      <rPr>
        <sz val="9"/>
        <rFont val="WenQuanYi Zen Hei"/>
        <family val="2"/>
      </rPr>
      <t xml:space="preserve">パック</t>
    </r>
    <r>
      <rPr>
        <sz val="9"/>
        <rFont val="Consolas"/>
        <family val="0"/>
        <charset val="1"/>
      </rPr>
      <t xml:space="preserve">J_</t>
    </r>
    <r>
      <rPr>
        <sz val="9"/>
        <rFont val="WenQuanYi Zen Hei"/>
        <family val="2"/>
      </rPr>
      <t xml:space="preserve">比較表（</t>
    </r>
    <r>
      <rPr>
        <sz val="9"/>
        <rFont val="Consolas"/>
        <family val="0"/>
        <charset val="1"/>
      </rPr>
      <t xml:space="preserve">JAC</t>
    </r>
    <r>
      <rPr>
        <sz val="9"/>
        <rFont val="WenQuanYi Zen Hei"/>
        <family val="2"/>
      </rPr>
      <t xml:space="preserve">＋レバテックダイレクト）</t>
    </r>
    <r>
      <rPr>
        <sz val="9"/>
        <rFont val="Consolas"/>
        <family val="0"/>
        <charset val="1"/>
      </rPr>
      <t xml:space="preserve">2026-10 </t>
    </r>
    <r>
      <rPr>
        <sz val="9"/>
        <rFont val="WenQuanYi Zen Hei"/>
        <family val="2"/>
      </rPr>
      <t xml:space="preserve">新規。使う記事：</t>
    </r>
    <r>
      <rPr>
        <sz val="9"/>
        <rFont val="Consolas"/>
        <family val="0"/>
        <charset val="1"/>
      </rPr>
      <t xml:space="preserve">979</t>
    </r>
    <r>
      <rPr>
        <sz val="9"/>
        <rFont val="WenQuanYi Zen Hei"/>
        <family val="2"/>
      </rPr>
      <t xml:space="preserve">・</t>
    </r>
    <r>
      <rPr>
        <sz val="9"/>
        <rFont val="Consolas"/>
        <family val="0"/>
        <charset val="1"/>
      </rPr>
      <t xml:space="preserve">1489</t>
    </r>
    <r>
      <rPr>
        <sz val="9"/>
        <rFont val="WenQuanYi Zen Hei"/>
        <family val="2"/>
      </rPr>
      <t xml:space="preserve">・</t>
    </r>
    <r>
      <rPr>
        <sz val="9"/>
        <rFont val="Consolas"/>
        <family val="0"/>
        <charset val="1"/>
      </rPr>
      <t xml:space="preserve">1827 --&gt;</t>
    </r>
  </si>
  <si>
    <r>
      <rPr>
        <sz val="9"/>
        <rFont val="Consolas"/>
        <family val="0"/>
        <charset val="1"/>
      </rPr>
      <t xml:space="preserve">/* </t>
    </r>
    <r>
      <rPr>
        <sz val="9"/>
        <rFont val="WenQuanYi Zen Hei"/>
        <family val="2"/>
      </rPr>
      <t xml:space="preserve">パック</t>
    </r>
    <r>
      <rPr>
        <sz val="9"/>
        <rFont val="Consolas"/>
        <family val="0"/>
        <charset val="1"/>
      </rPr>
      <t xml:space="preserve">A</t>
    </r>
    <r>
      <rPr>
        <sz val="9"/>
        <rFont val="WenQuanYi Zen Hei"/>
        <family val="2"/>
      </rPr>
      <t xml:space="preserve">（</t>
    </r>
    <r>
      <rPr>
        <sz val="9"/>
        <rFont val="Consolas"/>
        <family val="0"/>
        <charset val="1"/>
      </rPr>
      <t xml:space="preserve">2111</t>
    </r>
    <r>
      <rPr>
        <sz val="9"/>
        <rFont val="WenQuanYi Zen Hei"/>
        <family val="2"/>
      </rPr>
      <t xml:space="preserve">）と同じ</t>
    </r>
    <r>
      <rPr>
        <sz val="9"/>
        <rFont val="Consolas"/>
        <family val="0"/>
        <charset val="1"/>
      </rPr>
      <t xml:space="preserve">CSS</t>
    </r>
    <r>
      <rPr>
        <sz val="9"/>
        <rFont val="WenQuanYi Zen Hei"/>
        <family val="2"/>
      </rPr>
      <t xml:space="preserve">。変えるときは全パックを同時に変える </t>
    </r>
    <r>
      <rPr>
        <sz val="9"/>
        <rFont val="Consolas"/>
        <family val="0"/>
        <charset val="1"/>
      </rPr>
      <t xml:space="preserve">*/</t>
    </r>
  </si>
  <si>
    <r>
      <rPr>
        <sz val="9"/>
        <rFont val="Consolas"/>
        <family val="0"/>
        <charset val="1"/>
      </rPr>
      <t xml:space="preserve">  &lt;p class="saiyo-cta__title"&gt;</t>
    </r>
    <r>
      <rPr>
        <sz val="9"/>
        <rFont val="WenQuanYi Zen Hei"/>
        <family val="2"/>
      </rPr>
      <t xml:space="preserve">提示された条件が妥当かは</t>
    </r>
    <r>
      <rPr>
        <sz val="9"/>
        <rFont val="Consolas"/>
        <family val="0"/>
        <charset val="1"/>
      </rPr>
      <t xml:space="preserve">&lt;br&gt;</t>
    </r>
    <r>
      <rPr>
        <sz val="9"/>
        <rFont val="WenQuanYi Zen Hei"/>
        <family val="2"/>
      </rPr>
      <t xml:space="preserve">外の評価と比べて初めて分かります</t>
    </r>
    <r>
      <rPr>
        <sz val="9"/>
        <rFont val="Consolas"/>
        <family val="0"/>
        <charset val="1"/>
      </rPr>
      <t xml:space="preserve">&lt;/p&gt;</t>
    </r>
  </si>
  <si>
    <r>
      <rPr>
        <sz val="9"/>
        <rFont val="Consolas"/>
        <family val="0"/>
        <charset val="1"/>
      </rPr>
      <t xml:space="preserve">  &lt;p class="saiyo-cta__lead"&gt;</t>
    </r>
    <r>
      <rPr>
        <sz val="9"/>
        <rFont val="WenQuanYi Zen Hei"/>
        <family val="2"/>
      </rPr>
      <t xml:space="preserve">職種と経験に合わせて、相談先を選んでください。</t>
    </r>
    <r>
      <rPr>
        <sz val="9"/>
        <rFont val="Consolas"/>
        <family val="0"/>
        <charset val="1"/>
      </rPr>
      <t xml:space="preserve">&lt;/p&gt;</t>
    </r>
  </si>
  <si>
    <r>
      <rPr>
        <sz val="9"/>
        <rFont val="Consolas"/>
        <family val="0"/>
        <charset val="1"/>
      </rPr>
      <t xml:space="preserve">    &lt;div class="saiyo-cta__row saiyo-cta__row--best"&gt;&lt;span class="saiyo-cta__rank"&gt;</t>
    </r>
    <r>
      <rPr>
        <sz val="9"/>
        <rFont val="WenQuanYi Zen Hei"/>
        <family val="2"/>
      </rPr>
      <t xml:space="preserve">職種を問わず</t>
    </r>
    <r>
      <rPr>
        <sz val="9"/>
        <rFont val="Consolas"/>
        <family val="0"/>
        <charset val="1"/>
      </rPr>
      <t xml:space="preserve">&lt;/span&gt;</t>
    </r>
  </si>
  <si>
    <t xml:space="preserve">        &lt;a class="saiyo-cta__name-link" href="//ck.jp.ap.valuecommerce.com/servlet/referral?sid=3765202&amp;amp;pid=892724768" rel="nofollow sponsored"&gt;</t>
  </si>
  <si>
    <r>
      <rPr>
        <sz val="9"/>
        <rFont val="Consolas"/>
        <family val="0"/>
        <charset val="1"/>
      </rPr>
      <t xml:space="preserve">          &lt;div class="saiyo-cta__logo--text"&gt;JAC&lt;br&gt;</t>
    </r>
    <r>
      <rPr>
        <sz val="9"/>
        <rFont val="WenQuanYi Zen Hei"/>
        <family val="2"/>
      </rPr>
      <t xml:space="preserve">リクルートメント</t>
    </r>
    <r>
      <rPr>
        <sz val="9"/>
        <rFont val="Consolas"/>
        <family val="0"/>
        <charset val="1"/>
      </rPr>
      <t xml:space="preserve">&lt;/div&gt;</t>
    </r>
  </si>
  <si>
    <r>
      <rPr>
        <sz val="9"/>
        <rFont val="Consolas"/>
        <family val="0"/>
        <charset val="1"/>
      </rPr>
      <t xml:space="preserve">      &lt;div class="saiyo-cta__count"&gt;</t>
    </r>
    <r>
      <rPr>
        <sz val="9"/>
        <rFont val="WenQuanYi Zen Hei"/>
        <family val="2"/>
      </rPr>
      <t xml:space="preserve">管理・専門職</t>
    </r>
    <r>
      <rPr>
        <sz val="9"/>
        <rFont val="Consolas"/>
        <family val="0"/>
        <charset val="1"/>
      </rPr>
      <t xml:space="preserve">&lt;span class="saiyo-cta__count-sub"&gt;</t>
    </r>
    <r>
      <rPr>
        <sz val="9"/>
        <rFont val="WenQuanYi Zen Hei"/>
        <family val="2"/>
      </rPr>
      <t xml:space="preserve">ミドル・ハイクラス向け</t>
    </r>
    <r>
      <rPr>
        <sz val="9"/>
        <rFont val="Consolas"/>
        <family val="0"/>
        <charset val="1"/>
      </rPr>
      <t xml:space="preserve">&lt;/span&gt;&lt;span class="saiyo-cta__target"&gt;</t>
    </r>
    <r>
      <rPr>
        <sz val="9"/>
        <rFont val="WenQuanYi Zen Hei"/>
        <family val="2"/>
      </rPr>
      <t xml:space="preserve">年収</t>
    </r>
    <r>
      <rPr>
        <sz val="9"/>
        <rFont val="Consolas"/>
        <family val="0"/>
        <charset val="1"/>
      </rPr>
      <t xml:space="preserve">600</t>
    </r>
    <r>
      <rPr>
        <sz val="9"/>
        <rFont val="WenQuanYi Zen Hei"/>
        <family val="2"/>
      </rPr>
      <t xml:space="preserve">万円以上の方が中心</t>
    </r>
    <r>
      <rPr>
        <sz val="9"/>
        <rFont val="Consolas"/>
        <family val="0"/>
        <charset val="1"/>
      </rPr>
      <t xml:space="preserve">&lt;br&gt;</t>
    </r>
    <r>
      <rPr>
        <sz val="9"/>
        <rFont val="WenQuanYi Zen Hei"/>
        <family val="2"/>
      </rPr>
      <t xml:space="preserve">営業・管理部門・エンジニアなど</t>
    </r>
    <r>
      <rPr>
        <sz val="9"/>
        <rFont val="Consolas"/>
        <family val="0"/>
        <charset val="1"/>
      </rPr>
      <t xml:space="preserve">&lt;/span&gt;&lt;/div&gt;</t>
    </r>
  </si>
  <si>
    <r>
      <rPr>
        <sz val="9"/>
        <rFont val="Consolas"/>
        <family val="0"/>
        <charset val="1"/>
      </rPr>
      <t xml:space="preserve">        &lt;div class="saiyo-cta__hr"&gt;&lt;b&gt;</t>
    </r>
    <r>
      <rPr>
        <sz val="9"/>
        <rFont val="WenQuanYi Zen Hei"/>
        <family val="2"/>
      </rPr>
      <t xml:space="preserve">人事コメント：</t>
    </r>
    <r>
      <rPr>
        <sz val="9"/>
        <rFont val="Consolas"/>
        <family val="0"/>
        <charset val="1"/>
      </rPr>
      <t xml:space="preserve">&lt;/b&gt;</t>
    </r>
    <r>
      <rPr>
        <sz val="9"/>
        <rFont val="WenQuanYi Zen Hei"/>
        <family val="2"/>
      </rPr>
      <t xml:space="preserve">等級や年収の幅は、候補者本人からは聞きにくい項目です。</t>
    </r>
    <r>
      <rPr>
        <sz val="9"/>
        <rFont val="Consolas"/>
        <family val="0"/>
        <charset val="1"/>
      </rPr>
      <t xml:space="preserve">&lt;b&gt;</t>
    </r>
    <r>
      <rPr>
        <sz val="9"/>
        <rFont val="WenQuanYi Zen Hei"/>
        <family val="2"/>
      </rPr>
      <t xml:space="preserve">エージェントを通せば、確認として企業に聞いてもらえます。</t>
    </r>
    <r>
      <rPr>
        <sz val="9"/>
        <rFont val="Consolas"/>
        <family val="0"/>
        <charset val="1"/>
      </rPr>
      <t xml:space="preserve">&lt;/b&gt;&lt;/div&gt;</t>
    </r>
  </si>
  <si>
    <r>
      <rPr>
        <sz val="9"/>
        <rFont val="Consolas"/>
        <family val="0"/>
        <charset val="1"/>
      </rPr>
      <t xml:space="preserve">        &lt;div class="saiyo-cta__point-title"&gt;</t>
    </r>
    <r>
      <rPr>
        <sz val="9"/>
        <rFont val="WenQuanYi Zen Hei"/>
        <family val="2"/>
      </rPr>
      <t xml:space="preserve">【管理・専門職の転職に特化】</t>
    </r>
    <r>
      <rPr>
        <sz val="9"/>
        <rFont val="Consolas"/>
        <family val="0"/>
        <charset val="1"/>
      </rPr>
      <t xml:space="preserve">&lt;/div&gt;</t>
    </r>
  </si>
  <si>
    <r>
      <rPr>
        <sz val="9"/>
        <rFont val="WenQuanYi Zen Hei"/>
        <family val="2"/>
      </rPr>
      <t xml:space="preserve">        ✓ 管理部門・営業・エンジニアなど職種を問わず相談できる</t>
    </r>
    <r>
      <rPr>
        <sz val="9"/>
        <rFont val="Consolas"/>
        <family val="0"/>
        <charset val="1"/>
      </rPr>
      <t xml:space="preserve">&lt;br&gt;</t>
    </r>
  </si>
  <si>
    <r>
      <rPr>
        <sz val="9"/>
        <rFont val="WenQuanYi Zen Hei"/>
        <family val="2"/>
      </rPr>
      <t xml:space="preserve">        ✓ ミドル・ハイクラス向けの求人を扱う</t>
    </r>
    <r>
      <rPr>
        <sz val="9"/>
        <rFont val="Consolas"/>
        <family val="0"/>
        <charset val="1"/>
      </rPr>
      <t xml:space="preserve">&lt;br&gt;</t>
    </r>
  </si>
  <si>
    <t xml:space="preserve">        ✓ 東京・横浜・名古屋・大阪などに拠点がある</t>
  </si>
  <si>
    <r>
      <rPr>
        <sz val="9"/>
        <rFont val="Consolas"/>
        <family val="0"/>
        <charset val="1"/>
      </rPr>
      <t xml:space="preserve">        &lt;a class="saiyo-cta__btn" href="//ck.jp.ap.valuecommerce.com/servlet/referral?sid=3765202&amp;amp;pid=892724768" rel="nofollow sponsored"&gt;&lt;img src="//ad.jp.ap.valuecommerce.com/servlet/gifbanner?sid=3765202&amp;amp;pid=892724768" height="1" width="1" border="0"&gt;</t>
    </r>
    <r>
      <rPr>
        <sz val="9"/>
        <rFont val="WenQuanYi Zen Hei"/>
        <family val="2"/>
      </rPr>
      <t xml:space="preserve">無料で相談する ›</t>
    </r>
    <r>
      <rPr>
        <sz val="9"/>
        <rFont val="Consolas"/>
        <family val="0"/>
        <charset val="1"/>
      </rPr>
      <t xml:space="preserve">&lt;small&gt;</t>
    </r>
    <r>
      <rPr>
        <sz val="9"/>
        <rFont val="WenQuanYi Zen Hei"/>
        <family val="2"/>
      </rPr>
      <t xml:space="preserve">この端末のまま完了を</t>
    </r>
    <r>
      <rPr>
        <sz val="9"/>
        <rFont val="Consolas"/>
        <family val="0"/>
        <charset val="1"/>
      </rPr>
      <t xml:space="preserve">&lt;/small&gt;&lt;/a&gt;</t>
    </r>
  </si>
  <si>
    <r>
      <rPr>
        <sz val="9"/>
        <rFont val="Consolas"/>
        <family val="0"/>
        <charset val="1"/>
      </rPr>
      <t xml:space="preserve">    &lt;div class="saiyo-cta__row"&gt;&lt;span class="saiyo-cta__rank"&gt;</t>
    </r>
    <r>
      <rPr>
        <sz val="9"/>
        <rFont val="WenQuanYi Zen Hei"/>
        <family val="2"/>
      </rPr>
      <t xml:space="preserve">エンジニアなら</t>
    </r>
    <r>
      <rPr>
        <sz val="9"/>
        <rFont val="Consolas"/>
        <family val="0"/>
        <charset val="1"/>
      </rPr>
      <t xml:space="preserve">&lt;/span&gt;</t>
    </r>
  </si>
  <si>
    <r>
      <rPr>
        <sz val="9"/>
        <rFont val="Consolas"/>
        <family val="0"/>
        <charset val="1"/>
      </rPr>
      <t xml:space="preserve">  &lt;p class="saiyo-cta__footer"&gt;</t>
    </r>
    <r>
      <rPr>
        <sz val="9"/>
        <rFont val="WenQuanYi Zen Hei"/>
        <family val="2"/>
      </rPr>
      <t xml:space="preserve">スマートフォンでご覧の方は、そのままこの端末で登録を完了してください（別の端末やブラウザに移ると正しく処理されない場合があります）。</t>
    </r>
    <r>
      <rPr>
        <sz val="9"/>
        <rFont val="Consolas"/>
        <family val="0"/>
        <charset val="1"/>
      </rPr>
      <t xml:space="preserve">&lt;br&gt;</t>
    </r>
    <r>
      <rPr>
        <sz val="9"/>
        <rFont val="WenQuanYi Zen Hei"/>
        <family val="2"/>
      </rPr>
      <t xml:space="preserve">対象条件は各社公式サイトの表記に基づきます。</t>
    </r>
    <r>
      <rPr>
        <sz val="9"/>
        <rFont val="Consolas"/>
        <family val="0"/>
        <charset val="1"/>
      </rPr>
      <t xml:space="preserve">&lt;/p&gt;</t>
    </r>
  </si>
  <si>
    <r>
      <rPr>
        <b val="true"/>
        <sz val="14"/>
        <rFont val="WenQuanYi Zen Hei"/>
        <family val="2"/>
      </rPr>
      <t xml:space="preserve">パック</t>
    </r>
    <r>
      <rPr>
        <b val="true"/>
        <sz val="14"/>
        <rFont val="Meiryo UI"/>
        <family val="0"/>
        <charset val="1"/>
      </rPr>
      <t xml:space="preserve">N</t>
    </r>
    <r>
      <rPr>
        <b val="true"/>
        <sz val="14"/>
        <rFont val="WenQuanYi Zen Hei"/>
        <family val="2"/>
      </rPr>
      <t xml:space="preserve">（第二新卒エージェント</t>
    </r>
    <r>
      <rPr>
        <b val="true"/>
        <sz val="14"/>
        <rFont val="Meiryo UI"/>
        <family val="0"/>
        <charset val="1"/>
      </rPr>
      <t xml:space="preserve">neo</t>
    </r>
    <r>
      <rPr>
        <b val="true"/>
        <sz val="14"/>
        <rFont val="WenQuanYi Zen Hei"/>
        <family val="2"/>
      </rPr>
      <t xml:space="preserve">）新規</t>
    </r>
  </si>
  <si>
    <r>
      <rPr>
        <sz val="9"/>
        <color rgb="FF666666"/>
        <rFont val="Meiryo UI"/>
        <family val="0"/>
        <charset val="1"/>
      </rPr>
      <t xml:space="preserve">10/14 </t>
    </r>
    <r>
      <rPr>
        <sz val="9"/>
        <color rgb="FF666666"/>
        <rFont val="WenQuanYi Zen Hei"/>
        <family val="2"/>
      </rPr>
      <t xml:space="preserve">にブログパーツを新規作成して貼る。タイトル例「パック</t>
    </r>
    <r>
      <rPr>
        <sz val="9"/>
        <color rgb="FF666666"/>
        <rFont val="Meiryo UI"/>
        <family val="0"/>
        <charset val="1"/>
      </rPr>
      <t xml:space="preserve">N_20</t>
    </r>
    <r>
      <rPr>
        <sz val="9"/>
        <color rgb="FF666666"/>
        <rFont val="WenQuanYi Zen Hei"/>
        <family val="2"/>
      </rPr>
      <t xml:space="preserve">代（</t>
    </r>
    <r>
      <rPr>
        <sz val="9"/>
        <color rgb="FF666666"/>
        <rFont val="Meiryo UI"/>
        <family val="0"/>
        <charset val="1"/>
      </rPr>
      <t xml:space="preserve">neo</t>
    </r>
    <r>
      <rPr>
        <sz val="9"/>
        <color rgb="FF666666"/>
        <rFont val="WenQuanYi Zen Hei"/>
        <family val="2"/>
      </rPr>
      <t xml:space="preserve">）」。保存後の</t>
    </r>
    <r>
      <rPr>
        <sz val="9"/>
        <color rgb="FF666666"/>
        <rFont val="Meiryo UI"/>
        <family val="0"/>
        <charset val="1"/>
      </rPr>
      <t xml:space="preserve">ID</t>
    </r>
    <r>
      <rPr>
        <sz val="9"/>
        <color rgb="FF666666"/>
        <rFont val="WenQuanYi Zen Hei"/>
        <family val="2"/>
      </rPr>
      <t xml:space="preserve">を控える。使う記事：</t>
    </r>
    <r>
      <rPr>
        <sz val="9"/>
        <color rgb="FF666666"/>
        <rFont val="Meiryo UI"/>
        <family val="0"/>
        <charset val="1"/>
      </rPr>
      <t xml:space="preserve">1790</t>
    </r>
    <r>
      <rPr>
        <sz val="9"/>
        <color rgb="FF666666"/>
        <rFont val="WenQuanYi Zen Hei"/>
        <family val="2"/>
      </rPr>
      <t xml:space="preserve">。</t>
    </r>
  </si>
  <si>
    <r>
      <rPr>
        <b val="true"/>
        <sz val="10"/>
        <color rgb="FFFFFFFF"/>
        <rFont val="WenQuanYi Zen Hei"/>
        <family val="2"/>
      </rPr>
      <t xml:space="preserve">コード（</t>
    </r>
    <r>
      <rPr>
        <b val="true"/>
        <sz val="10"/>
        <color rgb="FFFFFFFF"/>
        <rFont val="Meiryo UI"/>
        <family val="0"/>
        <charset val="1"/>
      </rPr>
      <t xml:space="preserve">B5</t>
    </r>
    <r>
      <rPr>
        <b val="true"/>
        <sz val="10"/>
        <color rgb="FFFFFFFF"/>
        <rFont val="WenQuanYi Zen Hei"/>
        <family val="2"/>
      </rPr>
      <t xml:space="preserve">〜</t>
    </r>
    <r>
      <rPr>
        <b val="true"/>
        <sz val="10"/>
        <color rgb="FFFFFFFF"/>
        <rFont val="Meiryo UI"/>
        <family val="0"/>
        <charset val="1"/>
      </rPr>
      <t xml:space="preserve">B76 </t>
    </r>
    <r>
      <rPr>
        <b val="true"/>
        <sz val="10"/>
        <color rgb="FFFFFFFF"/>
        <rFont val="WenQuanYi Zen Hei"/>
        <family val="2"/>
      </rPr>
      <t xml:space="preserve">を選んでコピー）</t>
    </r>
  </si>
  <si>
    <r>
      <rPr>
        <sz val="9"/>
        <rFont val="Consolas"/>
        <family val="0"/>
        <charset val="1"/>
      </rPr>
      <t xml:space="preserve">&lt;!-- </t>
    </r>
    <r>
      <rPr>
        <sz val="9"/>
        <rFont val="WenQuanYi Zen Hei"/>
        <family val="2"/>
      </rPr>
      <t xml:space="preserve">採用のウラ側 </t>
    </r>
    <r>
      <rPr>
        <sz val="9"/>
        <rFont val="Consolas"/>
        <family val="0"/>
        <charset val="1"/>
      </rPr>
      <t xml:space="preserve">/ </t>
    </r>
    <r>
      <rPr>
        <sz val="9"/>
        <rFont val="WenQuanYi Zen Hei"/>
        <family val="2"/>
      </rPr>
      <t xml:space="preserve">パック</t>
    </r>
    <r>
      <rPr>
        <sz val="9"/>
        <rFont val="Consolas"/>
        <family val="0"/>
        <charset val="1"/>
      </rPr>
      <t xml:space="preserve">N_20</t>
    </r>
    <r>
      <rPr>
        <sz val="9"/>
        <rFont val="WenQuanYi Zen Hei"/>
        <family val="2"/>
      </rPr>
      <t xml:space="preserve">代（第二新卒エージェント</t>
    </r>
    <r>
      <rPr>
        <sz val="9"/>
        <rFont val="Consolas"/>
        <family val="0"/>
        <charset val="1"/>
      </rPr>
      <t xml:space="preserve">neo</t>
    </r>
    <r>
      <rPr>
        <sz val="9"/>
        <rFont val="WenQuanYi Zen Hei"/>
        <family val="2"/>
      </rPr>
      <t xml:space="preserve">）</t>
    </r>
    <r>
      <rPr>
        <sz val="9"/>
        <rFont val="Consolas"/>
        <family val="0"/>
        <charset val="1"/>
      </rPr>
      <t xml:space="preserve">2026-10 </t>
    </r>
    <r>
      <rPr>
        <sz val="9"/>
        <rFont val="WenQuanYi Zen Hei"/>
        <family val="2"/>
      </rPr>
      <t xml:space="preserve">新規。使う記事：</t>
    </r>
    <r>
      <rPr>
        <sz val="9"/>
        <rFont val="Consolas"/>
        <family val="0"/>
        <charset val="1"/>
      </rPr>
      <t xml:space="preserve">1790 --&gt;</t>
    </r>
  </si>
  <si>
    <r>
      <rPr>
        <sz val="9"/>
        <rFont val="Consolas"/>
        <family val="0"/>
        <charset val="1"/>
      </rPr>
      <t xml:space="preserve">  &lt;div class="saiyo-cta__badge-wrap"&gt;&lt;span class="saiyo-cta__badge"&gt;</t>
    </r>
    <r>
      <rPr>
        <sz val="9"/>
        <rFont val="WenQuanYi Zen Hei"/>
        <family val="2"/>
      </rPr>
      <t xml:space="preserve">相談は無料です</t>
    </r>
    <r>
      <rPr>
        <sz val="9"/>
        <rFont val="Consolas"/>
        <family val="0"/>
        <charset val="1"/>
      </rPr>
      <t xml:space="preserve">&lt;/span&gt;&lt;/div&gt;</t>
    </r>
  </si>
  <si>
    <r>
      <rPr>
        <sz val="9"/>
        <rFont val="Consolas"/>
        <family val="0"/>
        <charset val="1"/>
      </rPr>
      <t xml:space="preserve">  &lt;p class="saiyo-cta__title"&gt;</t>
    </r>
    <r>
      <rPr>
        <sz val="9"/>
        <rFont val="WenQuanYi Zen Hei"/>
        <family val="2"/>
      </rPr>
      <t xml:space="preserve">ひとりで進めるのが不安な</t>
    </r>
    <r>
      <rPr>
        <sz val="9"/>
        <rFont val="Consolas"/>
        <family val="0"/>
        <charset val="1"/>
      </rPr>
      <t xml:space="preserve">20</t>
    </r>
    <r>
      <rPr>
        <sz val="9"/>
        <rFont val="WenQuanYi Zen Hei"/>
        <family val="2"/>
      </rPr>
      <t xml:space="preserve">代の方へ</t>
    </r>
    <r>
      <rPr>
        <sz val="9"/>
        <rFont val="Consolas"/>
        <family val="0"/>
        <charset val="1"/>
      </rPr>
      <t xml:space="preserve">&lt;/p&gt;</t>
    </r>
  </si>
  <si>
    <r>
      <rPr>
        <sz val="9"/>
        <rFont val="Consolas"/>
        <family val="0"/>
        <charset val="1"/>
      </rPr>
      <t xml:space="preserve">  &lt;p class="saiyo-cta__lead"&gt;</t>
    </r>
    <r>
      <rPr>
        <sz val="9"/>
        <rFont val="WenQuanYi Zen Hei"/>
        <family val="2"/>
      </rPr>
      <t xml:space="preserve">書類づくりから面接まで、担当者と一緒に進められるエージェントです。</t>
    </r>
    <r>
      <rPr>
        <sz val="9"/>
        <rFont val="Consolas"/>
        <family val="0"/>
        <charset val="1"/>
      </rPr>
      <t xml:space="preserve">&lt;/p&gt;</t>
    </r>
  </si>
  <si>
    <t xml:space="preserve">    &lt;div class="saiyo-cta__row saiyo-cta__row--best"&gt;</t>
  </si>
  <si>
    <t xml:space="preserve">        &lt;a class="saiyo-cta__name-link" href="https://px.a8.net/svt/ejp?a8mat=4B1ILL+72TKGQ+3Y6M+63H8I" rel="nofollow sponsored"&gt;</t>
  </si>
  <si>
    <r>
      <rPr>
        <sz val="9"/>
        <rFont val="Consolas"/>
        <family val="0"/>
        <charset val="1"/>
      </rPr>
      <t xml:space="preserve">          &lt;div class="saiyo-cta__logo--text"&gt;</t>
    </r>
    <r>
      <rPr>
        <sz val="9"/>
        <rFont val="WenQuanYi Zen Hei"/>
        <family val="2"/>
      </rPr>
      <t xml:space="preserve">第二新卒</t>
    </r>
    <r>
      <rPr>
        <sz val="9"/>
        <rFont val="Consolas"/>
        <family val="0"/>
        <charset val="1"/>
      </rPr>
      <t xml:space="preserve">&lt;br&gt;</t>
    </r>
    <r>
      <rPr>
        <sz val="9"/>
        <rFont val="WenQuanYi Zen Hei"/>
        <family val="2"/>
      </rPr>
      <t xml:space="preserve">エージェント</t>
    </r>
    <r>
      <rPr>
        <sz val="9"/>
        <rFont val="Consolas"/>
        <family val="0"/>
        <charset val="1"/>
      </rPr>
      <t xml:space="preserve">neo&lt;/div&gt;</t>
    </r>
  </si>
  <si>
    <r>
      <rPr>
        <sz val="9"/>
        <rFont val="Consolas"/>
        <family val="0"/>
        <charset val="1"/>
      </rPr>
      <t xml:space="preserve">          &lt;div class="saiyo-cta__name-text"&gt;</t>
    </r>
    <r>
      <rPr>
        <sz val="9"/>
        <rFont val="WenQuanYi Zen Hei"/>
        <family val="2"/>
      </rPr>
      <t xml:space="preserve">伴走型エージェント</t>
    </r>
    <r>
      <rPr>
        <sz val="9"/>
        <rFont val="Consolas"/>
        <family val="0"/>
        <charset val="1"/>
      </rPr>
      <t xml:space="preserve">&lt;/div&gt;</t>
    </r>
  </si>
  <si>
    <r>
      <rPr>
        <sz val="9"/>
        <rFont val="Consolas"/>
        <family val="0"/>
        <charset val="1"/>
      </rPr>
      <t xml:space="preserve">      &lt;div class="saiyo-cta__count"&gt;20</t>
    </r>
    <r>
      <rPr>
        <sz val="9"/>
        <rFont val="WenQuanYi Zen Hei"/>
        <family val="2"/>
      </rPr>
      <t xml:space="preserve">代向け</t>
    </r>
    <r>
      <rPr>
        <sz val="9"/>
        <rFont val="Consolas"/>
        <family val="0"/>
        <charset val="1"/>
      </rPr>
      <t xml:space="preserve">&lt;span class="saiyo-cta__count-sub"&gt;</t>
    </r>
    <r>
      <rPr>
        <sz val="9"/>
        <rFont val="WenQuanYi Zen Hei"/>
        <family val="2"/>
      </rPr>
      <t xml:space="preserve">第二新卒・既卒・フリーター</t>
    </r>
    <r>
      <rPr>
        <sz val="9"/>
        <rFont val="Consolas"/>
        <family val="0"/>
        <charset val="1"/>
      </rPr>
      <t xml:space="preserve">&lt;/span&gt;&lt;span class="saiyo-cta__target"&gt;18</t>
    </r>
    <r>
      <rPr>
        <sz val="9"/>
        <rFont val="WenQuanYi Zen Hei"/>
        <family val="2"/>
      </rPr>
      <t xml:space="preserve">歳以下・</t>
    </r>
    <r>
      <rPr>
        <sz val="9"/>
        <rFont val="Consolas"/>
        <family val="0"/>
        <charset val="1"/>
      </rPr>
      <t xml:space="preserve">29</t>
    </r>
    <r>
      <rPr>
        <sz val="9"/>
        <rFont val="WenQuanYi Zen Hei"/>
        <family val="2"/>
      </rPr>
      <t xml:space="preserve">歳以上の方、</t>
    </r>
    <r>
      <rPr>
        <sz val="9"/>
        <rFont val="Consolas"/>
        <family val="0"/>
        <charset val="1"/>
      </rPr>
      <t xml:space="preserve">&lt;br&gt;</t>
    </r>
    <r>
      <rPr>
        <sz val="9"/>
        <rFont val="WenQuanYi Zen Hei"/>
        <family val="2"/>
      </rPr>
      <t xml:space="preserve">新卒での就職を希望する方は対象外</t>
    </r>
    <r>
      <rPr>
        <sz val="9"/>
        <rFont val="Consolas"/>
        <family val="0"/>
        <charset val="1"/>
      </rPr>
      <t xml:space="preserve">&lt;/span&gt;&lt;/div&gt;</t>
    </r>
  </si>
  <si>
    <r>
      <rPr>
        <sz val="9"/>
        <rFont val="Consolas"/>
        <family val="0"/>
        <charset val="1"/>
      </rPr>
      <t xml:space="preserve">        &lt;div class="saiyo-cta__hr"&gt;&lt;b&gt;</t>
    </r>
    <r>
      <rPr>
        <sz val="9"/>
        <rFont val="WenQuanYi Zen Hei"/>
        <family val="2"/>
      </rPr>
      <t xml:space="preserve">人事コメント：</t>
    </r>
    <r>
      <rPr>
        <sz val="9"/>
        <rFont val="Consolas"/>
        <family val="0"/>
        <charset val="1"/>
      </rPr>
      <t xml:space="preserve">&lt;/b&gt;</t>
    </r>
    <r>
      <rPr>
        <sz val="9"/>
        <rFont val="WenQuanYi Zen Hei"/>
        <family val="2"/>
      </rPr>
      <t xml:space="preserve">落ちた回数より、</t>
    </r>
    <r>
      <rPr>
        <sz val="9"/>
        <rFont val="Consolas"/>
        <family val="0"/>
        <charset val="1"/>
      </rPr>
      <t xml:space="preserve">&lt;b&gt;</t>
    </r>
    <r>
      <rPr>
        <sz val="9"/>
        <rFont val="WenQuanYi Zen Hei"/>
        <family val="2"/>
      </rPr>
      <t xml:space="preserve">原因をどう直したかを話せるか</t>
    </r>
    <r>
      <rPr>
        <sz val="9"/>
        <rFont val="Consolas"/>
        <family val="0"/>
        <charset val="1"/>
      </rPr>
      <t xml:space="preserve">&lt;/b&gt;</t>
    </r>
    <r>
      <rPr>
        <sz val="9"/>
        <rFont val="WenQuanYi Zen Hei"/>
        <family val="2"/>
      </rPr>
      <t xml:space="preserve">が見られます。振り返りを一緒にしてくれる相手がいると、次の応募が変わります。</t>
    </r>
    <r>
      <rPr>
        <sz val="9"/>
        <rFont val="Consolas"/>
        <family val="0"/>
        <charset val="1"/>
      </rPr>
      <t xml:space="preserve">&lt;/div&gt;</t>
    </r>
  </si>
  <si>
    <r>
      <rPr>
        <sz val="9"/>
        <rFont val="Consolas"/>
        <family val="0"/>
        <charset val="1"/>
      </rPr>
      <t xml:space="preserve">        &lt;div class="saiyo-cta__point-title"&gt;</t>
    </r>
    <r>
      <rPr>
        <sz val="9"/>
        <rFont val="WenQuanYi Zen Hei"/>
        <family val="2"/>
      </rPr>
      <t xml:space="preserve">【担当者と一緒に進める】</t>
    </r>
    <r>
      <rPr>
        <sz val="9"/>
        <rFont val="Consolas"/>
        <family val="0"/>
        <charset val="1"/>
      </rPr>
      <t xml:space="preserve">&lt;/div&gt;</t>
    </r>
  </si>
  <si>
    <r>
      <rPr>
        <sz val="9"/>
        <rFont val="WenQuanYi Zen Hei"/>
        <family val="2"/>
      </rPr>
      <t xml:space="preserve">        ✓ 書類の添削・作成まで一緒に進めてくれる</t>
    </r>
    <r>
      <rPr>
        <sz val="9"/>
        <rFont val="Consolas"/>
        <family val="0"/>
        <charset val="1"/>
      </rPr>
      <t xml:space="preserve">&lt;br&gt;</t>
    </r>
  </si>
  <si>
    <r>
      <rPr>
        <sz val="9"/>
        <rFont val="Consolas"/>
        <family val="0"/>
        <charset val="1"/>
      </rPr>
      <t xml:space="preserve">        ✓ WEB</t>
    </r>
    <r>
      <rPr>
        <sz val="9"/>
        <rFont val="WenQuanYi Zen Hei"/>
        <family val="2"/>
      </rPr>
      <t xml:space="preserve">面談ならスマホで自宅から相談できる</t>
    </r>
    <r>
      <rPr>
        <sz val="9"/>
        <rFont val="Consolas"/>
        <family val="0"/>
        <charset val="1"/>
      </rPr>
      <t xml:space="preserve">&lt;br&gt;</t>
    </r>
  </si>
  <si>
    <r>
      <rPr>
        <sz val="9"/>
        <rFont val="WenQuanYi Zen Hei"/>
        <family val="2"/>
      </rPr>
      <t xml:space="preserve">        ✓ 東京・大阪・福岡の拠点と</t>
    </r>
    <r>
      <rPr>
        <sz val="9"/>
        <rFont val="Consolas"/>
        <family val="0"/>
        <charset val="1"/>
      </rPr>
      <t xml:space="preserve">WEB</t>
    </r>
    <r>
      <rPr>
        <sz val="9"/>
        <rFont val="WenQuanYi Zen Hei"/>
        <family val="2"/>
      </rPr>
      <t xml:space="preserve">面談で全国に対応</t>
    </r>
  </si>
  <si>
    <r>
      <rPr>
        <sz val="9"/>
        <rFont val="Consolas"/>
        <family val="0"/>
        <charset val="1"/>
      </rPr>
      <t xml:space="preserve">        &lt;a class="saiyo-cta__btn" href="https://px.a8.net/svt/ejp?a8mat=4B1ILL+72TKGQ+3Y6M+63H8I" rel="nofollow sponsored"&gt;</t>
    </r>
    <r>
      <rPr>
        <sz val="9"/>
        <rFont val="WenQuanYi Zen Hei"/>
        <family val="2"/>
      </rPr>
      <t xml:space="preserve">無料で相談する ›</t>
    </r>
    <r>
      <rPr>
        <sz val="9"/>
        <rFont val="Consolas"/>
        <family val="0"/>
        <charset val="1"/>
      </rPr>
      <t xml:space="preserve">&lt;small&gt;</t>
    </r>
    <r>
      <rPr>
        <sz val="9"/>
        <rFont val="WenQuanYi Zen Hei"/>
        <family val="2"/>
      </rPr>
      <t xml:space="preserve">登録後、そのまま面談日を選べます</t>
    </r>
    <r>
      <rPr>
        <sz val="9"/>
        <rFont val="Consolas"/>
        <family val="0"/>
        <charset val="1"/>
      </rPr>
      <t xml:space="preserve">&lt;/small&gt;&lt;/a&gt;</t>
    </r>
  </si>
  <si>
    <t xml:space="preserve">        &lt;img border="0" width="1" height="1" src="https://www15.a8.net/0.gif?a8mat=4B1ILL+72TKGQ+3Y6M+63H8I" alt=""&gt;</t>
  </si>
  <si>
    <r>
      <rPr>
        <sz val="9"/>
        <rFont val="Consolas"/>
        <family val="0"/>
        <charset val="1"/>
      </rPr>
      <t xml:space="preserve">  &lt;p class="saiyo-cta__footer"&gt;</t>
    </r>
    <r>
      <rPr>
        <sz val="9"/>
        <rFont val="WenQuanYi Zen Hei"/>
        <family val="2"/>
      </rPr>
      <t xml:space="preserve">スマートフォンでご覧の方は、そのままこの端末で登録を完了してください（別の端末やブラウザに移ると正しく処理されない場合があります）。</t>
    </r>
    <r>
      <rPr>
        <sz val="9"/>
        <rFont val="Consolas"/>
        <family val="0"/>
        <charset val="1"/>
      </rPr>
      <t xml:space="preserve">&lt;br&gt;</t>
    </r>
    <r>
      <rPr>
        <sz val="9"/>
        <rFont val="WenQuanYi Zen Hei"/>
        <family val="2"/>
      </rPr>
      <t xml:space="preserve">対象条件は公式サイトの表記に基づきます。</t>
    </r>
    <r>
      <rPr>
        <sz val="9"/>
        <rFont val="Consolas"/>
        <family val="0"/>
        <charset val="1"/>
      </rPr>
      <t xml:space="preserve">&lt;/p&gt;</t>
    </r>
  </si>
  <si>
    <r>
      <rPr>
        <b val="true"/>
        <sz val="14"/>
        <rFont val="Meiryo UI"/>
        <family val="0"/>
        <charset val="1"/>
      </rPr>
      <t xml:space="preserve">979 </t>
    </r>
    <r>
      <rPr>
        <b val="true"/>
        <sz val="14"/>
        <rFont val="WenQuanYi Zen Hei"/>
        <family val="2"/>
      </rPr>
      <t xml:space="preserve">用のテキストリンク</t>
    </r>
  </si>
  <si>
    <r>
      <rPr>
        <sz val="9"/>
        <color rgb="FF666666"/>
        <rFont val="WenQuanYi Zen Hei"/>
        <family val="2"/>
      </rPr>
      <t xml:space="preserve">段落ブロックに貼ると</t>
    </r>
    <r>
      <rPr>
        <sz val="9"/>
        <color rgb="FF666666"/>
        <rFont val="Meiryo UI"/>
        <family val="0"/>
        <charset val="1"/>
      </rPr>
      <t xml:space="preserve">WordPress</t>
    </r>
    <r>
      <rPr>
        <sz val="9"/>
        <color rgb="FF666666"/>
        <rFont val="WenQuanYi Zen Hei"/>
        <family val="2"/>
      </rPr>
      <t xml:space="preserve">が画像の行を消すことがあるので、カスタム</t>
    </r>
    <r>
      <rPr>
        <sz val="9"/>
        <color rgb="FF666666"/>
        <rFont val="Meiryo UI"/>
        <family val="0"/>
        <charset val="1"/>
      </rPr>
      <t xml:space="preserve">HTML</t>
    </r>
    <r>
      <rPr>
        <sz val="9"/>
        <color rgb="FF666666"/>
        <rFont val="WenQuanYi Zen Hei"/>
        <family val="2"/>
      </rPr>
      <t xml:space="preserve">ブロックで入れる。</t>
    </r>
  </si>
  <si>
    <t xml:space="preserve">用途</t>
  </si>
  <si>
    <r>
      <rPr>
        <b val="true"/>
        <sz val="10"/>
        <color rgb="FFFFFFFF"/>
        <rFont val="WenQuanYi Zen Hei"/>
        <family val="2"/>
      </rPr>
      <t xml:space="preserve">コード（</t>
    </r>
    <r>
      <rPr>
        <b val="true"/>
        <sz val="10"/>
        <color rgb="FFFFFFFF"/>
        <rFont val="Meiryo UI"/>
        <family val="0"/>
        <charset val="1"/>
      </rPr>
      <t xml:space="preserve">B</t>
    </r>
    <r>
      <rPr>
        <b val="true"/>
        <sz val="10"/>
        <color rgb="FFFFFFFF"/>
        <rFont val="WenQuanYi Zen Hei"/>
        <family val="2"/>
      </rPr>
      <t xml:space="preserve">列のセルを選んでコピー）</t>
    </r>
  </si>
  <si>
    <t xml:space="preserve">レバテックダイレクト</t>
  </si>
  <si>
    <r>
      <rPr>
        <sz val="9"/>
        <rFont val="Consolas"/>
        <family val="0"/>
        <charset val="1"/>
      </rPr>
      <t xml:space="preserve">&lt;a href="https://px.a8.net/svt/ejp?a8mat=4B1ILL+786GWQ+2JK4+4SNX5E" rel="nofollow sponsored"&gt;</t>
    </r>
    <r>
      <rPr>
        <sz val="9"/>
        <rFont val="WenQuanYi Zen Hei"/>
        <family val="2"/>
      </rPr>
      <t xml:space="preserve">レバテックダイレクト</t>
    </r>
    <r>
      <rPr>
        <sz val="9"/>
        <rFont val="Consolas"/>
        <family val="0"/>
        <charset val="1"/>
      </rPr>
      <t xml:space="preserve">&lt;/a&gt;&lt;img border="0" width="1" height="1" src="https://www11.a8.net/0.gif?a8mat=4B1ILL+786GWQ+2JK4+4SNX5E" alt=""&gt;</t>
    </r>
  </si>
  <si>
    <r>
      <rPr>
        <b val="true"/>
        <sz val="10"/>
        <rFont val="Meiryo UI"/>
        <family val="0"/>
        <charset val="1"/>
      </rPr>
      <t xml:space="preserve">JAC</t>
    </r>
    <r>
      <rPr>
        <b val="true"/>
        <sz val="10"/>
        <rFont val="WenQuanYi Zen Hei"/>
        <family val="2"/>
      </rPr>
      <t xml:space="preserve">リクルートメント</t>
    </r>
  </si>
  <si>
    <r>
      <rPr>
        <sz val="9"/>
        <rFont val="Consolas"/>
        <family val="0"/>
        <charset val="1"/>
      </rPr>
      <t xml:space="preserve">&lt;a href="//ck.jp.ap.valuecommerce.com/servlet/referral?sid=3765202&amp;amp;pid=892724768" rel="nofollow sponsored"&gt;&lt;img src="//ad.jp.ap.valuecommerce.com/servlet/gifbanner?sid=3765202&amp;amp;pid=892724768" height="1" width="1" border="0"&gt;JAC</t>
    </r>
    <r>
      <rPr>
        <sz val="9"/>
        <rFont val="WenQuanYi Zen Hei"/>
        <family val="2"/>
      </rPr>
      <t xml:space="preserve">リクルートメント</t>
    </r>
    <r>
      <rPr>
        <sz val="9"/>
        <rFont val="Consolas"/>
        <family val="0"/>
        <charset val="1"/>
      </rPr>
      <t xml:space="preserve">&lt;/a&gt;</t>
    </r>
  </si>
  <si>
    <r>
      <rPr>
        <b val="true"/>
        <sz val="10"/>
        <rFont val="Meiryo UI"/>
        <family val="0"/>
        <charset val="1"/>
      </rPr>
      <t xml:space="preserve">979 </t>
    </r>
    <r>
      <rPr>
        <b val="true"/>
        <sz val="10"/>
        <rFont val="WenQuanYi Zen Hei"/>
        <family val="2"/>
      </rPr>
      <t xml:space="preserve">課長・部長の章の後</t>
    </r>
  </si>
  <si>
    <r>
      <rPr>
        <sz val="9"/>
        <rFont val="Consolas"/>
        <family val="0"/>
        <charset val="1"/>
      </rPr>
      <t xml:space="preserve">&lt;p&gt;</t>
    </r>
    <r>
      <rPr>
        <sz val="9"/>
        <rFont val="WenQuanYi Zen Hei"/>
        <family val="2"/>
      </rPr>
      <t xml:space="preserve">ポジションの等級をエージェント経由で確認したい方は、</t>
    </r>
    <r>
      <rPr>
        <sz val="9"/>
        <rFont val="Consolas"/>
        <family val="0"/>
        <charset val="1"/>
      </rPr>
      <t xml:space="preserve">&lt;a href="//ck.jp.ap.valuecommerce.com/servlet/referral?sid=3765202&amp;amp;pid=892724768" rel="nofollow sponsored"&gt;&lt;img src="//ad.jp.ap.valuecommerce.com/servlet/gifbanner?sid=3765202&amp;amp;pid=892724768" height="1" width="1" border="0"&gt;JAC</t>
    </r>
    <r>
      <rPr>
        <sz val="9"/>
        <rFont val="WenQuanYi Zen Hei"/>
        <family val="2"/>
      </rPr>
      <t xml:space="preserve">リクルートメント</t>
    </r>
    <r>
      <rPr>
        <sz val="9"/>
        <rFont val="Consolas"/>
        <family val="0"/>
        <charset val="1"/>
      </rPr>
      <t xml:space="preserve">&lt;/a&gt;</t>
    </r>
    <r>
      <rPr>
        <sz val="9"/>
        <rFont val="WenQuanYi Zen Hei"/>
        <family val="2"/>
      </rPr>
      <t xml:space="preserve">に相談できます。年収</t>
    </r>
    <r>
      <rPr>
        <sz val="9"/>
        <rFont val="Consolas"/>
        <family val="0"/>
        <charset val="1"/>
      </rPr>
      <t xml:space="preserve">600</t>
    </r>
    <r>
      <rPr>
        <sz val="9"/>
        <rFont val="WenQuanYi Zen Hei"/>
        <family val="2"/>
      </rPr>
      <t xml:space="preserve">万円以上の方が中心のサービスです。</t>
    </r>
    <r>
      <rPr>
        <sz val="9"/>
        <rFont val="Consolas"/>
        <family val="0"/>
        <charset val="1"/>
      </rPr>
      <t xml:space="preserve">&lt;/p&gt;</t>
    </r>
  </si>
  <si>
    <r>
      <rPr>
        <b val="true"/>
        <sz val="10"/>
        <rFont val="Meiryo UI"/>
        <family val="0"/>
        <charset val="1"/>
      </rPr>
      <t xml:space="preserve">979 </t>
    </r>
    <r>
      <rPr>
        <b val="true"/>
        <sz val="10"/>
        <rFont val="WenQuanYi Zen Hei"/>
        <family val="2"/>
      </rPr>
      <t xml:space="preserve">まとめ（段落）</t>
    </r>
  </si>
  <si>
    <r>
      <rPr>
        <sz val="9"/>
        <rFont val="Consolas"/>
        <family val="0"/>
        <charset val="1"/>
      </rPr>
      <t xml:space="preserve">&lt;p&gt;</t>
    </r>
    <r>
      <rPr>
        <sz val="9"/>
        <rFont val="WenQuanYi Zen Hei"/>
        <family val="2"/>
      </rPr>
      <t xml:space="preserve">富士通への応募を考えている方は、まず</t>
    </r>
    <r>
      <rPr>
        <sz val="9"/>
        <rFont val="Consolas"/>
        <family val="0"/>
        <charset val="1"/>
      </rPr>
      <t xml:space="preserve">Level</t>
    </r>
    <r>
      <rPr>
        <sz val="9"/>
        <rFont val="WenQuanYi Zen Hei"/>
        <family val="2"/>
      </rPr>
      <t xml:space="preserve">と</t>
    </r>
    <r>
      <rPr>
        <sz val="9"/>
        <rFont val="Consolas"/>
        <family val="0"/>
        <charset val="1"/>
      </rPr>
      <t xml:space="preserve">SPIRIT</t>
    </r>
    <r>
      <rPr>
        <sz val="9"/>
        <rFont val="WenQuanYi Zen Hei"/>
        <family val="2"/>
      </rPr>
      <t xml:space="preserve">の確認から。オファー面談の前に、外の評価も知っておくと判断しやすくなります。</t>
    </r>
    <r>
      <rPr>
        <sz val="9"/>
        <rFont val="Consolas"/>
        <family val="0"/>
        <charset val="1"/>
      </rPr>
      <t xml:space="preserve">&lt;/p&gt;</t>
    </r>
  </si>
  <si>
    <r>
      <rPr>
        <b val="true"/>
        <sz val="10"/>
        <rFont val="Meiryo UI"/>
        <family val="0"/>
        <charset val="1"/>
      </rPr>
      <t xml:space="preserve">979 </t>
    </r>
    <r>
      <rPr>
        <b val="true"/>
        <sz val="10"/>
        <rFont val="WenQuanYi Zen Hei"/>
        <family val="2"/>
      </rPr>
      <t xml:space="preserve">まとめ（箇条書き）</t>
    </r>
  </si>
  <si>
    <t xml:space="preserve">&lt;ul&gt;</t>
  </si>
  <si>
    <r>
      <rPr>
        <sz val="9"/>
        <rFont val="Consolas"/>
        <family val="0"/>
        <charset val="1"/>
      </rPr>
      <t xml:space="preserve">&lt;li&gt;</t>
    </r>
    <r>
      <rPr>
        <sz val="9"/>
        <rFont val="WenQuanYi Zen Hei"/>
        <family val="2"/>
      </rPr>
      <t xml:space="preserve">管理・専門職、年収</t>
    </r>
    <r>
      <rPr>
        <sz val="9"/>
        <rFont val="Consolas"/>
        <family val="0"/>
        <charset val="1"/>
      </rPr>
      <t xml:space="preserve">600</t>
    </r>
    <r>
      <rPr>
        <sz val="9"/>
        <rFont val="WenQuanYi Zen Hei"/>
        <family val="2"/>
      </rPr>
      <t xml:space="preserve">万円以上の方 → </t>
    </r>
    <r>
      <rPr>
        <sz val="9"/>
        <rFont val="Consolas"/>
        <family val="0"/>
        <charset val="1"/>
      </rPr>
      <t xml:space="preserve">&lt;a href="//ck.jp.ap.valuecommerce.com/servlet/referral?sid=3765202&amp;amp;pid=892724768" rel="nofollow sponsored"&gt;&lt;img src="//ad.jp.ap.valuecommerce.com/servlet/gifbanner?sid=3765202&amp;amp;pid=892724768" height="1" width="1" border="0"&gt;JAC</t>
    </r>
    <r>
      <rPr>
        <sz val="9"/>
        <rFont val="WenQuanYi Zen Hei"/>
        <family val="2"/>
      </rPr>
      <t xml:space="preserve">リクルートメント</t>
    </r>
    <r>
      <rPr>
        <sz val="9"/>
        <rFont val="Consolas"/>
        <family val="0"/>
        <charset val="1"/>
      </rPr>
      <t xml:space="preserve">&lt;/a&gt;&lt;/li&gt;</t>
    </r>
  </si>
  <si>
    <r>
      <rPr>
        <sz val="9"/>
        <rFont val="Consolas"/>
        <family val="0"/>
        <charset val="1"/>
      </rPr>
      <t xml:space="preserve">&lt;li&gt;</t>
    </r>
    <r>
      <rPr>
        <sz val="9"/>
        <rFont val="WenQuanYi Zen Hei"/>
        <family val="2"/>
      </rPr>
      <t xml:space="preserve">エンジニア・クリエイターの実務経験がある方 → </t>
    </r>
    <r>
      <rPr>
        <sz val="9"/>
        <rFont val="Consolas"/>
        <family val="0"/>
        <charset val="1"/>
      </rPr>
      <t xml:space="preserve">&lt;a href="https://px.a8.net/svt/ejp?a8mat=4B1ILL+786GWQ+2JK4+4SNX5E" rel="nofollow sponsored"&gt;</t>
    </r>
    <r>
      <rPr>
        <sz val="9"/>
        <rFont val="WenQuanYi Zen Hei"/>
        <family val="2"/>
      </rPr>
      <t xml:space="preserve">レバテックダイレクト</t>
    </r>
    <r>
      <rPr>
        <sz val="9"/>
        <rFont val="Consolas"/>
        <family val="0"/>
        <charset val="1"/>
      </rPr>
      <t xml:space="preserve">&lt;/a&gt;&lt;img border="0" width="1" height="1" src="https://www11.a8.net/0.gif?a8mat=4B1ILL+786GWQ+2JK4+4SNX5E" alt=""&gt;&lt;/li&gt;</t>
    </r>
  </si>
  <si>
    <t xml:space="preserve">&lt;/ul&gt;</t>
  </si>
  <si>
    <r>
      <rPr>
        <sz val="9"/>
        <color rgb="FF666666"/>
        <rFont val="WenQuanYi Zen Hei"/>
        <family val="2"/>
      </rPr>
      <t xml:space="preserve">まとめの箇条書きは </t>
    </r>
    <r>
      <rPr>
        <sz val="9"/>
        <color rgb="FF666666"/>
        <rFont val="Meiryo UI"/>
        <family val="0"/>
        <charset val="1"/>
      </rPr>
      <t xml:space="preserve">B10</t>
    </r>
    <r>
      <rPr>
        <sz val="9"/>
        <color rgb="FF666666"/>
        <rFont val="WenQuanYi Zen Hei"/>
        <family val="2"/>
      </rPr>
      <t xml:space="preserve">〜</t>
    </r>
    <r>
      <rPr>
        <sz val="9"/>
        <color rgb="FF666666"/>
        <rFont val="Meiryo UI"/>
        <family val="0"/>
        <charset val="1"/>
      </rPr>
      <t xml:space="preserve">B13 </t>
    </r>
    <r>
      <rPr>
        <sz val="9"/>
        <color rgb="FF666666"/>
        <rFont val="WenQuanYi Zen Hei"/>
        <family val="2"/>
      </rPr>
      <t xml:space="preserve">をまとめて選んでコピー。</t>
    </r>
  </si>
  <si>
    <r>
      <rPr>
        <b val="true"/>
        <sz val="14"/>
        <rFont val="Meiryo UI"/>
        <family val="0"/>
        <charset val="1"/>
      </rPr>
      <t xml:space="preserve">1479 </t>
    </r>
    <r>
      <rPr>
        <b val="true"/>
        <sz val="14"/>
        <rFont val="WenQuanYi Zen Hei"/>
        <family val="2"/>
      </rPr>
      <t xml:space="preserve">に貼る文（</t>
    </r>
    <r>
      <rPr>
        <b val="true"/>
        <sz val="14"/>
        <rFont val="Meiryo UI"/>
        <family val="0"/>
        <charset val="1"/>
      </rPr>
      <t xml:space="preserve">10/13</t>
    </r>
    <r>
      <rPr>
        <b val="true"/>
        <sz val="14"/>
        <rFont val="WenQuanYi Zen Hei"/>
        <family val="2"/>
      </rPr>
      <t xml:space="preserve">）</t>
    </r>
  </si>
  <si>
    <r>
      <rPr>
        <sz val="9"/>
        <color rgb="FF666666"/>
        <rFont val="Meiryo UI"/>
        <family val="0"/>
        <charset val="1"/>
      </rPr>
      <t xml:space="preserve">H3</t>
    </r>
    <r>
      <rPr>
        <sz val="9"/>
        <color rgb="FF666666"/>
        <rFont val="WenQuanYi Zen Hei"/>
        <family val="2"/>
      </rPr>
      <t xml:space="preserve">「</t>
    </r>
    <r>
      <rPr>
        <sz val="9"/>
        <color rgb="FF666666"/>
        <rFont val="Meiryo UI"/>
        <family val="0"/>
        <charset val="1"/>
      </rPr>
      <t xml:space="preserve">2026</t>
    </r>
    <r>
      <rPr>
        <sz val="9"/>
        <color rgb="FF666666"/>
        <rFont val="WenQuanYi Zen Hei"/>
        <family val="2"/>
      </rPr>
      <t xml:space="preserve">年度の受験スケジュール」の、「</t>
    </r>
    <r>
      <rPr>
        <sz val="9"/>
        <color rgb="FF666666"/>
        <rFont val="Meiryo UI"/>
        <family val="0"/>
        <charset val="1"/>
      </rPr>
      <t xml:space="preserve">2026</t>
    </r>
    <r>
      <rPr>
        <sz val="9"/>
        <color rgb="FF666666"/>
        <rFont val="WenQuanYi Zen Hei"/>
        <family val="2"/>
      </rPr>
      <t xml:space="preserve">年度は前期試験として</t>
    </r>
    <r>
      <rPr>
        <sz val="9"/>
        <color rgb="FF666666"/>
        <rFont val="Meiryo UI"/>
        <family val="0"/>
        <charset val="1"/>
      </rPr>
      <t xml:space="preserve">2026</t>
    </r>
    <r>
      <rPr>
        <sz val="9"/>
        <color rgb="FF666666"/>
        <rFont val="WenQuanYi Zen Hei"/>
        <family val="2"/>
      </rPr>
      <t xml:space="preserve">年</t>
    </r>
    <r>
      <rPr>
        <sz val="9"/>
        <color rgb="FF666666"/>
        <rFont val="Meiryo UI"/>
        <family val="0"/>
        <charset val="1"/>
      </rPr>
      <t xml:space="preserve">11</t>
    </r>
    <r>
      <rPr>
        <sz val="9"/>
        <color rgb="FF666666"/>
        <rFont val="WenQuanYi Zen Hei"/>
        <family val="2"/>
      </rPr>
      <t xml:space="preserve">月頃に…」から「…</t>
    </r>
    <r>
      <rPr>
        <sz val="9"/>
        <color rgb="FF666666"/>
        <rFont val="Meiryo UI"/>
        <family val="0"/>
        <charset val="1"/>
      </rPr>
      <t xml:space="preserve">IPA</t>
    </r>
    <r>
      <rPr>
        <sz val="9"/>
        <color rgb="FF666666"/>
        <rFont val="WenQuanYi Zen Hei"/>
        <family val="2"/>
      </rPr>
      <t xml:space="preserve">公式ページで必ず最新情報を確認しましょう。」までを置き換える。貼る前に</t>
    </r>
    <r>
      <rPr>
        <sz val="9"/>
        <color rgb="FF666666"/>
        <rFont val="Meiryo UI"/>
        <family val="0"/>
        <charset val="1"/>
      </rPr>
      <t xml:space="preserve">IPA</t>
    </r>
    <r>
      <rPr>
        <sz val="9"/>
        <color rgb="FF666666"/>
        <rFont val="WenQuanYi Zen Hei"/>
        <family val="2"/>
      </rPr>
      <t xml:space="preserve">のページで日程を確認する。</t>
    </r>
  </si>
  <si>
    <r>
      <rPr>
        <b val="true"/>
        <sz val="10"/>
        <color rgb="FFFFFFFF"/>
        <rFont val="WenQuanYi Zen Hei"/>
        <family val="2"/>
      </rPr>
      <t xml:space="preserve">コード（</t>
    </r>
    <r>
      <rPr>
        <b val="true"/>
        <sz val="10"/>
        <color rgb="FFFFFFFF"/>
        <rFont val="Meiryo UI"/>
        <family val="0"/>
        <charset val="1"/>
      </rPr>
      <t xml:space="preserve">B5</t>
    </r>
    <r>
      <rPr>
        <b val="true"/>
        <sz val="10"/>
        <color rgb="FFFFFFFF"/>
        <rFont val="WenQuanYi Zen Hei"/>
        <family val="2"/>
      </rPr>
      <t xml:space="preserve">〜</t>
    </r>
    <r>
      <rPr>
        <b val="true"/>
        <sz val="10"/>
        <color rgb="FFFFFFFF"/>
        <rFont val="Meiryo UI"/>
        <family val="0"/>
        <charset val="1"/>
      </rPr>
      <t xml:space="preserve">B19 </t>
    </r>
    <r>
      <rPr>
        <b val="true"/>
        <sz val="10"/>
        <color rgb="FFFFFFFF"/>
        <rFont val="WenQuanYi Zen Hei"/>
        <family val="2"/>
      </rPr>
      <t xml:space="preserve">を選んでコピー）</t>
    </r>
  </si>
  <si>
    <t xml:space="preserve">&lt;!-- wp:paragraph {"className":"is-style-big_icon_caution"} --&gt;</t>
  </si>
  <si>
    <r>
      <rPr>
        <sz val="9"/>
        <rFont val="Consolas"/>
        <family val="0"/>
        <charset val="1"/>
      </rPr>
      <t xml:space="preserve">&lt;p class="is-style-big_icon_caution"&gt;&lt;strong&gt;</t>
    </r>
    <r>
      <rPr>
        <sz val="9"/>
        <rFont val="WenQuanYi Zen Hei"/>
        <family val="2"/>
      </rPr>
      <t xml:space="preserve">「システムアーキテクト」の名前で受けられる最後の試験は、</t>
    </r>
    <r>
      <rPr>
        <sz val="9"/>
        <rFont val="Consolas"/>
        <family val="0"/>
        <charset val="1"/>
      </rPr>
      <t xml:space="preserve">2026</t>
    </r>
    <r>
      <rPr>
        <sz val="9"/>
        <rFont val="WenQuanYi Zen Hei"/>
        <family val="2"/>
      </rPr>
      <t xml:space="preserve">年度前期です。申込の締切は</t>
    </r>
    <r>
      <rPr>
        <sz val="9"/>
        <rFont val="Consolas"/>
        <family val="0"/>
        <charset val="1"/>
      </rPr>
      <t xml:space="preserve">2026</t>
    </r>
    <r>
      <rPr>
        <sz val="9"/>
        <rFont val="WenQuanYi Zen Hei"/>
        <family val="2"/>
      </rPr>
      <t xml:space="preserve">年</t>
    </r>
    <r>
      <rPr>
        <sz val="9"/>
        <rFont val="Consolas"/>
        <family val="0"/>
        <charset val="1"/>
      </rPr>
      <t xml:space="preserve">10</t>
    </r>
    <r>
      <rPr>
        <sz val="9"/>
        <rFont val="WenQuanYi Zen Hei"/>
        <family val="2"/>
      </rPr>
      <t xml:space="preserve">月</t>
    </r>
    <r>
      <rPr>
        <sz val="9"/>
        <rFont val="Consolas"/>
        <family val="0"/>
        <charset val="1"/>
      </rPr>
      <t xml:space="preserve">24</t>
    </r>
    <r>
      <rPr>
        <sz val="9"/>
        <rFont val="WenQuanYi Zen Hei"/>
        <family val="2"/>
      </rPr>
      <t xml:space="preserve">日（土）</t>
    </r>
    <r>
      <rPr>
        <sz val="9"/>
        <rFont val="Consolas"/>
        <family val="0"/>
        <charset val="1"/>
      </rPr>
      <t xml:space="preserve">17</t>
    </r>
    <r>
      <rPr>
        <sz val="9"/>
        <rFont val="WenQuanYi Zen Hei"/>
        <family val="2"/>
      </rPr>
      <t xml:space="preserve">時です。</t>
    </r>
    <r>
      <rPr>
        <sz val="9"/>
        <rFont val="Consolas"/>
        <family val="0"/>
        <charset val="1"/>
      </rPr>
      <t xml:space="preserve">&lt;/strong&gt;&lt;/p&gt;</t>
    </r>
  </si>
  <si>
    <t xml:space="preserve">&lt;!-- /wp:paragraph --&gt;</t>
  </si>
  <si>
    <t xml:space="preserve">&lt;!-- wp:flexible-table-block/table --&gt;</t>
  </si>
  <si>
    <r>
      <rPr>
        <sz val="9"/>
        <rFont val="Consolas"/>
        <family val="0"/>
        <charset val="1"/>
      </rPr>
      <t xml:space="preserve">&lt;figure class="wp-block-flexible-table-block-table"&gt;&lt;table class="has-fixed-layout"&gt;&lt;thead&gt;&lt;tr&gt;&lt;th&gt;</t>
    </r>
    <r>
      <rPr>
        <sz val="9"/>
        <rFont val="WenQuanYi Zen Hei"/>
        <family val="2"/>
      </rPr>
      <t xml:space="preserve">項目</t>
    </r>
    <r>
      <rPr>
        <sz val="9"/>
        <rFont val="Consolas"/>
        <family val="0"/>
        <charset val="1"/>
      </rPr>
      <t xml:space="preserve">&lt;/th&gt;&lt;th&gt;</t>
    </r>
    <r>
      <rPr>
        <sz val="9"/>
        <rFont val="WenQuanYi Zen Hei"/>
        <family val="2"/>
      </rPr>
      <t xml:space="preserve">日程・内容</t>
    </r>
    <r>
      <rPr>
        <sz val="9"/>
        <rFont val="Consolas"/>
        <family val="0"/>
        <charset val="1"/>
      </rPr>
      <t xml:space="preserve">&lt;/th&gt;&lt;/tr&gt;&lt;/thead&gt;&lt;tbody&gt;&lt;tr&gt;&lt;td&gt;</t>
    </r>
    <r>
      <rPr>
        <sz val="9"/>
        <rFont val="WenQuanYi Zen Hei"/>
        <family val="2"/>
      </rPr>
      <t xml:space="preserve">申込受付</t>
    </r>
    <r>
      <rPr>
        <sz val="9"/>
        <rFont val="Consolas"/>
        <family val="0"/>
        <charset val="1"/>
      </rPr>
      <t xml:space="preserve">&lt;/td&gt;&lt;td&gt;2026</t>
    </r>
    <r>
      <rPr>
        <sz val="9"/>
        <rFont val="WenQuanYi Zen Hei"/>
        <family val="2"/>
      </rPr>
      <t xml:space="preserve">年</t>
    </r>
    <r>
      <rPr>
        <sz val="9"/>
        <rFont val="Consolas"/>
        <family val="0"/>
        <charset val="1"/>
      </rPr>
      <t xml:space="preserve">10</t>
    </r>
    <r>
      <rPr>
        <sz val="9"/>
        <rFont val="WenQuanYi Zen Hei"/>
        <family val="2"/>
      </rPr>
      <t xml:space="preserve">月</t>
    </r>
    <r>
      <rPr>
        <sz val="9"/>
        <rFont val="Consolas"/>
        <family val="0"/>
        <charset val="1"/>
      </rPr>
      <t xml:space="preserve">6</t>
    </r>
    <r>
      <rPr>
        <sz val="9"/>
        <rFont val="WenQuanYi Zen Hei"/>
        <family val="2"/>
      </rPr>
      <t xml:space="preserve">日（火）</t>
    </r>
    <r>
      <rPr>
        <sz val="9"/>
        <rFont val="Consolas"/>
        <family val="0"/>
        <charset val="1"/>
      </rPr>
      <t xml:space="preserve">10</t>
    </r>
    <r>
      <rPr>
        <sz val="9"/>
        <rFont val="WenQuanYi Zen Hei"/>
        <family val="2"/>
      </rPr>
      <t xml:space="preserve">時〜</t>
    </r>
    <r>
      <rPr>
        <sz val="9"/>
        <rFont val="Consolas"/>
        <family val="0"/>
        <charset val="1"/>
      </rPr>
      <t xml:space="preserve">10</t>
    </r>
    <r>
      <rPr>
        <sz val="9"/>
        <rFont val="WenQuanYi Zen Hei"/>
        <family val="2"/>
      </rPr>
      <t xml:space="preserve">月</t>
    </r>
    <r>
      <rPr>
        <sz val="9"/>
        <rFont val="Consolas"/>
        <family val="0"/>
        <charset val="1"/>
      </rPr>
      <t xml:space="preserve">24</t>
    </r>
    <r>
      <rPr>
        <sz val="9"/>
        <rFont val="WenQuanYi Zen Hei"/>
        <family val="2"/>
      </rPr>
      <t xml:space="preserve">日（土）</t>
    </r>
    <r>
      <rPr>
        <sz val="9"/>
        <rFont val="Consolas"/>
        <family val="0"/>
        <charset val="1"/>
      </rPr>
      <t xml:space="preserve">17</t>
    </r>
    <r>
      <rPr>
        <sz val="9"/>
        <rFont val="WenQuanYi Zen Hei"/>
        <family val="2"/>
      </rPr>
      <t xml:space="preserve">時</t>
    </r>
    <r>
      <rPr>
        <sz val="9"/>
        <rFont val="Consolas"/>
        <family val="0"/>
        <charset val="1"/>
      </rPr>
      <t xml:space="preserve">&lt;/td&gt;&lt;/tr&gt;&lt;tr&gt;&lt;td&gt;</t>
    </r>
    <r>
      <rPr>
        <sz val="9"/>
        <rFont val="WenQuanYi Zen Hei"/>
        <family val="2"/>
      </rPr>
      <t xml:space="preserve">科目</t>
    </r>
    <r>
      <rPr>
        <sz val="9"/>
        <rFont val="Consolas"/>
        <family val="0"/>
        <charset val="1"/>
      </rPr>
      <t xml:space="preserve">A-1</t>
    </r>
    <r>
      <rPr>
        <sz val="9"/>
        <rFont val="WenQuanYi Zen Hei"/>
        <family val="2"/>
      </rPr>
      <t xml:space="preserve">・</t>
    </r>
    <r>
      <rPr>
        <sz val="9"/>
        <rFont val="Consolas"/>
        <family val="0"/>
        <charset val="1"/>
      </rPr>
      <t xml:space="preserve">A-2&lt;/td&gt;&lt;td&gt;2026</t>
    </r>
    <r>
      <rPr>
        <sz val="9"/>
        <rFont val="WenQuanYi Zen Hei"/>
        <family val="2"/>
      </rPr>
      <t xml:space="preserve">年</t>
    </r>
    <r>
      <rPr>
        <sz val="9"/>
        <rFont val="Consolas"/>
        <family val="0"/>
        <charset val="1"/>
      </rPr>
      <t xml:space="preserve">10</t>
    </r>
    <r>
      <rPr>
        <sz val="9"/>
        <rFont val="WenQuanYi Zen Hei"/>
        <family val="2"/>
      </rPr>
      <t xml:space="preserve">月</t>
    </r>
    <r>
      <rPr>
        <sz val="9"/>
        <rFont val="Consolas"/>
        <family val="0"/>
        <charset val="1"/>
      </rPr>
      <t xml:space="preserve">17</t>
    </r>
    <r>
      <rPr>
        <sz val="9"/>
        <rFont val="WenQuanYi Zen Hei"/>
        <family val="2"/>
      </rPr>
      <t xml:space="preserve">日（土）〜</t>
    </r>
    <r>
      <rPr>
        <sz val="9"/>
        <rFont val="Consolas"/>
        <family val="0"/>
        <charset val="1"/>
      </rPr>
      <t xml:space="preserve">10</t>
    </r>
    <r>
      <rPr>
        <sz val="9"/>
        <rFont val="WenQuanYi Zen Hei"/>
        <family val="2"/>
      </rPr>
      <t xml:space="preserve">月</t>
    </r>
    <r>
      <rPr>
        <sz val="9"/>
        <rFont val="Consolas"/>
        <family val="0"/>
        <charset val="1"/>
      </rPr>
      <t xml:space="preserve">27</t>
    </r>
    <r>
      <rPr>
        <sz val="9"/>
        <rFont val="WenQuanYi Zen Hei"/>
        <family val="2"/>
      </rPr>
      <t xml:space="preserve">日（火）</t>
    </r>
    <r>
      <rPr>
        <sz val="9"/>
        <rFont val="Consolas"/>
        <family val="0"/>
        <charset val="1"/>
      </rPr>
      <t xml:space="preserve">&lt;/td&gt;&lt;/tr&gt;&lt;tr&gt;&lt;td&gt;</t>
    </r>
    <r>
      <rPr>
        <sz val="9"/>
        <rFont val="WenQuanYi Zen Hei"/>
        <family val="2"/>
      </rPr>
      <t xml:space="preserve">科目</t>
    </r>
    <r>
      <rPr>
        <sz val="9"/>
        <rFont val="Consolas"/>
        <family val="0"/>
        <charset val="1"/>
      </rPr>
      <t xml:space="preserve">B-1</t>
    </r>
    <r>
      <rPr>
        <sz val="9"/>
        <rFont val="WenQuanYi Zen Hei"/>
        <family val="2"/>
      </rPr>
      <t xml:space="preserve">・</t>
    </r>
    <r>
      <rPr>
        <sz val="9"/>
        <rFont val="Consolas"/>
        <family val="0"/>
        <charset val="1"/>
      </rPr>
      <t xml:space="preserve">B-2&lt;/td&gt;&lt;td&gt;2026</t>
    </r>
    <r>
      <rPr>
        <sz val="9"/>
        <rFont val="WenQuanYi Zen Hei"/>
        <family val="2"/>
      </rPr>
      <t xml:space="preserve">年</t>
    </r>
    <r>
      <rPr>
        <sz val="9"/>
        <rFont val="Consolas"/>
        <family val="0"/>
        <charset val="1"/>
      </rPr>
      <t xml:space="preserve">11</t>
    </r>
    <r>
      <rPr>
        <sz val="9"/>
        <rFont val="WenQuanYi Zen Hei"/>
        <family val="2"/>
      </rPr>
      <t xml:space="preserve">月</t>
    </r>
    <r>
      <rPr>
        <sz val="9"/>
        <rFont val="Consolas"/>
        <family val="0"/>
        <charset val="1"/>
      </rPr>
      <t xml:space="preserve">11</t>
    </r>
    <r>
      <rPr>
        <sz val="9"/>
        <rFont val="WenQuanYi Zen Hei"/>
        <family val="2"/>
      </rPr>
      <t xml:space="preserve">日（水）〜</t>
    </r>
    <r>
      <rPr>
        <sz val="9"/>
        <rFont val="Consolas"/>
        <family val="0"/>
        <charset val="1"/>
      </rPr>
      <t xml:space="preserve">11</t>
    </r>
    <r>
      <rPr>
        <sz val="9"/>
        <rFont val="WenQuanYi Zen Hei"/>
        <family val="2"/>
      </rPr>
      <t xml:space="preserve">月</t>
    </r>
    <r>
      <rPr>
        <sz val="9"/>
        <rFont val="Consolas"/>
        <family val="0"/>
        <charset val="1"/>
      </rPr>
      <t xml:space="preserve">23</t>
    </r>
    <r>
      <rPr>
        <sz val="9"/>
        <rFont val="WenQuanYi Zen Hei"/>
        <family val="2"/>
      </rPr>
      <t xml:space="preserve">日（月）</t>
    </r>
    <r>
      <rPr>
        <sz val="9"/>
        <rFont val="Consolas"/>
        <family val="0"/>
        <charset val="1"/>
      </rPr>
      <t xml:space="preserve">&lt;/td&gt;&lt;/tr&gt;&lt;tr&gt;&lt;td&gt;</t>
    </r>
    <r>
      <rPr>
        <sz val="9"/>
        <rFont val="WenQuanYi Zen Hei"/>
        <family val="2"/>
      </rPr>
      <t xml:space="preserve">合格発表</t>
    </r>
    <r>
      <rPr>
        <sz val="9"/>
        <rFont val="Consolas"/>
        <family val="0"/>
        <charset val="1"/>
      </rPr>
      <t xml:space="preserve">&lt;/td&gt;&lt;td&gt;2027</t>
    </r>
    <r>
      <rPr>
        <sz val="9"/>
        <rFont val="WenQuanYi Zen Hei"/>
        <family val="2"/>
      </rPr>
      <t xml:space="preserve">年</t>
    </r>
    <r>
      <rPr>
        <sz val="9"/>
        <rFont val="Consolas"/>
        <family val="0"/>
        <charset val="1"/>
      </rPr>
      <t xml:space="preserve">2</t>
    </r>
    <r>
      <rPr>
        <sz val="9"/>
        <rFont val="WenQuanYi Zen Hei"/>
        <family val="2"/>
      </rPr>
      <t xml:space="preserve">月頃（予定）</t>
    </r>
    <r>
      <rPr>
        <sz val="9"/>
        <rFont val="Consolas"/>
        <family val="0"/>
        <charset val="1"/>
      </rPr>
      <t xml:space="preserve">&lt;/td&gt;&lt;/tr&gt;&lt;tr&gt;&lt;td&gt;</t>
    </r>
    <r>
      <rPr>
        <sz val="9"/>
        <rFont val="WenQuanYi Zen Hei"/>
        <family val="2"/>
      </rPr>
      <t xml:space="preserve">受け方</t>
    </r>
    <r>
      <rPr>
        <sz val="9"/>
        <rFont val="Consolas"/>
        <family val="0"/>
        <charset val="1"/>
      </rPr>
      <t xml:space="preserve">&lt;/td&gt;&lt;td&gt;CBT</t>
    </r>
    <r>
      <rPr>
        <sz val="9"/>
        <rFont val="WenQuanYi Zen Hei"/>
        <family val="2"/>
      </rPr>
      <t xml:space="preserve">方式（会場のパソコンで受ける方式）</t>
    </r>
    <r>
      <rPr>
        <sz val="9"/>
        <rFont val="Consolas"/>
        <family val="0"/>
        <charset val="1"/>
      </rPr>
      <t xml:space="preserve">&lt;/td&gt;&lt;/tr&gt;&lt;/tbody&gt;&lt;/table&gt;&lt;figcaption&gt;</t>
    </r>
    <r>
      <rPr>
        <sz val="9"/>
        <rFont val="WenQuanYi Zen Hei"/>
        <family val="2"/>
      </rPr>
      <t xml:space="preserve">出典：</t>
    </r>
    <r>
      <rPr>
        <sz val="9"/>
        <rFont val="Consolas"/>
        <family val="0"/>
        <charset val="1"/>
      </rPr>
      <t xml:space="preserve">&lt;a href="https://www.ipa.go.jp/shiken/2026/ap_koudo_sc_kikan.html" target="_blank" rel="noopener"&gt;IPA</t>
    </r>
    <r>
      <rPr>
        <sz val="9"/>
        <rFont val="WenQuanYi Zen Hei"/>
        <family val="2"/>
      </rPr>
      <t xml:space="preserve">「令和</t>
    </r>
    <r>
      <rPr>
        <sz val="9"/>
        <rFont val="Consolas"/>
        <family val="0"/>
        <charset val="1"/>
      </rPr>
      <t xml:space="preserve">8</t>
    </r>
    <r>
      <rPr>
        <sz val="9"/>
        <rFont val="WenQuanYi Zen Hei"/>
        <family val="2"/>
      </rPr>
      <t xml:space="preserve">年度 応用情報技術者試験、高度試験及び情報処理安全確保支援士試験の申込受付期間及び試験実施期間について」</t>
    </r>
    <r>
      <rPr>
        <sz val="9"/>
        <rFont val="Consolas"/>
        <family val="0"/>
        <charset val="1"/>
      </rPr>
      <t xml:space="preserve">&lt;/a&gt;</t>
    </r>
    <r>
      <rPr>
        <sz val="9"/>
        <rFont val="WenQuanYi Zen Hei"/>
        <family val="2"/>
      </rPr>
      <t xml:space="preserve">（</t>
    </r>
    <r>
      <rPr>
        <sz val="9"/>
        <rFont val="Consolas"/>
        <family val="0"/>
        <charset val="1"/>
      </rPr>
      <t xml:space="preserve">2026</t>
    </r>
    <r>
      <rPr>
        <sz val="9"/>
        <rFont val="WenQuanYi Zen Hei"/>
        <family val="2"/>
      </rPr>
      <t xml:space="preserve">年</t>
    </r>
    <r>
      <rPr>
        <sz val="9"/>
        <rFont val="Consolas"/>
        <family val="0"/>
        <charset val="1"/>
      </rPr>
      <t xml:space="preserve">9</t>
    </r>
    <r>
      <rPr>
        <sz val="9"/>
        <rFont val="WenQuanYi Zen Hei"/>
        <family val="2"/>
      </rPr>
      <t xml:space="preserve">月</t>
    </r>
    <r>
      <rPr>
        <sz val="9"/>
        <rFont val="Consolas"/>
        <family val="0"/>
        <charset val="1"/>
      </rPr>
      <t xml:space="preserve">17</t>
    </r>
    <r>
      <rPr>
        <sz val="9"/>
        <rFont val="WenQuanYi Zen Hei"/>
        <family val="2"/>
      </rPr>
      <t xml:space="preserve">日更新）</t>
    </r>
    <r>
      <rPr>
        <sz val="9"/>
        <rFont val="Consolas"/>
        <family val="0"/>
        <charset val="1"/>
      </rPr>
      <t xml:space="preserve">&lt;/figcaption&gt;&lt;/figure&gt;</t>
    </r>
  </si>
  <si>
    <t xml:space="preserve">&lt;!-- /wp:flexible-table-block/table --&gt;</t>
  </si>
  <si>
    <t xml:space="preserve">&lt;!-- wp:paragraph --&gt;</t>
  </si>
  <si>
    <r>
      <rPr>
        <sz val="9"/>
        <rFont val="Consolas"/>
        <family val="0"/>
        <charset val="1"/>
      </rPr>
      <t xml:space="preserve">&lt;p&gt;</t>
    </r>
    <r>
      <rPr>
        <sz val="9"/>
        <rFont val="WenQuanYi Zen Hei"/>
        <family val="2"/>
      </rPr>
      <t xml:space="preserve">申込期間と科目</t>
    </r>
    <r>
      <rPr>
        <sz val="9"/>
        <rFont val="Consolas"/>
        <family val="0"/>
        <charset val="1"/>
      </rPr>
      <t xml:space="preserve">A</t>
    </r>
    <r>
      <rPr>
        <sz val="9"/>
        <rFont val="WenQuanYi Zen Hei"/>
        <family val="2"/>
      </rPr>
      <t xml:space="preserve">の実施期間は重なっています。科目</t>
    </r>
    <r>
      <rPr>
        <sz val="9"/>
        <rFont val="Consolas"/>
        <family val="0"/>
        <charset val="1"/>
      </rPr>
      <t xml:space="preserve">A</t>
    </r>
    <r>
      <rPr>
        <sz val="9"/>
        <rFont val="WenQuanYi Zen Hei"/>
        <family val="2"/>
      </rPr>
      <t xml:space="preserve">を早い日に受けたい人は、そのぶん申込も早めになります。後期試験にシステムアーキテクト試験はないので、前期を逃すと、この名前で受け直す機会はありません。</t>
    </r>
    <r>
      <rPr>
        <sz val="9"/>
        <rFont val="Consolas"/>
        <family val="0"/>
        <charset val="1"/>
      </rPr>
      <t xml:space="preserve">&lt;/p&gt;</t>
    </r>
  </si>
  <si>
    <r>
      <rPr>
        <sz val="9"/>
        <rFont val="Consolas"/>
        <family val="0"/>
        <charset val="1"/>
      </rPr>
      <t xml:space="preserve">&lt;p&gt;</t>
    </r>
    <r>
      <rPr>
        <sz val="9"/>
        <rFont val="WenQuanYi Zen Hei"/>
        <family val="2"/>
      </rPr>
      <t xml:space="preserve">ネットワークスペシャリスト試験・</t>
    </r>
    <r>
      <rPr>
        <sz val="9"/>
        <rFont val="Consolas"/>
        <family val="0"/>
        <charset val="1"/>
      </rPr>
      <t xml:space="preserve">IT</t>
    </r>
    <r>
      <rPr>
        <sz val="9"/>
        <rFont val="WenQuanYi Zen Hei"/>
        <family val="2"/>
      </rPr>
      <t xml:space="preserve">ストラテジスト試験も同じ前期の実施です。両方の受験を考えている方は、同じ期に申し込めるのは</t>
    </r>
    <r>
      <rPr>
        <sz val="9"/>
        <rFont val="Consolas"/>
        <family val="0"/>
        <charset val="1"/>
      </rPr>
      <t xml:space="preserve">1</t>
    </r>
    <r>
      <rPr>
        <sz val="9"/>
        <rFont val="WenQuanYi Zen Hei"/>
        <family val="2"/>
      </rPr>
      <t xml:space="preserve">区分だけな点に注意してください。</t>
    </r>
    <r>
      <rPr>
        <sz val="9"/>
        <rFont val="Consolas"/>
        <family val="0"/>
        <charset val="1"/>
      </rPr>
      <t xml:space="preserve">&lt;/p&gt;</t>
    </r>
  </si>
  <si>
    <r>
      <rPr>
        <b val="true"/>
        <sz val="10"/>
        <rFont val="WenQuanYi Zen Hei"/>
        <family val="2"/>
      </rPr>
      <t xml:space="preserve">ほかに直す</t>
    </r>
    <r>
      <rPr>
        <b val="true"/>
        <sz val="10"/>
        <rFont val="Meiryo UI"/>
        <family val="0"/>
        <charset val="1"/>
      </rPr>
      <t xml:space="preserve">3</t>
    </r>
    <r>
      <rPr>
        <b val="true"/>
        <sz val="10"/>
        <rFont val="WenQuanYi Zen Hei"/>
        <family val="2"/>
      </rPr>
      <t xml:space="preserve">か所（文字だけ書き換える）</t>
    </r>
  </si>
  <si>
    <r>
      <rPr>
        <sz val="10"/>
        <rFont val="WenQuanYi Zen Hei"/>
        <family val="2"/>
      </rPr>
      <t xml:space="preserve">確定していることの</t>
    </r>
    <r>
      <rPr>
        <sz val="10"/>
        <rFont val="Meiryo UI"/>
        <family val="0"/>
        <charset val="1"/>
      </rPr>
      <t xml:space="preserve">3</t>
    </r>
    <r>
      <rPr>
        <sz val="10"/>
        <rFont val="WenQuanYi Zen Hei"/>
        <family val="2"/>
      </rPr>
      <t xml:space="preserve">つ目：「</t>
    </r>
    <r>
      <rPr>
        <sz val="10"/>
        <rFont val="Meiryo UI"/>
        <family val="0"/>
        <charset val="1"/>
      </rPr>
      <t xml:space="preserve">SA</t>
    </r>
    <r>
      <rPr>
        <sz val="10"/>
        <rFont val="WenQuanYi Zen Hei"/>
        <family val="2"/>
      </rPr>
      <t xml:space="preserve">は旧春期試験のため、前期試験として</t>
    </r>
    <r>
      <rPr>
        <sz val="10"/>
        <rFont val="Meiryo UI"/>
        <family val="0"/>
        <charset val="1"/>
      </rPr>
      <t xml:space="preserve">2026</t>
    </r>
    <r>
      <rPr>
        <sz val="10"/>
        <rFont val="WenQuanYi Zen Hei"/>
        <family val="2"/>
      </rPr>
      <t xml:space="preserve">年</t>
    </r>
    <r>
      <rPr>
        <sz val="10"/>
        <rFont val="Meiryo UI"/>
        <family val="0"/>
        <charset val="1"/>
      </rPr>
      <t xml:space="preserve">11</t>
    </r>
    <r>
      <rPr>
        <sz val="10"/>
        <rFont val="WenQuanYi Zen Hei"/>
        <family val="2"/>
      </rPr>
      <t xml:space="preserve">月頃に</t>
    </r>
    <r>
      <rPr>
        <sz val="10"/>
        <rFont val="Meiryo UI"/>
        <family val="0"/>
        <charset val="1"/>
      </rPr>
      <t xml:space="preserve">CBT</t>
    </r>
    <r>
      <rPr>
        <sz val="10"/>
        <rFont val="WenQuanYi Zen Hei"/>
        <family val="2"/>
      </rPr>
      <t xml:space="preserve">方式で実施予定」→「</t>
    </r>
    <r>
      <rPr>
        <sz val="10"/>
        <rFont val="Meiryo UI"/>
        <family val="0"/>
        <charset val="1"/>
      </rPr>
      <t xml:space="preserve">SA</t>
    </r>
    <r>
      <rPr>
        <sz val="10"/>
        <rFont val="WenQuanYi Zen Hei"/>
        <family val="2"/>
      </rPr>
      <t xml:space="preserve">は旧春期試験のため、</t>
    </r>
    <r>
      <rPr>
        <sz val="10"/>
        <rFont val="Meiryo UI"/>
        <family val="0"/>
        <charset val="1"/>
      </rPr>
      <t xml:space="preserve">2026</t>
    </r>
    <r>
      <rPr>
        <sz val="10"/>
        <rFont val="WenQuanYi Zen Hei"/>
        <family val="2"/>
      </rPr>
      <t xml:space="preserve">年度は前期試験として</t>
    </r>
    <r>
      <rPr>
        <sz val="10"/>
        <rFont val="Meiryo UI"/>
        <family val="0"/>
        <charset val="1"/>
      </rPr>
      <t xml:space="preserve">CBT</t>
    </r>
    <r>
      <rPr>
        <sz val="10"/>
        <rFont val="WenQuanYi Zen Hei"/>
        <family val="2"/>
      </rPr>
      <t xml:space="preserve">方式で実施（申込は</t>
    </r>
    <r>
      <rPr>
        <sz val="10"/>
        <rFont val="Meiryo UI"/>
        <family val="0"/>
        <charset val="1"/>
      </rPr>
      <t xml:space="preserve">10</t>
    </r>
    <r>
      <rPr>
        <sz val="10"/>
        <rFont val="WenQuanYi Zen Hei"/>
        <family val="2"/>
      </rPr>
      <t xml:space="preserve">月</t>
    </r>
    <r>
      <rPr>
        <sz val="10"/>
        <rFont val="Meiryo UI"/>
        <family val="0"/>
        <charset val="1"/>
      </rPr>
      <t xml:space="preserve">24</t>
    </r>
    <r>
      <rPr>
        <sz val="10"/>
        <rFont val="WenQuanYi Zen Hei"/>
        <family val="2"/>
      </rPr>
      <t xml:space="preserve">日まで、科目</t>
    </r>
    <r>
      <rPr>
        <sz val="10"/>
        <rFont val="Meiryo UI"/>
        <family val="0"/>
        <charset val="1"/>
      </rPr>
      <t xml:space="preserve">A</t>
    </r>
    <r>
      <rPr>
        <sz val="10"/>
        <rFont val="WenQuanYi Zen Hei"/>
        <family val="2"/>
      </rPr>
      <t xml:space="preserve">は</t>
    </r>
    <r>
      <rPr>
        <sz val="10"/>
        <rFont val="Meiryo UI"/>
        <family val="0"/>
        <charset val="1"/>
      </rPr>
      <t xml:space="preserve">10</t>
    </r>
    <r>
      <rPr>
        <sz val="10"/>
        <rFont val="WenQuanYi Zen Hei"/>
        <family val="2"/>
      </rPr>
      <t xml:space="preserve">月</t>
    </r>
    <r>
      <rPr>
        <sz val="10"/>
        <rFont val="Meiryo UI"/>
        <family val="0"/>
        <charset val="1"/>
      </rPr>
      <t xml:space="preserve">17</t>
    </r>
    <r>
      <rPr>
        <sz val="10"/>
        <rFont val="WenQuanYi Zen Hei"/>
        <family val="2"/>
      </rPr>
      <t xml:space="preserve">日から）」</t>
    </r>
  </si>
  <si>
    <r>
      <rPr>
        <sz val="10"/>
        <rFont val="WenQuanYi Zen Hei"/>
        <family val="2"/>
      </rPr>
      <t xml:space="preserve">まとめの</t>
    </r>
    <r>
      <rPr>
        <sz val="10"/>
        <rFont val="Meiryo UI"/>
        <family val="0"/>
        <charset val="1"/>
      </rPr>
      <t xml:space="preserve">2</t>
    </r>
    <r>
      <rPr>
        <sz val="10"/>
        <rFont val="WenQuanYi Zen Hei"/>
        <family val="2"/>
      </rPr>
      <t xml:space="preserve">つ目：「（前期試験：</t>
    </r>
    <r>
      <rPr>
        <sz val="10"/>
        <rFont val="Meiryo UI"/>
        <family val="0"/>
        <charset val="1"/>
      </rPr>
      <t xml:space="preserve">2026</t>
    </r>
    <r>
      <rPr>
        <sz val="10"/>
        <rFont val="WenQuanYi Zen Hei"/>
        <family val="2"/>
      </rPr>
      <t xml:space="preserve">年</t>
    </r>
    <r>
      <rPr>
        <sz val="10"/>
        <rFont val="Meiryo UI"/>
        <family val="0"/>
        <charset val="1"/>
      </rPr>
      <t xml:space="preserve">11</t>
    </r>
    <r>
      <rPr>
        <sz val="10"/>
        <rFont val="WenQuanYi Zen Hei"/>
        <family val="2"/>
      </rPr>
      <t xml:space="preserve">月頃・</t>
    </r>
    <r>
      <rPr>
        <sz val="10"/>
        <rFont val="Meiryo UI"/>
        <family val="0"/>
        <charset val="1"/>
      </rPr>
      <t xml:space="preserve">CBT</t>
    </r>
    <r>
      <rPr>
        <sz val="10"/>
        <rFont val="WenQuanYi Zen Hei"/>
        <family val="2"/>
      </rPr>
      <t xml:space="preserve">方式）」→「（前期試験：申込は</t>
    </r>
    <r>
      <rPr>
        <sz val="10"/>
        <rFont val="Meiryo UI"/>
        <family val="0"/>
        <charset val="1"/>
      </rPr>
      <t xml:space="preserve">2026</t>
    </r>
    <r>
      <rPr>
        <sz val="10"/>
        <rFont val="WenQuanYi Zen Hei"/>
        <family val="2"/>
      </rPr>
      <t xml:space="preserve">年</t>
    </r>
    <r>
      <rPr>
        <sz val="10"/>
        <rFont val="Meiryo UI"/>
        <family val="0"/>
        <charset val="1"/>
      </rPr>
      <t xml:space="preserve">10</t>
    </r>
    <r>
      <rPr>
        <sz val="10"/>
        <rFont val="WenQuanYi Zen Hei"/>
        <family val="2"/>
      </rPr>
      <t xml:space="preserve">月</t>
    </r>
    <r>
      <rPr>
        <sz val="10"/>
        <rFont val="Meiryo UI"/>
        <family val="0"/>
        <charset val="1"/>
      </rPr>
      <t xml:space="preserve">24</t>
    </r>
    <r>
      <rPr>
        <sz val="10"/>
        <rFont val="WenQuanYi Zen Hei"/>
        <family val="2"/>
      </rPr>
      <t xml:space="preserve">日まで・</t>
    </r>
    <r>
      <rPr>
        <sz val="10"/>
        <rFont val="Meiryo UI"/>
        <family val="0"/>
        <charset val="1"/>
      </rPr>
      <t xml:space="preserve">CBT</t>
    </r>
    <r>
      <rPr>
        <sz val="10"/>
        <rFont val="WenQuanYi Zen Hei"/>
        <family val="2"/>
      </rPr>
      <t xml:space="preserve">方式）」</t>
    </r>
  </si>
  <si>
    <r>
      <rPr>
        <sz val="10"/>
        <rFont val="WenQuanYi Zen Hei"/>
        <family val="2"/>
      </rPr>
      <t xml:space="preserve">最後の注記：「※この記事の情報は</t>
    </r>
    <r>
      <rPr>
        <sz val="10"/>
        <rFont val="Meiryo UI"/>
        <family val="0"/>
        <charset val="1"/>
      </rPr>
      <t xml:space="preserve">2026</t>
    </r>
    <r>
      <rPr>
        <sz val="10"/>
        <rFont val="WenQuanYi Zen Hei"/>
        <family val="2"/>
      </rPr>
      <t xml:space="preserve">年</t>
    </r>
    <r>
      <rPr>
        <sz val="10"/>
        <rFont val="Meiryo UI"/>
        <family val="0"/>
        <charset val="1"/>
      </rPr>
      <t xml:space="preserve">5</t>
    </r>
    <r>
      <rPr>
        <sz val="10"/>
        <rFont val="WenQuanYi Zen Hei"/>
        <family val="2"/>
      </rPr>
      <t xml:space="preserve">月時点のものです。」→「※この記事の情報は</t>
    </r>
    <r>
      <rPr>
        <sz val="10"/>
        <rFont val="Meiryo UI"/>
        <family val="0"/>
        <charset val="1"/>
      </rPr>
      <t xml:space="preserve">2026</t>
    </r>
    <r>
      <rPr>
        <sz val="10"/>
        <rFont val="WenQuanYi Zen Hei"/>
        <family val="2"/>
      </rPr>
      <t xml:space="preserve">年</t>
    </r>
    <r>
      <rPr>
        <sz val="10"/>
        <rFont val="Meiryo UI"/>
        <family val="0"/>
        <charset val="1"/>
      </rPr>
      <t xml:space="preserve">5</t>
    </r>
    <r>
      <rPr>
        <sz val="10"/>
        <rFont val="WenQuanYi Zen Hei"/>
        <family val="2"/>
      </rPr>
      <t xml:space="preserve">月時点のものです（試験日程は、</t>
    </r>
    <r>
      <rPr>
        <sz val="10"/>
        <rFont val="Meiryo UI"/>
        <family val="0"/>
        <charset val="1"/>
      </rPr>
      <t xml:space="preserve">2026</t>
    </r>
    <r>
      <rPr>
        <sz val="10"/>
        <rFont val="WenQuanYi Zen Hei"/>
        <family val="2"/>
      </rPr>
      <t xml:space="preserve">年</t>
    </r>
    <r>
      <rPr>
        <sz val="10"/>
        <rFont val="Meiryo UI"/>
        <family val="0"/>
        <charset val="1"/>
      </rPr>
      <t xml:space="preserve">9</t>
    </r>
    <r>
      <rPr>
        <sz val="10"/>
        <rFont val="WenQuanYi Zen Hei"/>
        <family val="2"/>
      </rPr>
      <t xml:space="preserve">月</t>
    </r>
    <r>
      <rPr>
        <sz val="10"/>
        <rFont val="Meiryo UI"/>
        <family val="0"/>
        <charset val="1"/>
      </rPr>
      <t xml:space="preserve">17</t>
    </r>
    <r>
      <rPr>
        <sz val="10"/>
        <rFont val="WenQuanYi Zen Hei"/>
        <family val="2"/>
      </rPr>
      <t xml:space="preserve">日更新の</t>
    </r>
    <r>
      <rPr>
        <sz val="10"/>
        <rFont val="Meiryo UI"/>
        <family val="0"/>
        <charset val="1"/>
      </rPr>
      <t xml:space="preserve">IPA</t>
    </r>
    <r>
      <rPr>
        <sz val="10"/>
        <rFont val="WenQuanYi Zen Hei"/>
        <family val="2"/>
      </rPr>
      <t xml:space="preserve">の案内によります）。」</t>
    </r>
  </si>
  <si>
    <r>
      <rPr>
        <sz val="10"/>
        <rFont val="WenQuanYi Zen Hei"/>
        <family val="2"/>
      </rPr>
      <t xml:space="preserve">最後の段落「同じ期に申し込めるのは</t>
    </r>
    <r>
      <rPr>
        <sz val="10"/>
        <rFont val="Meiryo UI"/>
        <family val="0"/>
        <charset val="1"/>
      </rPr>
      <t xml:space="preserve">1</t>
    </r>
    <r>
      <rPr>
        <sz val="10"/>
        <rFont val="WenQuanYi Zen Hei"/>
        <family val="2"/>
      </rPr>
      <t xml:space="preserve">区分だけ」は、</t>
    </r>
    <r>
      <rPr>
        <sz val="10"/>
        <rFont val="Meiryo UI"/>
        <family val="0"/>
        <charset val="1"/>
      </rPr>
      <t xml:space="preserve">664</t>
    </r>
    <r>
      <rPr>
        <sz val="10"/>
        <rFont val="WenQuanYi Zen Hei"/>
        <family val="2"/>
      </rPr>
      <t xml:space="preserve">の本文（申込は各期</t>
    </r>
    <r>
      <rPr>
        <sz val="10"/>
        <rFont val="Meiryo UI"/>
        <family val="0"/>
        <charset val="1"/>
      </rPr>
      <t xml:space="preserve">1</t>
    </r>
    <r>
      <rPr>
        <sz val="10"/>
        <rFont val="WenQuanYi Zen Hei"/>
        <family val="2"/>
      </rPr>
      <t xml:space="preserve">回だけ）による。</t>
    </r>
    <r>
      <rPr>
        <sz val="10"/>
        <rFont val="Meiryo UI"/>
        <family val="0"/>
        <charset val="1"/>
      </rPr>
      <t xml:space="preserve">IPA</t>
    </r>
    <r>
      <rPr>
        <sz val="10"/>
        <rFont val="WenQuanYi Zen Hei"/>
        <family val="2"/>
      </rPr>
      <t xml:space="preserve">のページで確認してから貼る。</t>
    </r>
  </si>
  <si>
    <r>
      <rPr>
        <b val="true"/>
        <sz val="14"/>
        <rFont val="WenQuanYi Zen Hei"/>
        <family val="2"/>
      </rPr>
      <t xml:space="preserve">使う案件の条件（</t>
    </r>
    <r>
      <rPr>
        <b val="true"/>
        <sz val="14"/>
        <rFont val="Meiryo UI"/>
        <family val="0"/>
        <charset val="1"/>
      </rPr>
      <t xml:space="preserve">2026-10-12 </t>
    </r>
    <r>
      <rPr>
        <b val="true"/>
        <sz val="14"/>
        <rFont val="WenQuanYi Zen Hei"/>
        <family val="2"/>
      </rPr>
      <t xml:space="preserve">運営者が</t>
    </r>
    <r>
      <rPr>
        <b val="true"/>
        <sz val="14"/>
        <rFont val="Meiryo UI"/>
        <family val="0"/>
        <charset val="1"/>
      </rPr>
      <t xml:space="preserve">ASP</t>
    </r>
    <r>
      <rPr>
        <b val="true"/>
        <sz val="14"/>
        <rFont val="WenQuanYi Zen Hei"/>
        <family val="2"/>
      </rPr>
      <t xml:space="preserve">の画面から共有）</t>
    </r>
  </si>
  <si>
    <r>
      <rPr>
        <sz val="9"/>
        <color rgb="FF666666"/>
        <rFont val="WenQuanYi Zen Hei"/>
        <family val="2"/>
      </rPr>
      <t xml:space="preserve">詳しくは </t>
    </r>
    <r>
      <rPr>
        <sz val="9"/>
        <color rgb="FF666666"/>
        <rFont val="Meiryo UI"/>
        <family val="0"/>
        <charset val="1"/>
      </rPr>
      <t xml:space="preserve">program_conditions.md</t>
    </r>
    <r>
      <rPr>
        <sz val="9"/>
        <color rgb="FF666666"/>
        <rFont val="WenQuanYi Zen Hei"/>
        <family val="2"/>
      </rPr>
      <t xml:space="preserve">。表やリンクの文言は、この条件と</t>
    </r>
    <r>
      <rPr>
        <sz val="9"/>
        <color rgb="FF666666"/>
        <rFont val="Meiryo UI"/>
        <family val="0"/>
        <charset val="1"/>
      </rPr>
      <t xml:space="preserve">PR</t>
    </r>
    <r>
      <rPr>
        <sz val="9"/>
        <color rgb="FF666666"/>
        <rFont val="WenQuanYi Zen Hei"/>
        <family val="2"/>
      </rPr>
      <t xml:space="preserve">文に根拠があることだけを書く。</t>
    </r>
  </si>
  <si>
    <t xml:space="preserve">ASP</t>
  </si>
  <si>
    <t xml:space="preserve">報酬</t>
  </si>
  <si>
    <t xml:space="preserve">成果地点</t>
  </si>
  <si>
    <t xml:space="preserve">対象</t>
  </si>
  <si>
    <t xml:space="preserve">書けないこと・注意</t>
  </si>
  <si>
    <t xml:space="preserve">使う場所</t>
  </si>
  <si>
    <t xml:space="preserve">A8</t>
  </si>
  <si>
    <r>
      <rPr>
        <sz val="10"/>
        <rFont val="Meiryo UI"/>
        <family val="0"/>
        <charset val="1"/>
      </rPr>
      <t xml:space="preserve">10,000</t>
    </r>
    <r>
      <rPr>
        <sz val="10"/>
        <rFont val="WenQuanYi Zen Hei"/>
        <family val="2"/>
      </rPr>
      <t xml:space="preserve">円</t>
    </r>
  </si>
  <si>
    <r>
      <rPr>
        <sz val="10"/>
        <rFont val="WenQuanYi Zen Hei"/>
        <family val="2"/>
      </rPr>
      <t xml:space="preserve">登録＋</t>
    </r>
    <r>
      <rPr>
        <sz val="10"/>
        <rFont val="Meiryo UI"/>
        <family val="0"/>
        <charset val="1"/>
      </rPr>
      <t xml:space="preserve">1</t>
    </r>
    <r>
      <rPr>
        <sz val="10"/>
        <rFont val="WenQuanYi Zen Hei"/>
        <family val="2"/>
      </rPr>
      <t xml:space="preserve">日以内の本人確認（最も軽い）</t>
    </r>
  </si>
  <si>
    <r>
      <rPr>
        <sz val="10"/>
        <rFont val="WenQuanYi Zen Hei"/>
        <family val="2"/>
      </rPr>
      <t xml:space="preserve">エンジニア・クリエイターの実務経験者／</t>
    </r>
    <r>
      <rPr>
        <sz val="10"/>
        <rFont val="Meiryo UI"/>
        <family val="0"/>
        <charset val="1"/>
      </rPr>
      <t xml:space="preserve">50</t>
    </r>
    <r>
      <rPr>
        <sz val="10"/>
        <rFont val="WenQuanYi Zen Hei"/>
        <family val="2"/>
      </rPr>
      <t xml:space="preserve">歳未満／国内</t>
    </r>
  </si>
  <si>
    <r>
      <rPr>
        <sz val="10"/>
        <rFont val="WenQuanYi Zen Hei"/>
        <family val="2"/>
      </rPr>
      <t xml:space="preserve">「書類選考なし」の言い切り（根拠は「スカウトの約</t>
    </r>
    <r>
      <rPr>
        <sz val="10"/>
        <rFont val="Meiryo UI"/>
        <family val="0"/>
        <charset val="1"/>
      </rPr>
      <t xml:space="preserve">93%</t>
    </r>
    <r>
      <rPr>
        <sz val="10"/>
        <rFont val="WenQuanYi Zen Hei"/>
        <family val="2"/>
      </rPr>
      <t xml:space="preserve">が面談・面接確約」</t>
    </r>
    <r>
      <rPr>
        <sz val="10"/>
        <rFont val="Meiryo UI"/>
        <family val="0"/>
        <charset val="1"/>
      </rPr>
      <t xml:space="preserve">2023</t>
    </r>
    <r>
      <rPr>
        <sz val="10"/>
        <rFont val="WenQuanYi Zen Hei"/>
        <family val="2"/>
      </rPr>
      <t xml:space="preserve">年</t>
    </r>
    <r>
      <rPr>
        <sz val="10"/>
        <rFont val="Meiryo UI"/>
        <family val="0"/>
        <charset val="1"/>
      </rPr>
      <t xml:space="preserve">7</t>
    </r>
    <r>
      <rPr>
        <sz val="10"/>
        <rFont val="WenQuanYi Zen Hei"/>
        <family val="2"/>
      </rPr>
      <t xml:space="preserve">〜</t>
    </r>
    <r>
      <rPr>
        <sz val="10"/>
        <rFont val="Meiryo UI"/>
        <family val="0"/>
        <charset val="1"/>
      </rPr>
      <t xml:space="preserve">9</t>
    </r>
    <r>
      <rPr>
        <sz val="10"/>
        <rFont val="WenQuanYi Zen Hei"/>
        <family val="2"/>
      </rPr>
      <t xml:space="preserve">月）。クリックと登録が同じ端末・ブラウザでないと成果にならない</t>
    </r>
  </si>
  <si>
    <r>
      <rPr>
        <sz val="10"/>
        <rFont val="Meiryo UI"/>
        <family val="0"/>
        <charset val="1"/>
      </rPr>
      <t xml:space="preserve">2111</t>
    </r>
    <r>
      <rPr>
        <sz val="10"/>
        <rFont val="WenQuanYi Zen Hei"/>
        <family val="2"/>
      </rPr>
      <t xml:space="preserve">・パック</t>
    </r>
    <r>
      <rPr>
        <sz val="10"/>
        <rFont val="Meiryo UI"/>
        <family val="0"/>
        <charset val="1"/>
      </rPr>
      <t xml:space="preserve">J</t>
    </r>
    <r>
      <rPr>
        <sz val="10"/>
        <rFont val="WenQuanYi Zen Hei"/>
        <family val="2"/>
      </rPr>
      <t xml:space="preserve">・</t>
    </r>
    <r>
      <rPr>
        <sz val="10"/>
        <rFont val="Meiryo UI"/>
        <family val="0"/>
        <charset val="1"/>
      </rPr>
      <t xml:space="preserve">979</t>
    </r>
    <r>
      <rPr>
        <sz val="10"/>
        <rFont val="WenQuanYi Zen Hei"/>
        <family val="2"/>
      </rPr>
      <t xml:space="preserve">テキストリンク</t>
    </r>
  </si>
  <si>
    <r>
      <rPr>
        <sz val="10"/>
        <rFont val="Meiryo UI"/>
        <family val="0"/>
        <charset val="1"/>
      </rPr>
      <t xml:space="preserve">TechGo</t>
    </r>
    <r>
      <rPr>
        <sz val="10"/>
        <rFont val="WenQuanYi Zen Hei"/>
        <family val="2"/>
      </rPr>
      <t xml:space="preserve">（テックゴー）</t>
    </r>
  </si>
  <si>
    <r>
      <rPr>
        <sz val="10"/>
        <rFont val="Meiryo UI"/>
        <family val="0"/>
        <charset val="1"/>
      </rPr>
      <t xml:space="preserve">18,000</t>
    </r>
    <r>
      <rPr>
        <sz val="10"/>
        <rFont val="WenQuanYi Zen Hei"/>
        <family val="2"/>
      </rPr>
      <t xml:space="preserve">円</t>
    </r>
  </si>
  <si>
    <r>
      <rPr>
        <sz val="10"/>
        <rFont val="Meiryo UI"/>
        <family val="0"/>
        <charset val="1"/>
      </rPr>
      <t xml:space="preserve">30</t>
    </r>
    <r>
      <rPr>
        <sz val="10"/>
        <rFont val="WenQuanYi Zen Hei"/>
        <family val="2"/>
      </rPr>
      <t xml:space="preserve">日以内の無料面談実施</t>
    </r>
  </si>
  <si>
    <r>
      <rPr>
        <sz val="10"/>
        <rFont val="WenQuanYi Zen Hei"/>
        <family val="2"/>
      </rPr>
      <t xml:space="preserve">実務</t>
    </r>
    <r>
      <rPr>
        <sz val="10"/>
        <rFont val="Meiryo UI"/>
        <family val="0"/>
        <charset val="1"/>
      </rPr>
      <t xml:space="preserve">2</t>
    </r>
    <r>
      <rPr>
        <sz val="10"/>
        <rFont val="WenQuanYi Zen Hei"/>
        <family val="2"/>
      </rPr>
      <t xml:space="preserve">年以上の</t>
    </r>
    <r>
      <rPr>
        <sz val="10"/>
        <rFont val="Meiryo UI"/>
        <family val="0"/>
        <charset val="1"/>
      </rPr>
      <t xml:space="preserve">IT</t>
    </r>
    <r>
      <rPr>
        <sz val="10"/>
        <rFont val="WenQuanYi Zen Hei"/>
        <family val="2"/>
      </rPr>
      <t xml:space="preserve">エンジニア（</t>
    </r>
    <r>
      <rPr>
        <sz val="10"/>
        <rFont val="Meiryo UI"/>
        <family val="0"/>
        <charset val="1"/>
      </rPr>
      <t xml:space="preserve">20</t>
    </r>
    <r>
      <rPr>
        <sz val="10"/>
        <rFont val="WenQuanYi Zen Hei"/>
        <family val="2"/>
      </rPr>
      <t xml:space="preserve">代後半〜</t>
    </r>
    <r>
      <rPr>
        <sz val="10"/>
        <rFont val="Meiryo UI"/>
        <family val="0"/>
        <charset val="1"/>
      </rPr>
      <t xml:space="preserve">30</t>
    </r>
    <r>
      <rPr>
        <sz val="10"/>
        <rFont val="WenQuanYi Zen Hei"/>
        <family val="2"/>
      </rPr>
      <t xml:space="preserve">代の支援が中心）／学生は否認</t>
    </r>
  </si>
  <si>
    <r>
      <rPr>
        <sz val="10"/>
        <rFont val="WenQuanYi Zen Hei"/>
        <family val="2"/>
      </rPr>
      <t xml:space="preserve">求人数など根拠のない数字。</t>
    </r>
    <r>
      <rPr>
        <sz val="10"/>
        <rFont val="Meiryo UI"/>
        <family val="0"/>
        <charset val="1"/>
      </rPr>
      <t xml:space="preserve">1Day</t>
    </r>
    <r>
      <rPr>
        <sz val="10"/>
        <rFont val="WenQuanYi Zen Hei"/>
        <family val="2"/>
      </rPr>
      <t xml:space="preserve">選考会は事前面談と書類選考の通過が条件。もしも（</t>
    </r>
    <r>
      <rPr>
        <sz val="10"/>
        <rFont val="Meiryo UI"/>
        <family val="0"/>
        <charset val="1"/>
      </rPr>
      <t xml:space="preserve">14,000</t>
    </r>
    <r>
      <rPr>
        <sz val="10"/>
        <rFont val="WenQuanYi Zen Hei"/>
        <family val="2"/>
      </rPr>
      <t xml:space="preserve">円）から切り替え</t>
    </r>
  </si>
  <si>
    <t xml:space="preserve">2111</t>
  </si>
  <si>
    <r>
      <rPr>
        <sz val="10"/>
        <rFont val="Meiryo UI"/>
        <family val="0"/>
        <charset val="1"/>
      </rPr>
      <t xml:space="preserve">JAC</t>
    </r>
    <r>
      <rPr>
        <sz val="10"/>
        <rFont val="WenQuanYi Zen Hei"/>
        <family val="2"/>
      </rPr>
      <t xml:space="preserve">リクルートメント</t>
    </r>
  </si>
  <si>
    <t xml:space="preserve">VC</t>
  </si>
  <si>
    <r>
      <rPr>
        <sz val="10"/>
        <rFont val="Meiryo UI"/>
        <family val="0"/>
        <charset val="1"/>
      </rPr>
      <t xml:space="preserve">13,384</t>
    </r>
    <r>
      <rPr>
        <sz val="10"/>
        <rFont val="WenQuanYi Zen Hei"/>
        <family val="2"/>
      </rPr>
      <t xml:space="preserve">円</t>
    </r>
  </si>
  <si>
    <t xml:space="preserve">会員登録＋有効判定（軽い）</t>
  </si>
  <si>
    <r>
      <rPr>
        <sz val="10"/>
        <rFont val="WenQuanYi Zen Hei"/>
        <family val="2"/>
      </rPr>
      <t xml:space="preserve">年収</t>
    </r>
    <r>
      <rPr>
        <sz val="10"/>
        <rFont val="Meiryo UI"/>
        <family val="0"/>
        <charset val="1"/>
      </rPr>
      <t xml:space="preserve">600</t>
    </r>
    <r>
      <rPr>
        <sz val="10"/>
        <rFont val="WenQuanYi Zen Hei"/>
        <family val="2"/>
      </rPr>
      <t xml:space="preserve">万円以上・</t>
    </r>
    <r>
      <rPr>
        <sz val="10"/>
        <rFont val="Meiryo UI"/>
        <family val="0"/>
        <charset val="1"/>
      </rPr>
      <t xml:space="preserve">20</t>
    </r>
    <r>
      <rPr>
        <sz val="10"/>
        <rFont val="WenQuanYi Zen Hei"/>
        <family val="2"/>
      </rPr>
      <t xml:space="preserve">代後半〜</t>
    </r>
    <r>
      <rPr>
        <sz val="10"/>
        <rFont val="Meiryo UI"/>
        <family val="0"/>
        <charset val="1"/>
      </rPr>
      <t xml:space="preserve">50</t>
    </r>
    <r>
      <rPr>
        <sz val="10"/>
        <rFont val="WenQuanYi Zen Hei"/>
        <family val="2"/>
      </rPr>
      <t xml:space="preserve">代前半／職種は問わない</t>
    </r>
  </si>
  <si>
    <r>
      <rPr>
        <sz val="10"/>
        <rFont val="WenQuanYi Zen Hei"/>
        <family val="2"/>
      </rPr>
      <t xml:space="preserve">年収は「</t>
    </r>
    <r>
      <rPr>
        <sz val="10"/>
        <rFont val="Meiryo UI"/>
        <family val="0"/>
        <charset val="1"/>
      </rPr>
      <t xml:space="preserve">600</t>
    </r>
    <r>
      <rPr>
        <sz val="10"/>
        <rFont val="WenQuanYi Zen Hei"/>
        <family val="2"/>
      </rPr>
      <t xml:space="preserve">万〜</t>
    </r>
    <r>
      <rPr>
        <sz val="10"/>
        <rFont val="Meiryo UI"/>
        <family val="0"/>
        <charset val="1"/>
      </rPr>
      <t xml:space="preserve">1500</t>
    </r>
    <r>
      <rPr>
        <sz val="10"/>
        <rFont val="WenQuanYi Zen Hei"/>
        <family val="2"/>
      </rPr>
      <t xml:space="preserve">万」「</t>
    </r>
    <r>
      <rPr>
        <sz val="10"/>
        <rFont val="Meiryo UI"/>
        <family val="0"/>
        <charset val="1"/>
      </rPr>
      <t xml:space="preserve">800</t>
    </r>
    <r>
      <rPr>
        <sz val="10"/>
        <rFont val="WenQuanYi Zen Hei"/>
        <family val="2"/>
      </rPr>
      <t xml:space="preserve">万〜</t>
    </r>
    <r>
      <rPr>
        <sz val="10"/>
        <rFont val="Meiryo UI"/>
        <family val="0"/>
        <charset val="1"/>
      </rPr>
      <t xml:space="preserve">1500</t>
    </r>
    <r>
      <rPr>
        <sz val="10"/>
        <rFont val="WenQuanYi Zen Hei"/>
        <family val="2"/>
      </rPr>
      <t xml:space="preserve">万」のみ。「◯◯に断られた」「登録拒否」</t>
    </r>
    <r>
      <rPr>
        <sz val="10"/>
        <rFont val="Meiryo UI"/>
        <family val="0"/>
        <charset val="1"/>
      </rPr>
      <t xml:space="preserve">NG</t>
    </r>
    <r>
      <rPr>
        <sz val="10"/>
        <rFont val="WenQuanYi Zen Hei"/>
        <family val="2"/>
      </rPr>
      <t xml:space="preserve">（サイト内から削除の対象）。取引企業ロゴ・メールのキャプチャー</t>
    </r>
    <r>
      <rPr>
        <sz val="10"/>
        <rFont val="Meiryo UI"/>
        <family val="0"/>
        <charset val="1"/>
      </rPr>
      <t xml:space="preserve">NG</t>
    </r>
  </si>
  <si>
    <r>
      <rPr>
        <sz val="10"/>
        <rFont val="WenQuanYi Zen Hei"/>
        <family val="2"/>
      </rPr>
      <t xml:space="preserve">パック</t>
    </r>
    <r>
      <rPr>
        <sz val="10"/>
        <rFont val="Meiryo UI"/>
        <family val="0"/>
        <charset val="1"/>
      </rPr>
      <t xml:space="preserve">J</t>
    </r>
    <r>
      <rPr>
        <sz val="10"/>
        <rFont val="WenQuanYi Zen Hei"/>
        <family val="2"/>
      </rPr>
      <t xml:space="preserve">・</t>
    </r>
    <r>
      <rPr>
        <sz val="10"/>
        <rFont val="Meiryo UI"/>
        <family val="0"/>
        <charset val="1"/>
      </rPr>
      <t xml:space="preserve">979</t>
    </r>
    <r>
      <rPr>
        <sz val="10"/>
        <rFont val="WenQuanYi Zen Hei"/>
        <family val="2"/>
      </rPr>
      <t xml:space="preserve">テキストリンク</t>
    </r>
  </si>
  <si>
    <r>
      <rPr>
        <sz val="10"/>
        <rFont val="Meiryo UI"/>
        <family val="0"/>
        <charset val="1"/>
      </rPr>
      <t xml:space="preserve">15,000</t>
    </r>
    <r>
      <rPr>
        <sz val="10"/>
        <rFont val="WenQuanYi Zen Hei"/>
        <family val="2"/>
      </rPr>
      <t xml:space="preserve">円</t>
    </r>
  </si>
  <si>
    <r>
      <rPr>
        <sz val="10"/>
        <rFont val="Meiryo UI"/>
        <family val="0"/>
        <charset val="1"/>
      </rPr>
      <t xml:space="preserve">30</t>
    </r>
    <r>
      <rPr>
        <sz val="10"/>
        <rFont val="WenQuanYi Zen Hei"/>
        <family val="2"/>
      </rPr>
      <t xml:space="preserve">日以内のキャリアカウンセリング</t>
    </r>
  </si>
  <si>
    <r>
      <rPr>
        <sz val="10"/>
        <rFont val="Meiryo UI"/>
        <family val="0"/>
        <charset val="1"/>
      </rPr>
      <t xml:space="preserve">19</t>
    </r>
    <r>
      <rPr>
        <sz val="10"/>
        <rFont val="WenQuanYi Zen Hei"/>
        <family val="2"/>
      </rPr>
      <t xml:space="preserve">〜</t>
    </r>
    <r>
      <rPr>
        <sz val="10"/>
        <rFont val="Meiryo UI"/>
        <family val="0"/>
        <charset val="1"/>
      </rPr>
      <t xml:space="preserve">28</t>
    </r>
    <r>
      <rPr>
        <sz val="10"/>
        <rFont val="WenQuanYi Zen Hei"/>
        <family val="2"/>
      </rPr>
      <t xml:space="preserve">歳（</t>
    </r>
    <r>
      <rPr>
        <sz val="10"/>
        <rFont val="Meiryo UI"/>
        <family val="0"/>
        <charset val="1"/>
      </rPr>
      <t xml:space="preserve">18</t>
    </r>
    <r>
      <rPr>
        <sz val="10"/>
        <rFont val="WenQuanYi Zen Hei"/>
        <family val="2"/>
      </rPr>
      <t xml:space="preserve">歳以下・</t>
    </r>
    <r>
      <rPr>
        <sz val="10"/>
        <rFont val="Meiryo UI"/>
        <family val="0"/>
        <charset val="1"/>
      </rPr>
      <t xml:space="preserve">29</t>
    </r>
    <r>
      <rPr>
        <sz val="10"/>
        <rFont val="WenQuanYi Zen Hei"/>
        <family val="2"/>
      </rPr>
      <t xml:space="preserve">歳以上は否認）／新卒希望の学生・留学生は否認</t>
    </r>
  </si>
  <si>
    <r>
      <rPr>
        <sz val="10"/>
        <rFont val="Meiryo UI"/>
        <family val="0"/>
        <charset val="1"/>
      </rPr>
      <t xml:space="preserve">PR</t>
    </r>
    <r>
      <rPr>
        <sz val="10"/>
        <rFont val="WenQuanYi Zen Hei"/>
        <family val="2"/>
      </rPr>
      <t xml:space="preserve">文の数字（</t>
    </r>
    <r>
      <rPr>
        <sz val="10"/>
        <rFont val="Meiryo UI"/>
        <family val="0"/>
        <charset val="1"/>
      </rPr>
      <t xml:space="preserve">94.7%</t>
    </r>
    <r>
      <rPr>
        <sz val="10"/>
        <rFont val="WenQuanYi Zen Hei"/>
        <family val="2"/>
      </rPr>
      <t xml:space="preserve">・★</t>
    </r>
    <r>
      <rPr>
        <sz val="10"/>
        <rFont val="Meiryo UI"/>
        <family val="0"/>
        <charset val="1"/>
      </rPr>
      <t xml:space="preserve">4.4</t>
    </r>
    <r>
      <rPr>
        <sz val="10"/>
        <rFont val="WenQuanYi Zen Hei"/>
        <family val="2"/>
      </rPr>
      <t xml:space="preserve">・</t>
    </r>
    <r>
      <rPr>
        <sz val="10"/>
        <rFont val="Meiryo UI"/>
        <family val="0"/>
        <charset val="1"/>
      </rPr>
      <t xml:space="preserve">113</t>
    </r>
    <r>
      <rPr>
        <sz val="10"/>
        <rFont val="WenQuanYi Zen Hei"/>
        <family val="2"/>
      </rPr>
      <t xml:space="preserve">万円</t>
    </r>
    <r>
      <rPr>
        <sz val="10"/>
        <rFont val="Meiryo UI"/>
        <family val="0"/>
        <charset val="1"/>
      </rPr>
      <t xml:space="preserve">UP</t>
    </r>
    <r>
      <rPr>
        <sz val="10"/>
        <rFont val="WenQuanYi Zen Hei"/>
        <family val="2"/>
      </rPr>
      <t xml:space="preserve">）は時点がないので使わない。「大手で断られた」の切り口は</t>
    </r>
    <r>
      <rPr>
        <sz val="10"/>
        <rFont val="Meiryo UI"/>
        <family val="0"/>
        <charset val="1"/>
      </rPr>
      <t xml:space="preserve">JAC</t>
    </r>
    <r>
      <rPr>
        <sz val="10"/>
        <rFont val="WenQuanYi Zen Hei"/>
        <family val="2"/>
      </rPr>
      <t xml:space="preserve">の禁止事項と同じ種類なので使わない</t>
    </r>
  </si>
  <si>
    <r>
      <rPr>
        <sz val="10"/>
        <rFont val="WenQuanYi Zen Hei"/>
        <family val="2"/>
      </rPr>
      <t xml:space="preserve">パック</t>
    </r>
    <r>
      <rPr>
        <sz val="10"/>
        <rFont val="Meiryo UI"/>
        <family val="0"/>
        <charset val="1"/>
      </rPr>
      <t xml:space="preserve">N</t>
    </r>
    <r>
      <rPr>
        <sz val="10"/>
        <rFont val="WenQuanYi Zen Hei"/>
        <family val="2"/>
      </rPr>
      <t xml:space="preserve">（</t>
    </r>
    <r>
      <rPr>
        <sz val="10"/>
        <rFont val="Meiryo UI"/>
        <family val="0"/>
        <charset val="1"/>
      </rPr>
      <t xml:space="preserve">1790</t>
    </r>
    <r>
      <rPr>
        <sz val="10"/>
        <rFont val="WenQuanYi Zen Hei"/>
        <family val="2"/>
      </rPr>
      <t xml:space="preserve">）</t>
    </r>
  </si>
  <si>
    <t xml:space="preserve">Geekly</t>
  </si>
  <si>
    <r>
      <rPr>
        <sz val="10"/>
        <rFont val="WenQuanYi Zen Hei"/>
        <family val="2"/>
      </rPr>
      <t xml:space="preserve">来社</t>
    </r>
    <r>
      <rPr>
        <sz val="10"/>
        <rFont val="Meiryo UI"/>
        <family val="0"/>
        <charset val="1"/>
      </rPr>
      <t xml:space="preserve">13,888</t>
    </r>
    <r>
      <rPr>
        <sz val="10"/>
        <rFont val="WenQuanYi Zen Hei"/>
        <family val="2"/>
      </rPr>
      <t xml:space="preserve">円／オンライン</t>
    </r>
    <r>
      <rPr>
        <sz val="10"/>
        <rFont val="Meiryo UI"/>
        <family val="0"/>
        <charset val="1"/>
      </rPr>
      <t xml:space="preserve">6,499</t>
    </r>
    <r>
      <rPr>
        <sz val="10"/>
        <rFont val="WenQuanYi Zen Hei"/>
        <family val="2"/>
      </rPr>
      <t xml:space="preserve">円</t>
    </r>
  </si>
  <si>
    <r>
      <rPr>
        <sz val="10"/>
        <rFont val="Meiryo UI"/>
        <family val="0"/>
        <charset val="1"/>
      </rPr>
      <t xml:space="preserve">60</t>
    </r>
    <r>
      <rPr>
        <sz val="10"/>
        <rFont val="WenQuanYi Zen Hei"/>
        <family val="2"/>
      </rPr>
      <t xml:space="preserve">日以内の面談完了（重い）</t>
    </r>
  </si>
  <si>
    <r>
      <rPr>
        <sz val="10"/>
        <rFont val="Meiryo UI"/>
        <family val="0"/>
        <charset val="1"/>
      </rPr>
      <t xml:space="preserve">IT</t>
    </r>
    <r>
      <rPr>
        <sz val="10"/>
        <rFont val="WenQuanYi Zen Hei"/>
        <family val="2"/>
      </rPr>
      <t xml:space="preserve">・</t>
    </r>
    <r>
      <rPr>
        <sz val="10"/>
        <rFont val="Meiryo UI"/>
        <family val="0"/>
        <charset val="1"/>
      </rPr>
      <t xml:space="preserve">WEB</t>
    </r>
    <r>
      <rPr>
        <sz val="10"/>
        <rFont val="WenQuanYi Zen Hei"/>
        <family val="2"/>
      </rPr>
      <t xml:space="preserve">・ゲームの経験者／</t>
    </r>
    <r>
      <rPr>
        <sz val="10"/>
        <rFont val="Meiryo UI"/>
        <family val="0"/>
        <charset val="1"/>
      </rPr>
      <t xml:space="preserve">20</t>
    </r>
    <r>
      <rPr>
        <sz val="10"/>
        <rFont val="WenQuanYi Zen Hei"/>
        <family val="2"/>
      </rPr>
      <t xml:space="preserve">〜</t>
    </r>
    <r>
      <rPr>
        <sz val="10"/>
        <rFont val="Meiryo UI"/>
        <family val="0"/>
        <charset val="1"/>
      </rPr>
      <t xml:space="preserve">50</t>
    </r>
    <r>
      <rPr>
        <sz val="10"/>
        <rFont val="WenQuanYi Zen Hei"/>
        <family val="2"/>
      </rPr>
      <t xml:space="preserve">代／首都圏・関西で働きたい人</t>
    </r>
  </si>
  <si>
    <r>
      <rPr>
        <sz val="10"/>
        <rFont val="WenQuanYi Zen Hei"/>
        <family val="2"/>
      </rPr>
      <t xml:space="preserve">年齢指定・未経験訴求・入稿素材以外の素材・時点のない数字</t>
    </r>
    <r>
      <rPr>
        <sz val="10"/>
        <rFont val="Meiryo UI"/>
        <family val="0"/>
        <charset val="1"/>
      </rPr>
      <t xml:space="preserve">NG</t>
    </r>
  </si>
  <si>
    <r>
      <rPr>
        <sz val="10"/>
        <rFont val="WenQuanYi Zen Hei"/>
        <family val="2"/>
      </rPr>
      <t xml:space="preserve">今回は使わない（</t>
    </r>
    <r>
      <rPr>
        <sz val="10"/>
        <rFont val="Meiryo UI"/>
        <family val="0"/>
        <charset val="1"/>
      </rPr>
      <t xml:space="preserve">81</t>
    </r>
    <r>
      <rPr>
        <sz val="10"/>
        <rFont val="WenQuanYi Zen Hei"/>
        <family val="2"/>
      </rPr>
      <t xml:space="preserve">・</t>
    </r>
    <r>
      <rPr>
        <sz val="10"/>
        <rFont val="Meiryo UI"/>
        <family val="0"/>
        <charset val="1"/>
      </rPr>
      <t xml:space="preserve">814</t>
    </r>
    <r>
      <rPr>
        <sz val="10"/>
        <rFont val="WenQuanYi Zen Hei"/>
        <family val="2"/>
      </rPr>
      <t xml:space="preserve">はサイト</t>
    </r>
    <r>
      <rPr>
        <sz val="10"/>
        <rFont val="Meiryo UI"/>
        <family val="0"/>
        <charset val="1"/>
      </rPr>
      <t xml:space="preserve">002</t>
    </r>
    <r>
      <rPr>
        <sz val="10"/>
        <rFont val="WenQuanYi Zen Hei"/>
        <family val="2"/>
      </rPr>
      <t xml:space="preserve">で発行し直す）</t>
    </r>
  </si>
  <si>
    <t xml:space="preserve">レバテックキャリア</t>
  </si>
  <si>
    <r>
      <rPr>
        <sz val="10"/>
        <rFont val="Meiryo UI"/>
        <family val="0"/>
        <charset val="1"/>
      </rPr>
      <t xml:space="preserve">11,000</t>
    </r>
    <r>
      <rPr>
        <sz val="10"/>
        <rFont val="WenQuanYi Zen Hei"/>
        <family val="2"/>
      </rPr>
      <t xml:space="preserve">円</t>
    </r>
  </si>
  <si>
    <r>
      <rPr>
        <sz val="10"/>
        <rFont val="WenQuanYi Zen Hei"/>
        <family val="2"/>
      </rPr>
      <t xml:space="preserve">登録＋</t>
    </r>
    <r>
      <rPr>
        <sz val="10"/>
        <rFont val="Meiryo UI"/>
        <family val="0"/>
        <charset val="1"/>
      </rPr>
      <t xml:space="preserve">14</t>
    </r>
    <r>
      <rPr>
        <sz val="10"/>
        <rFont val="WenQuanYi Zen Hei"/>
        <family val="2"/>
      </rPr>
      <t xml:space="preserve">日以内に本人連絡・エンジニア経験の確認</t>
    </r>
  </si>
  <si>
    <r>
      <rPr>
        <sz val="10"/>
        <rFont val="WenQuanYi Zen Hei"/>
        <family val="2"/>
      </rPr>
      <t xml:space="preserve">エンジニア経験者／関東・関西・福岡／</t>
    </r>
    <r>
      <rPr>
        <sz val="10"/>
        <rFont val="Meiryo UI"/>
        <family val="0"/>
        <charset val="1"/>
      </rPr>
      <t xml:space="preserve">50</t>
    </r>
    <r>
      <rPr>
        <sz val="10"/>
        <rFont val="WenQuanYi Zen Hei"/>
        <family val="2"/>
      </rPr>
      <t xml:space="preserve">代以上は否認</t>
    </r>
  </si>
  <si>
    <r>
      <rPr>
        <sz val="10"/>
        <rFont val="WenQuanYi Zen Hei"/>
        <family val="2"/>
      </rPr>
      <t xml:space="preserve">レバテックダイレクトと同じ会社。先に登録したほうしか成果にならない → 同じ表・同じ記事に並べない。「</t>
    </r>
    <r>
      <rPr>
        <sz val="10"/>
        <rFont val="Meiryo UI"/>
        <family val="0"/>
        <charset val="1"/>
      </rPr>
      <t xml:space="preserve">No.1</t>
    </r>
    <r>
      <rPr>
        <sz val="10"/>
        <rFont val="WenQuanYi Zen Hei"/>
        <family val="2"/>
      </rPr>
      <t xml:space="preserve">」「</t>
    </r>
    <r>
      <rPr>
        <sz val="10"/>
        <rFont val="Meiryo UI"/>
        <family val="0"/>
        <charset val="1"/>
      </rPr>
      <t xml:space="preserve">20</t>
    </r>
    <r>
      <rPr>
        <sz val="10"/>
        <rFont val="WenQuanYi Zen Hei"/>
        <family val="2"/>
      </rPr>
      <t xml:space="preserve">万人」は</t>
    </r>
    <r>
      <rPr>
        <sz val="10"/>
        <rFont val="Meiryo UI"/>
        <family val="0"/>
        <charset val="1"/>
      </rPr>
      <t xml:space="preserve">2021</t>
    </r>
    <r>
      <rPr>
        <sz val="10"/>
        <rFont val="WenQuanYi Zen Hei"/>
        <family val="2"/>
      </rPr>
      <t xml:space="preserve">年の数字</t>
    </r>
  </si>
  <si>
    <r>
      <rPr>
        <sz val="10"/>
        <rFont val="Meiryo UI"/>
        <family val="0"/>
        <charset val="1"/>
      </rPr>
      <t xml:space="preserve">892</t>
    </r>
    <r>
      <rPr>
        <sz val="10"/>
        <rFont val="WenQuanYi Zen Hei"/>
        <family val="2"/>
      </rPr>
      <t xml:space="preserve">など本人を扱う記事だけ</t>
    </r>
  </si>
  <si>
    <r>
      <rPr>
        <b val="true"/>
        <sz val="14"/>
        <rFont val="WenQuanYi Zen Hei"/>
        <family val="2"/>
      </rPr>
      <t xml:space="preserve">ルール</t>
    </r>
    <r>
      <rPr>
        <b val="true"/>
        <sz val="14"/>
        <rFont val="Meiryo UI"/>
        <family val="0"/>
        <charset val="1"/>
      </rPr>
      <t xml:space="preserve">A</t>
    </r>
    <r>
      <rPr>
        <b val="true"/>
        <sz val="14"/>
        <rFont val="WenQuanYi Zen Hei"/>
        <family val="2"/>
      </rPr>
      <t xml:space="preserve">：</t>
    </r>
    <r>
      <rPr>
        <b val="true"/>
        <sz val="14"/>
        <rFont val="Meiryo UI"/>
        <family val="0"/>
        <charset val="1"/>
      </rPr>
      <t xml:space="preserve">AI</t>
    </r>
    <r>
      <rPr>
        <b val="true"/>
        <sz val="14"/>
        <rFont val="WenQuanYi Zen Hei"/>
        <family val="2"/>
      </rPr>
      <t xml:space="preserve">でリライトするときのチェック</t>
    </r>
  </si>
  <si>
    <r>
      <rPr>
        <sz val="9"/>
        <color rgb="FF666666"/>
        <rFont val="Meiryo UI"/>
        <family val="0"/>
        <charset val="1"/>
      </rPr>
      <t xml:space="preserve">A-1 </t>
    </r>
    <r>
      <rPr>
        <sz val="9"/>
        <color rgb="FF666666"/>
        <rFont val="WenQuanYi Zen Hei"/>
        <family val="2"/>
      </rPr>
      <t xml:space="preserve">指示文を</t>
    </r>
    <r>
      <rPr>
        <sz val="9"/>
        <color rgb="FF666666"/>
        <rFont val="Meiryo UI"/>
        <family val="0"/>
        <charset val="1"/>
      </rPr>
      <t xml:space="preserve">AI</t>
    </r>
    <r>
      <rPr>
        <sz val="9"/>
        <color rgb="FF666666"/>
        <rFont val="WenQuanYi Zen Hei"/>
        <family val="2"/>
      </rPr>
      <t xml:space="preserve">に渡す → </t>
    </r>
    <r>
      <rPr>
        <sz val="9"/>
        <color rgb="FF666666"/>
        <rFont val="Meiryo UI"/>
        <family val="0"/>
        <charset val="1"/>
      </rPr>
      <t xml:space="preserve">A-2 </t>
    </r>
    <r>
      <rPr>
        <sz val="9"/>
        <color rgb="FF666666"/>
        <rFont val="WenQuanYi Zen Hei"/>
        <family val="2"/>
      </rPr>
      <t xml:space="preserve">元の本文を保存 → </t>
    </r>
    <r>
      <rPr>
        <sz val="9"/>
        <color rgb="FF666666"/>
        <rFont val="Meiryo UI"/>
        <family val="0"/>
        <charset val="1"/>
      </rPr>
      <t xml:space="preserve">A-3 </t>
    </r>
    <r>
      <rPr>
        <sz val="9"/>
        <color rgb="FF666666"/>
        <rFont val="WenQuanYi Zen Hei"/>
        <family val="2"/>
      </rPr>
      <t xml:space="preserve">前後の数を比べる（下の表に入力すると自動判定）→ </t>
    </r>
    <r>
      <rPr>
        <sz val="9"/>
        <color rgb="FF666666"/>
        <rFont val="Meiryo UI"/>
        <family val="0"/>
        <charset val="1"/>
      </rPr>
      <t xml:space="preserve">A-4 </t>
    </r>
    <r>
      <rPr>
        <sz val="9"/>
        <color rgb="FF666666"/>
        <rFont val="WenQuanYi Zen Hei"/>
        <family val="2"/>
      </rPr>
      <t xml:space="preserve">作業メモを検索。</t>
    </r>
  </si>
  <si>
    <r>
      <rPr>
        <b val="true"/>
        <sz val="10"/>
        <rFont val="Meiryo UI"/>
        <family val="0"/>
        <charset val="1"/>
      </rPr>
      <t xml:space="preserve">A-1 AI</t>
    </r>
    <r>
      <rPr>
        <b val="true"/>
        <sz val="10"/>
        <rFont val="WenQuanYi Zen Hei"/>
        <family val="2"/>
      </rPr>
      <t xml:space="preserve">に渡す指示文（</t>
    </r>
    <r>
      <rPr>
        <b val="true"/>
        <sz val="10"/>
        <rFont val="Meiryo UI"/>
        <family val="0"/>
        <charset val="1"/>
      </rPr>
      <t xml:space="preserve">A5</t>
    </r>
    <r>
      <rPr>
        <b val="true"/>
        <sz val="10"/>
        <rFont val="WenQuanYi Zen Hei"/>
        <family val="2"/>
      </rPr>
      <t xml:space="preserve">〜</t>
    </r>
    <r>
      <rPr>
        <b val="true"/>
        <sz val="10"/>
        <rFont val="Meiryo UI"/>
        <family val="0"/>
        <charset val="1"/>
      </rPr>
      <t xml:space="preserve">A9</t>
    </r>
    <r>
      <rPr>
        <b val="true"/>
        <sz val="10"/>
        <rFont val="WenQuanYi Zen Hei"/>
        <family val="2"/>
      </rPr>
      <t xml:space="preserve">をコピーして、</t>
    </r>
    <r>
      <rPr>
        <b val="true"/>
        <sz val="10"/>
        <rFont val="Meiryo UI"/>
        <family val="0"/>
        <charset val="1"/>
      </rPr>
      <t xml:space="preserve">AI</t>
    </r>
    <r>
      <rPr>
        <b val="true"/>
        <sz val="10"/>
        <rFont val="WenQuanYi Zen Hei"/>
        <family val="2"/>
      </rPr>
      <t xml:space="preserve">への依頼文に必ず入れる）</t>
    </r>
  </si>
  <si>
    <t xml:space="preserve">【広告と計測に関する決まり（必ず守ること）】</t>
  </si>
  <si>
    <r>
      <rPr>
        <sz val="9"/>
        <rFont val="Consolas"/>
        <family val="0"/>
        <charset val="1"/>
      </rPr>
      <t xml:space="preserve">- [blog_parts id="…"] </t>
    </r>
    <r>
      <rPr>
        <sz val="9"/>
        <rFont val="WenQuanYi Zen Hei"/>
        <family val="2"/>
      </rPr>
      <t xml:space="preserve">のショートコードと、カスタム</t>
    </r>
    <r>
      <rPr>
        <sz val="9"/>
        <rFont val="Consolas"/>
        <family val="0"/>
        <charset val="1"/>
      </rPr>
      <t xml:space="preserve">HTML</t>
    </r>
    <r>
      <rPr>
        <sz val="9"/>
        <rFont val="WenQuanYi Zen Hei"/>
        <family val="2"/>
      </rPr>
      <t xml:space="preserve">ブロック（</t>
    </r>
    <r>
      <rPr>
        <sz val="9"/>
        <rFont val="Consolas"/>
        <family val="0"/>
        <charset val="1"/>
      </rPr>
      <t xml:space="preserve">&lt;!-- wp:html --&gt;</t>
    </r>
    <r>
      <rPr>
        <sz val="9"/>
        <rFont val="WenQuanYi Zen Hei"/>
        <family val="2"/>
      </rPr>
      <t xml:space="preserve">）の中身には触れない。移動・削除・追加・書き換えをしない。</t>
    </r>
  </si>
  <si>
    <r>
      <rPr>
        <sz val="9"/>
        <rFont val="Consolas"/>
        <family val="0"/>
        <charset val="1"/>
      </rPr>
      <t xml:space="preserve">- </t>
    </r>
    <r>
      <rPr>
        <sz val="9"/>
        <rFont val="WenQuanYi Zen Hei"/>
        <family val="2"/>
      </rPr>
      <t xml:space="preserve">広告のリンク（</t>
    </r>
    <r>
      <rPr>
        <sz val="9"/>
        <rFont val="Consolas"/>
        <family val="0"/>
        <charset val="1"/>
      </rPr>
      <t xml:space="preserve">px.a8.net</t>
    </r>
    <r>
      <rPr>
        <sz val="9"/>
        <rFont val="WenQuanYi Zen Hei"/>
        <family val="2"/>
      </rPr>
      <t xml:space="preserve">／</t>
    </r>
    <r>
      <rPr>
        <sz val="9"/>
        <rFont val="Consolas"/>
        <family val="0"/>
        <charset val="1"/>
      </rPr>
      <t xml:space="preserve">valuecommerce.com</t>
    </r>
    <r>
      <rPr>
        <sz val="9"/>
        <rFont val="WenQuanYi Zen Hei"/>
        <family val="2"/>
      </rPr>
      <t xml:space="preserve">／</t>
    </r>
    <r>
      <rPr>
        <sz val="9"/>
        <rFont val="Consolas"/>
        <family val="0"/>
        <charset val="1"/>
      </rPr>
      <t xml:space="preserve">moshimo.com</t>
    </r>
    <r>
      <rPr>
        <sz val="9"/>
        <rFont val="WenQuanYi Zen Hei"/>
        <family val="2"/>
      </rPr>
      <t xml:space="preserve">）と、</t>
    </r>
    <r>
      <rPr>
        <sz val="9"/>
        <rFont val="Consolas"/>
        <family val="0"/>
        <charset val="1"/>
      </rPr>
      <t xml:space="preserve">1×1</t>
    </r>
    <r>
      <rPr>
        <sz val="9"/>
        <rFont val="WenQuanYi Zen Hei"/>
        <family val="2"/>
      </rPr>
      <t xml:space="preserve">の画像（</t>
    </r>
    <r>
      <rPr>
        <sz val="9"/>
        <rFont val="Consolas"/>
        <family val="0"/>
        <charset val="1"/>
      </rPr>
      <t xml:space="preserve">0.gif</t>
    </r>
    <r>
      <rPr>
        <sz val="9"/>
        <rFont val="WenQuanYi Zen Hei"/>
        <family val="2"/>
      </rPr>
      <t xml:space="preserve">／</t>
    </r>
    <r>
      <rPr>
        <sz val="9"/>
        <rFont val="Consolas"/>
        <family val="0"/>
        <charset val="1"/>
      </rPr>
      <t xml:space="preserve">gifbanner</t>
    </r>
    <r>
      <rPr>
        <sz val="9"/>
        <rFont val="WenQuanYi Zen Hei"/>
        <family val="2"/>
      </rPr>
      <t xml:space="preserve">／</t>
    </r>
    <r>
      <rPr>
        <sz val="9"/>
        <rFont val="Consolas"/>
        <family val="0"/>
        <charset val="1"/>
      </rPr>
      <t xml:space="preserve">impression</t>
    </r>
    <r>
      <rPr>
        <sz val="9"/>
        <rFont val="WenQuanYi Zen Hei"/>
        <family val="2"/>
      </rPr>
      <t xml:space="preserve">）を消さない・分けない・まとめない。</t>
    </r>
  </si>
  <si>
    <r>
      <rPr>
        <sz val="9"/>
        <rFont val="Consolas"/>
        <family val="0"/>
        <charset val="1"/>
      </rPr>
      <t xml:space="preserve">- </t>
    </r>
    <r>
      <rPr>
        <sz val="9"/>
        <rFont val="WenQuanYi Zen Hei"/>
        <family val="2"/>
      </rPr>
      <t xml:space="preserve">作業の説明・確認事項・申し送りは、本文（ブロックの中・</t>
    </r>
    <r>
      <rPr>
        <sz val="9"/>
        <rFont val="Consolas"/>
        <family val="0"/>
        <charset val="1"/>
      </rPr>
      <t xml:space="preserve">HTML</t>
    </r>
    <r>
      <rPr>
        <sz val="9"/>
        <rFont val="WenQuanYi Zen Hei"/>
        <family val="2"/>
      </rPr>
      <t xml:space="preserve">コメントを含む）に書かない。説明は返信の文章で書く。</t>
    </r>
  </si>
  <si>
    <r>
      <rPr>
        <sz val="9"/>
        <rFont val="Consolas"/>
        <family val="0"/>
        <charset val="1"/>
      </rPr>
      <t xml:space="preserve">- </t>
    </r>
    <r>
      <rPr>
        <sz val="9"/>
        <rFont val="WenQuanYi Zen Hei"/>
        <family val="2"/>
      </rPr>
      <t xml:space="preserve">新しい広告の置き場所を提案する場合は、本文に入れず、「どの見出しの後に・何を」を返信の文章で書く。</t>
    </r>
  </si>
  <si>
    <r>
      <rPr>
        <b val="true"/>
        <sz val="10"/>
        <rFont val="Meiryo UI"/>
        <family val="0"/>
        <charset val="1"/>
      </rPr>
      <t xml:space="preserve">A-2 </t>
    </r>
    <r>
      <rPr>
        <b val="true"/>
        <sz val="10"/>
        <rFont val="WenQuanYi Zen Hei"/>
        <family val="2"/>
      </rPr>
      <t xml:space="preserve">貼り替え前に：コードエディターの中身を全部保存（ファイル名：投稿</t>
    </r>
    <r>
      <rPr>
        <b val="true"/>
        <sz val="10"/>
        <rFont val="Meiryo UI"/>
        <family val="0"/>
        <charset val="1"/>
      </rPr>
      <t xml:space="preserve">ID_</t>
    </r>
    <r>
      <rPr>
        <b val="true"/>
        <sz val="10"/>
        <rFont val="WenQuanYi Zen Hei"/>
        <family val="2"/>
      </rPr>
      <t xml:space="preserve">日付</t>
    </r>
    <r>
      <rPr>
        <b val="true"/>
        <sz val="10"/>
        <rFont val="Meiryo UI"/>
        <family val="0"/>
        <charset val="1"/>
      </rPr>
      <t xml:space="preserve">_before.txt</t>
    </r>
    <r>
      <rPr>
        <b val="true"/>
        <sz val="10"/>
        <rFont val="WenQuanYi Zen Hei"/>
        <family val="2"/>
      </rPr>
      <t xml:space="preserve">）。リビジョンの件数を控える。</t>
    </r>
  </si>
  <si>
    <r>
      <rPr>
        <b val="true"/>
        <sz val="10"/>
        <rFont val="Meiryo UI"/>
        <family val="0"/>
        <charset val="1"/>
      </rPr>
      <t xml:space="preserve">A-3 </t>
    </r>
    <r>
      <rPr>
        <b val="true"/>
        <sz val="10"/>
        <rFont val="WenQuanYi Zen Hei"/>
        <family val="2"/>
      </rPr>
      <t xml:space="preserve">前後の数の比較（コードエディターの中身で </t>
    </r>
    <r>
      <rPr>
        <b val="true"/>
        <sz val="10"/>
        <rFont val="Meiryo UI"/>
        <family val="0"/>
        <charset val="1"/>
      </rPr>
      <t xml:space="preserve">Ctrl+F </t>
    </r>
    <r>
      <rPr>
        <b val="true"/>
        <sz val="10"/>
        <rFont val="WenQuanYi Zen Hei"/>
        <family val="2"/>
      </rPr>
      <t xml:space="preserve">の件数を入力。黄色が入力欄。判定は自動）</t>
    </r>
  </si>
  <si>
    <r>
      <rPr>
        <b val="true"/>
        <sz val="10"/>
        <color rgb="FFFFFFFF"/>
        <rFont val="WenQuanYi Zen Hei"/>
        <family val="2"/>
      </rPr>
      <t xml:space="preserve">投稿</t>
    </r>
    <r>
      <rPr>
        <b val="true"/>
        <sz val="10"/>
        <color rgb="FFFFFFFF"/>
        <rFont val="Meiryo UI"/>
        <family val="0"/>
        <charset val="1"/>
      </rPr>
      <t xml:space="preserve">ID</t>
    </r>
  </si>
  <si>
    <r>
      <rPr>
        <b val="true"/>
        <sz val="10"/>
        <color rgb="FFFFFFFF"/>
        <rFont val="Meiryo UI"/>
        <family val="0"/>
        <charset val="1"/>
      </rPr>
      <t xml:space="preserve">[blog_parts id= </t>
    </r>
    <r>
      <rPr>
        <b val="true"/>
        <sz val="10"/>
        <color rgb="FFFFFFFF"/>
        <rFont val="WenQuanYi Zen Hei"/>
        <family val="2"/>
      </rPr>
      <t xml:space="preserve">前</t>
    </r>
  </si>
  <si>
    <t xml:space="preserve">後</t>
  </si>
  <si>
    <r>
      <rPr>
        <b val="true"/>
        <sz val="10"/>
        <color rgb="FFFFFFFF"/>
        <rFont val="Meiryo UI"/>
        <family val="0"/>
        <charset val="1"/>
      </rPr>
      <t xml:space="preserve">px.a8.net </t>
    </r>
    <r>
      <rPr>
        <b val="true"/>
        <sz val="10"/>
        <color rgb="FFFFFFFF"/>
        <rFont val="WenQuanYi Zen Hei"/>
        <family val="2"/>
      </rPr>
      <t xml:space="preserve">前</t>
    </r>
  </si>
  <si>
    <r>
      <rPr>
        <b val="true"/>
        <sz val="10"/>
        <color rgb="FFFFFFFF"/>
        <rFont val="Meiryo UI"/>
        <family val="0"/>
        <charset val="1"/>
      </rPr>
      <t xml:space="preserve">0.gif </t>
    </r>
    <r>
      <rPr>
        <b val="true"/>
        <sz val="10"/>
        <color rgb="FFFFFFFF"/>
        <rFont val="WenQuanYi Zen Hei"/>
        <family val="2"/>
      </rPr>
      <t xml:space="preserve">前</t>
    </r>
  </si>
  <si>
    <r>
      <rPr>
        <b val="true"/>
        <sz val="10"/>
        <color rgb="FFFFFFFF"/>
        <rFont val="Meiryo UI"/>
        <family val="0"/>
        <charset val="1"/>
      </rPr>
      <t xml:space="preserve">valuecommerce </t>
    </r>
    <r>
      <rPr>
        <b val="true"/>
        <sz val="10"/>
        <color rgb="FFFFFFFF"/>
        <rFont val="WenQuanYi Zen Hei"/>
        <family val="2"/>
      </rPr>
      <t xml:space="preserve">前</t>
    </r>
  </si>
  <si>
    <r>
      <rPr>
        <b val="true"/>
        <sz val="10"/>
        <color rgb="FFFFFFFF"/>
        <rFont val="Meiryo UI"/>
        <family val="0"/>
        <charset val="1"/>
      </rPr>
      <t xml:space="preserve">i.moshimo </t>
    </r>
    <r>
      <rPr>
        <b val="true"/>
        <sz val="10"/>
        <color rgb="FFFFFFFF"/>
        <rFont val="WenQuanYi Zen Hei"/>
        <family val="2"/>
      </rPr>
      <t xml:space="preserve">前</t>
    </r>
  </si>
  <si>
    <r>
      <rPr>
        <b val="true"/>
        <sz val="10"/>
        <color rgb="FFFFFFFF"/>
        <rFont val="Meiryo UI"/>
        <family val="0"/>
        <charset val="1"/>
      </rPr>
      <t xml:space="preserve">post-link </t>
    </r>
    <r>
      <rPr>
        <b val="true"/>
        <sz val="10"/>
        <color rgb="FFFFFFFF"/>
        <rFont val="WenQuanYi Zen Hei"/>
        <family val="2"/>
      </rPr>
      <t xml:space="preserve">前</t>
    </r>
  </si>
  <si>
    <r>
      <rPr>
        <sz val="9"/>
        <color rgb="FF666666"/>
        <rFont val="WenQuanYi Zen Hei"/>
        <family val="2"/>
      </rPr>
      <t xml:space="preserve">（例）</t>
    </r>
    <r>
      <rPr>
        <sz val="9"/>
        <color rgb="FF666666"/>
        <rFont val="Meiryo UI"/>
        <family val="0"/>
        <charset val="1"/>
      </rPr>
      <t xml:space="preserve">1107</t>
    </r>
  </si>
  <si>
    <r>
      <rPr>
        <sz val="9"/>
        <color rgb="FF666666"/>
        <rFont val="WenQuanYi Zen Hei"/>
        <family val="2"/>
      </rPr>
      <t xml:space="preserve">判定の決まり：</t>
    </r>
    <r>
      <rPr>
        <sz val="9"/>
        <color rgb="FF666666"/>
        <rFont val="Meiryo UI"/>
        <family val="0"/>
        <charset val="1"/>
      </rPr>
      <t xml:space="preserve">A8</t>
    </r>
    <r>
      <rPr>
        <sz val="9"/>
        <color rgb="FF666666"/>
        <rFont val="WenQuanYi Zen Hei"/>
        <family val="2"/>
      </rPr>
      <t xml:space="preserve">のリンクと</t>
    </r>
    <r>
      <rPr>
        <sz val="9"/>
        <color rgb="FF666666"/>
        <rFont val="Meiryo UI"/>
        <family val="0"/>
        <charset val="1"/>
      </rPr>
      <t xml:space="preserve">0.gif</t>
    </r>
    <r>
      <rPr>
        <sz val="9"/>
        <color rgb="FF666666"/>
        <rFont val="WenQuanYi Zen Hei"/>
        <family val="2"/>
      </rPr>
      <t xml:space="preserve">の数が同じ（</t>
    </r>
    <r>
      <rPr>
        <sz val="9"/>
        <color rgb="FF666666"/>
        <rFont val="Meiryo UI"/>
        <family val="0"/>
        <charset val="1"/>
      </rPr>
      <t xml:space="preserve">F=H</t>
    </r>
    <r>
      <rPr>
        <sz val="9"/>
        <color rgb="FF666666"/>
        <rFont val="WenQuanYi Zen Hei"/>
        <family val="2"/>
      </rPr>
      <t xml:space="preserve">）、各リンク・計測用画像の数が前後で同じ、内部リンクカードが減っていない。表の呼び出し（</t>
    </r>
    <r>
      <rPr>
        <sz val="9"/>
        <color rgb="FF666666"/>
        <rFont val="Meiryo UI"/>
        <family val="0"/>
        <charset val="1"/>
      </rPr>
      <t xml:space="preserve">[blog_parts</t>
    </r>
    <r>
      <rPr>
        <sz val="9"/>
        <color rgb="FF666666"/>
        <rFont val="WenQuanYi Zen Hei"/>
        <family val="2"/>
      </rPr>
      <t xml:space="preserve">）は、意図して減らしたときだけ違ってよい。</t>
    </r>
    <r>
      <rPr>
        <sz val="9"/>
        <color rgb="FF666666"/>
        <rFont val="Meiryo UI"/>
        <family val="0"/>
        <charset val="1"/>
      </rPr>
      <t xml:space="preserve">15</t>
    </r>
    <r>
      <rPr>
        <sz val="9"/>
        <color rgb="FF666666"/>
        <rFont val="WenQuanYi Zen Hei"/>
        <family val="2"/>
      </rPr>
      <t xml:space="preserve">行目は記入例。</t>
    </r>
  </si>
  <si>
    <r>
      <rPr>
        <b val="true"/>
        <sz val="10"/>
        <rFont val="Meiryo UI"/>
        <family val="0"/>
        <charset val="1"/>
      </rPr>
      <t xml:space="preserve">A-4 </t>
    </r>
    <r>
      <rPr>
        <b val="true"/>
        <sz val="10"/>
        <rFont val="WenQuanYi Zen Hei"/>
        <family val="2"/>
      </rPr>
      <t xml:space="preserve">公開前に検索して</t>
    </r>
    <r>
      <rPr>
        <b val="true"/>
        <sz val="10"/>
        <rFont val="Meiryo UI"/>
        <family val="0"/>
        <charset val="1"/>
      </rPr>
      <t xml:space="preserve">0</t>
    </r>
    <r>
      <rPr>
        <b val="true"/>
        <sz val="10"/>
        <rFont val="WenQuanYi Zen Hei"/>
        <family val="2"/>
      </rPr>
      <t xml:space="preserve">件であること（作業メモの残り）</t>
    </r>
  </si>
  <si>
    <t xml:space="preserve">要確認</t>
  </si>
  <si>
    <t xml:space="preserve">差し替え</t>
  </si>
  <si>
    <t xml:space="preserve">削除済み</t>
  </si>
  <si>
    <t xml:space="preserve">指定どおり</t>
  </si>
  <si>
    <t xml:space="preserve">以下の</t>
  </si>
  <si>
    <t xml:space="preserve">TODO</t>
  </si>
  <si>
    <t xml:space="preserve">000X</t>
  </si>
  <si>
    <t xml:space="preserve">AI</t>
  </si>
  <si>
    <t xml:space="preserve">Claude</t>
  </si>
  <si>
    <t xml:space="preserve">ChatGPT</t>
  </si>
  <si>
    <r>
      <rPr>
        <sz val="10"/>
        <rFont val="Meiryo UI"/>
        <family val="0"/>
        <charset val="1"/>
      </rPr>
      <t xml:space="preserve">&lt;!-- </t>
    </r>
    <r>
      <rPr>
        <sz val="10"/>
        <rFont val="WenQuanYi Zen Hei"/>
        <family val="2"/>
      </rPr>
      <t xml:space="preserve">（</t>
    </r>
    <r>
      <rPr>
        <sz val="10"/>
        <rFont val="Meiryo UI"/>
        <family val="0"/>
        <charset val="1"/>
      </rPr>
      <t xml:space="preserve">&lt;!-- wp: </t>
    </r>
    <r>
      <rPr>
        <sz val="10"/>
        <rFont val="WenQuanYi Zen Hei"/>
        <family val="2"/>
      </rPr>
      <t xml:space="preserve">と </t>
    </r>
    <r>
      <rPr>
        <sz val="10"/>
        <rFont val="Meiryo UI"/>
        <family val="0"/>
        <charset val="1"/>
      </rPr>
      <t xml:space="preserve">&lt;!-- /wp: </t>
    </r>
    <r>
      <rPr>
        <sz val="10"/>
        <rFont val="WenQuanYi Zen Hei"/>
        <family val="2"/>
      </rPr>
      <t xml:space="preserve">以外）</t>
    </r>
  </si>
  <si>
    <r>
      <rPr>
        <sz val="9"/>
        <color rgb="FF666666"/>
        <rFont val="Meiryo UI"/>
        <family val="0"/>
        <charset val="1"/>
      </rPr>
      <t xml:space="preserve">A-5 </t>
    </r>
    <r>
      <rPr>
        <sz val="9"/>
        <color rgb="FF666666"/>
        <rFont val="WenQuanYi Zen Hei"/>
        <family val="2"/>
      </rPr>
      <t xml:space="preserve">広告の位置が変わった記事は「ルール</t>
    </r>
    <r>
      <rPr>
        <sz val="9"/>
        <color rgb="FF666666"/>
        <rFont val="Meiryo UI"/>
        <family val="0"/>
        <charset val="1"/>
      </rPr>
      <t xml:space="preserve">_</t>
    </r>
    <r>
      <rPr>
        <sz val="9"/>
        <color rgb="FF666666"/>
        <rFont val="WenQuanYi Zen Hei"/>
        <family val="2"/>
      </rPr>
      <t xml:space="preserve">リンク発行」のルール</t>
    </r>
    <r>
      <rPr>
        <sz val="9"/>
        <color rgb="FF666666"/>
        <rFont val="Meiryo UI"/>
        <family val="0"/>
        <charset val="1"/>
      </rPr>
      <t xml:space="preserve">D</t>
    </r>
    <r>
      <rPr>
        <sz val="9"/>
        <color rgb="FF666666"/>
        <rFont val="WenQuanYi Zen Hei"/>
        <family val="2"/>
      </rPr>
      <t xml:space="preserve">（置き方）を確認。 </t>
    </r>
    <r>
      <rPr>
        <sz val="9"/>
        <color rgb="FF666666"/>
        <rFont val="Meiryo UI"/>
        <family val="0"/>
        <charset val="1"/>
      </rPr>
      <t xml:space="preserve">A-6 IPA</t>
    </r>
    <r>
      <rPr>
        <sz val="9"/>
        <color rgb="FF666666"/>
        <rFont val="WenQuanYi Zen Hei"/>
        <family val="2"/>
      </rPr>
      <t xml:space="preserve">記事は本文の時点・日程・シラバスの記載を更新（</t>
    </r>
    <r>
      <rPr>
        <sz val="9"/>
        <color rgb="FF666666"/>
        <rFont val="Meiryo UI"/>
        <family val="0"/>
        <charset val="1"/>
      </rPr>
      <t xml:space="preserve">664</t>
    </r>
    <r>
      <rPr>
        <sz val="9"/>
        <color rgb="FF666666"/>
        <rFont val="WenQuanYi Zen Hei"/>
        <family val="2"/>
      </rPr>
      <t xml:space="preserve">・</t>
    </r>
    <r>
      <rPr>
        <sz val="9"/>
        <color rgb="FF666666"/>
        <rFont val="Meiryo UI"/>
        <family val="0"/>
        <charset val="1"/>
      </rPr>
      <t xml:space="preserve">1489</t>
    </r>
    <r>
      <rPr>
        <sz val="9"/>
        <color rgb="FF666666"/>
        <rFont val="WenQuanYi Zen Hei"/>
        <family val="2"/>
      </rPr>
      <t xml:space="preserve">・</t>
    </r>
    <r>
      <rPr>
        <sz val="9"/>
        <color rgb="FF666666"/>
        <rFont val="Meiryo UI"/>
        <family val="0"/>
        <charset val="1"/>
      </rPr>
      <t xml:space="preserve">1809</t>
    </r>
    <r>
      <rPr>
        <sz val="9"/>
        <color rgb="FF666666"/>
        <rFont val="WenQuanYi Zen Hei"/>
        <family val="2"/>
      </rPr>
      <t xml:space="preserve">に合わせる）。</t>
    </r>
  </si>
  <si>
    <r>
      <rPr>
        <b val="true"/>
        <sz val="14"/>
        <rFont val="WenQuanYi Zen Hei"/>
        <family val="2"/>
      </rPr>
      <t xml:space="preserve">ルール</t>
    </r>
    <r>
      <rPr>
        <b val="true"/>
        <sz val="14"/>
        <rFont val="Meiryo UI"/>
        <family val="0"/>
        <charset val="1"/>
      </rPr>
      <t xml:space="preserve">B</t>
    </r>
    <r>
      <rPr>
        <b val="true"/>
        <sz val="14"/>
        <rFont val="WenQuanYi Zen Hei"/>
        <family val="2"/>
      </rPr>
      <t xml:space="preserve">〜</t>
    </r>
    <r>
      <rPr>
        <b val="true"/>
        <sz val="14"/>
        <rFont val="Meiryo UI"/>
        <family val="0"/>
        <charset val="1"/>
      </rPr>
      <t xml:space="preserve">D</t>
    </r>
    <r>
      <rPr>
        <b val="true"/>
        <sz val="14"/>
        <rFont val="WenQuanYi Zen Hei"/>
        <family val="2"/>
      </rPr>
      <t xml:space="preserve">：リンクの発行・公開後の確認・置き方</t>
    </r>
  </si>
  <si>
    <r>
      <rPr>
        <sz val="9"/>
        <color rgb="FF666666"/>
        <rFont val="Meiryo UI"/>
        <family val="0"/>
        <charset val="1"/>
      </rPr>
      <t xml:space="preserve">B</t>
    </r>
    <r>
      <rPr>
        <sz val="9"/>
        <color rgb="FF666666"/>
        <rFont val="WenQuanYi Zen Hei"/>
        <family val="2"/>
      </rPr>
      <t xml:space="preserve">列（黄色）に </t>
    </r>
    <r>
      <rPr>
        <sz val="9"/>
        <color rgb="FF666666"/>
        <rFont val="Meiryo UI"/>
        <family val="0"/>
        <charset val="1"/>
      </rPr>
      <t xml:space="preserve">a8mat= </t>
    </r>
    <r>
      <rPr>
        <sz val="9"/>
        <color rgb="FF666666"/>
        <rFont val="WenQuanYi Zen Hei"/>
        <family val="2"/>
      </rPr>
      <t xml:space="preserve">の</t>
    </r>
    <r>
      <rPr>
        <sz val="9"/>
        <color rgb="FF666666"/>
        <rFont val="Meiryo UI"/>
        <family val="0"/>
        <charset val="1"/>
      </rPr>
      <t xml:space="preserve">2</t>
    </r>
    <r>
      <rPr>
        <sz val="9"/>
        <color rgb="FF666666"/>
        <rFont val="WenQuanYi Zen Hei"/>
        <family val="2"/>
      </rPr>
      <t xml:space="preserve">つ目のかたまりを入れると、サイト番号を自動で判定する。</t>
    </r>
  </si>
  <si>
    <r>
      <rPr>
        <b val="true"/>
        <sz val="10"/>
        <rFont val="Meiryo UI"/>
        <family val="0"/>
        <charset val="1"/>
      </rPr>
      <t xml:space="preserve">B-2 A8</t>
    </r>
    <r>
      <rPr>
        <b val="true"/>
        <sz val="10"/>
        <rFont val="WenQuanYi Zen Hei"/>
        <family val="2"/>
      </rPr>
      <t xml:space="preserve">のサイト番号の判定</t>
    </r>
  </si>
  <si>
    <t xml:space="preserve">案件・メモ</t>
  </si>
  <si>
    <r>
      <rPr>
        <b val="true"/>
        <sz val="10"/>
        <color rgb="FFFFFFFF"/>
        <rFont val="Meiryo UI"/>
        <family val="0"/>
        <charset val="1"/>
      </rPr>
      <t xml:space="preserve">a8mat</t>
    </r>
    <r>
      <rPr>
        <b val="true"/>
        <sz val="10"/>
        <color rgb="FFFFFFFF"/>
        <rFont val="WenQuanYi Zen Hei"/>
        <family val="2"/>
      </rPr>
      <t xml:space="preserve">の</t>
    </r>
    <r>
      <rPr>
        <b val="true"/>
        <sz val="10"/>
        <color rgb="FFFFFFFF"/>
        <rFont val="Meiryo UI"/>
        <family val="0"/>
        <charset val="1"/>
      </rPr>
      <t xml:space="preserve">2</t>
    </r>
    <r>
      <rPr>
        <b val="true"/>
        <sz val="10"/>
        <color rgb="FFFFFFFF"/>
        <rFont val="WenQuanYi Zen Hei"/>
        <family val="2"/>
      </rPr>
      <t xml:space="preserve">つ目</t>
    </r>
  </si>
  <si>
    <r>
      <rPr>
        <b val="true"/>
        <sz val="10"/>
        <color rgb="FFFFFFFF"/>
        <rFont val="Meiryo UI"/>
        <family val="0"/>
        <charset val="1"/>
      </rPr>
      <t xml:space="preserve">10</t>
    </r>
    <r>
      <rPr>
        <b val="true"/>
        <sz val="10"/>
        <color rgb="FFFFFFFF"/>
        <rFont val="WenQuanYi Zen Hei"/>
        <family val="2"/>
      </rPr>
      <t xml:space="preserve">進数</t>
    </r>
  </si>
  <si>
    <t xml:space="preserve">サイト番号</t>
  </si>
  <si>
    <t xml:space="preserve">786GWQ</t>
  </si>
  <si>
    <t xml:space="preserve">neo</t>
  </si>
  <si>
    <t xml:space="preserve">72TKGQ</t>
  </si>
  <si>
    <t xml:space="preserve">TechGo</t>
  </si>
  <si>
    <t xml:space="preserve">F172FU</t>
  </si>
  <si>
    <r>
      <rPr>
        <sz val="10"/>
        <rFont val="Meiryo UI"/>
        <family val="0"/>
        <charset val="1"/>
      </rPr>
      <t xml:space="preserve">814 </t>
    </r>
    <r>
      <rPr>
        <sz val="10"/>
        <rFont val="WenQuanYi Zen Hei"/>
        <family val="2"/>
      </rPr>
      <t xml:space="preserve">の </t>
    </r>
    <r>
      <rPr>
        <sz val="10"/>
        <rFont val="Meiryo UI"/>
        <family val="0"/>
        <charset val="1"/>
      </rPr>
      <t xml:space="preserve">Geekly</t>
    </r>
    <r>
      <rPr>
        <sz val="10"/>
        <rFont val="WenQuanYi Zen Hei"/>
        <family val="2"/>
      </rPr>
      <t xml:space="preserve">（例）</t>
    </r>
  </si>
  <si>
    <t xml:space="preserve">EZEQUQ</t>
  </si>
  <si>
    <r>
      <rPr>
        <sz val="9"/>
        <color rgb="FF666666"/>
        <rFont val="WenQuanYi Zen Hei"/>
        <family val="2"/>
      </rPr>
      <t xml:space="preserve">例：</t>
    </r>
    <r>
      <rPr>
        <sz val="9"/>
        <color rgb="FF666666"/>
        <rFont val="Meiryo UI"/>
        <family val="0"/>
        <charset val="1"/>
      </rPr>
      <t xml:space="preserve">a8mat=4B1ILL+72TKGQ+3Y6M+63H8I </t>
    </r>
    <r>
      <rPr>
        <sz val="9"/>
        <color rgb="FF666666"/>
        <rFont val="WenQuanYi Zen Hei"/>
        <family val="2"/>
      </rPr>
      <t xml:space="preserve">なら、</t>
    </r>
    <r>
      <rPr>
        <sz val="9"/>
        <color rgb="FF666666"/>
        <rFont val="Meiryo UI"/>
        <family val="0"/>
        <charset val="1"/>
      </rPr>
      <t xml:space="preserve">2</t>
    </r>
    <r>
      <rPr>
        <sz val="9"/>
        <color rgb="FF666666"/>
        <rFont val="WenQuanYi Zen Hei"/>
        <family val="2"/>
      </rPr>
      <t xml:space="preserve">つ目は </t>
    </r>
    <r>
      <rPr>
        <sz val="9"/>
        <color rgb="FF666666"/>
        <rFont val="Meiryo UI"/>
        <family val="0"/>
        <charset val="1"/>
      </rPr>
      <t xml:space="preserve">72TKGQ</t>
    </r>
    <r>
      <rPr>
        <sz val="9"/>
        <color rgb="FF666666"/>
        <rFont val="WenQuanYi Zen Hei"/>
        <family val="2"/>
      </rPr>
      <t xml:space="preserve">。</t>
    </r>
    <r>
      <rPr>
        <sz val="9"/>
        <color rgb="FF666666"/>
        <rFont val="Meiryo UI"/>
        <family val="0"/>
        <charset val="1"/>
      </rPr>
      <t xml:space="preserve">Excel</t>
    </r>
    <r>
      <rPr>
        <sz val="9"/>
        <color rgb="FF666666"/>
        <rFont val="WenQuanYi Zen Hei"/>
        <family val="2"/>
      </rPr>
      <t xml:space="preserve">では </t>
    </r>
    <r>
      <rPr>
        <sz val="9"/>
        <color rgb="FF666666"/>
        <rFont val="Meiryo UI"/>
        <family val="0"/>
        <charset val="1"/>
      </rPr>
      <t xml:space="preserve">=MID(TEXT(DECIMAL("72TKGQ",36),"000000000"),4,3) </t>
    </r>
    <r>
      <rPr>
        <sz val="9"/>
        <color rgb="FF666666"/>
        <rFont val="WenQuanYi Zen Hei"/>
        <family val="2"/>
      </rPr>
      <t xml:space="preserve">でも同じ結果になる。</t>
    </r>
  </si>
  <si>
    <r>
      <rPr>
        <b val="true"/>
        <sz val="10"/>
        <rFont val="Meiryo UI"/>
        <family val="0"/>
        <charset val="1"/>
      </rPr>
      <t xml:space="preserve">B-1 </t>
    </r>
    <r>
      <rPr>
        <b val="true"/>
        <sz val="10"/>
        <rFont val="WenQuanYi Zen Hei"/>
        <family val="2"/>
      </rPr>
      <t xml:space="preserve">発行する前</t>
    </r>
  </si>
  <si>
    <r>
      <rPr>
        <sz val="10"/>
        <rFont val="WenQuanYi Zen Hei"/>
        <family val="2"/>
      </rPr>
      <t xml:space="preserve">・案件の掲載条件（成果条件・否認条件・禁止事項・</t>
    </r>
    <r>
      <rPr>
        <sz val="10"/>
        <rFont val="Meiryo UI"/>
        <family val="0"/>
        <charset val="1"/>
      </rPr>
      <t xml:space="preserve">PR</t>
    </r>
    <r>
      <rPr>
        <sz val="10"/>
        <rFont val="WenQuanYi Zen Hei"/>
        <family val="2"/>
      </rPr>
      <t xml:space="preserve">文・報酬）を記録する（「案件の条件」シート）。</t>
    </r>
  </si>
  <si>
    <t xml:space="preserve">・置く記事の読者が対象条件に入るか確かめる（年齢・経験・地域・学生かどうか）。</t>
  </si>
  <si>
    <r>
      <rPr>
        <sz val="10"/>
        <rFont val="WenQuanYi Zen Hei"/>
        <family val="2"/>
      </rPr>
      <t xml:space="preserve">・禁止表現を確かめる（</t>
    </r>
    <r>
      <rPr>
        <sz val="10"/>
        <rFont val="Meiryo UI"/>
        <family val="0"/>
        <charset val="1"/>
      </rPr>
      <t xml:space="preserve">Geekly</t>
    </r>
    <r>
      <rPr>
        <sz val="10"/>
        <rFont val="WenQuanYi Zen Hei"/>
        <family val="2"/>
      </rPr>
      <t xml:space="preserve">：年齢指定・未経験訴求</t>
    </r>
    <r>
      <rPr>
        <sz val="10"/>
        <rFont val="Meiryo UI"/>
        <family val="0"/>
        <charset val="1"/>
      </rPr>
      <t xml:space="preserve">NG</t>
    </r>
    <r>
      <rPr>
        <sz val="10"/>
        <rFont val="WenQuanYi Zen Hei"/>
        <family val="2"/>
      </rPr>
      <t xml:space="preserve">／</t>
    </r>
    <r>
      <rPr>
        <sz val="10"/>
        <rFont val="Meiryo UI"/>
        <family val="0"/>
        <charset val="1"/>
      </rPr>
      <t xml:space="preserve">JAC</t>
    </r>
    <r>
      <rPr>
        <sz val="10"/>
        <rFont val="WenQuanYi Zen Hei"/>
        <family val="2"/>
      </rPr>
      <t xml:space="preserve">：年収は</t>
    </r>
    <r>
      <rPr>
        <sz val="10"/>
        <rFont val="Meiryo UI"/>
        <family val="0"/>
        <charset val="1"/>
      </rPr>
      <t xml:space="preserve">2</t>
    </r>
    <r>
      <rPr>
        <sz val="10"/>
        <rFont val="WenQuanYi Zen Hei"/>
        <family val="2"/>
      </rPr>
      <t xml:space="preserve">パターンのみ・「断られた」</t>
    </r>
    <r>
      <rPr>
        <sz val="10"/>
        <rFont val="Meiryo UI"/>
        <family val="0"/>
        <charset val="1"/>
      </rPr>
      <t xml:space="preserve">NG</t>
    </r>
    <r>
      <rPr>
        <sz val="10"/>
        <rFont val="WenQuanYi Zen Hei"/>
        <family val="2"/>
      </rPr>
      <t xml:space="preserve">）。</t>
    </r>
  </si>
  <si>
    <r>
      <rPr>
        <b val="true"/>
        <sz val="10"/>
        <rFont val="Meiryo UI"/>
        <family val="0"/>
        <charset val="1"/>
      </rPr>
      <t xml:space="preserve">B-2 </t>
    </r>
    <r>
      <rPr>
        <b val="true"/>
        <sz val="10"/>
        <rFont val="WenQuanYi Zen Hei"/>
        <family val="2"/>
      </rPr>
      <t xml:space="preserve">発行するとき</t>
    </r>
  </si>
  <si>
    <r>
      <rPr>
        <sz val="10"/>
        <rFont val="WenQuanYi Zen Hei"/>
        <family val="2"/>
      </rPr>
      <t xml:space="preserve">・</t>
    </r>
    <r>
      <rPr>
        <sz val="10"/>
        <rFont val="Meiryo UI"/>
        <family val="0"/>
        <charset val="1"/>
      </rPr>
      <t xml:space="preserve">A8</t>
    </r>
    <r>
      <rPr>
        <sz val="10"/>
        <rFont val="WenQuanYi Zen Hei"/>
        <family val="2"/>
      </rPr>
      <t xml:space="preserve">：画面上部のサイト選択が「採用のウラ側」。上の表でサイト番号が </t>
    </r>
    <r>
      <rPr>
        <sz val="10"/>
        <rFont val="Meiryo UI"/>
        <family val="0"/>
        <charset val="1"/>
      </rPr>
      <t xml:space="preserve">002</t>
    </r>
    <r>
      <rPr>
        <sz val="10"/>
        <rFont val="WenQuanYi Zen Hei"/>
        <family val="2"/>
      </rPr>
      <t xml:space="preserve">。</t>
    </r>
  </si>
  <si>
    <r>
      <rPr>
        <sz val="10"/>
        <rFont val="WenQuanYi Zen Hei"/>
        <family val="2"/>
      </rPr>
      <t xml:space="preserve">・</t>
    </r>
    <r>
      <rPr>
        <sz val="10"/>
        <rFont val="Meiryo UI"/>
        <family val="0"/>
        <charset val="1"/>
      </rPr>
      <t xml:space="preserve">VC</t>
    </r>
    <r>
      <rPr>
        <sz val="10"/>
        <rFont val="WenQuanYi Zen Hei"/>
        <family val="2"/>
      </rPr>
      <t xml:space="preserve">：「現在のサイト：採用のウラ側（</t>
    </r>
    <r>
      <rPr>
        <sz val="10"/>
        <rFont val="Meiryo UI"/>
        <family val="0"/>
        <charset val="1"/>
      </rPr>
      <t xml:space="preserve">ID:3765202</t>
    </r>
    <r>
      <rPr>
        <sz val="10"/>
        <rFont val="WenQuanYi Zen Hei"/>
        <family val="2"/>
      </rPr>
      <t xml:space="preserve">）」。コードが </t>
    </r>
    <r>
      <rPr>
        <sz val="10"/>
        <rFont val="Meiryo UI"/>
        <family val="0"/>
        <charset val="1"/>
      </rPr>
      <t xml:space="preserve">sid=3765202</t>
    </r>
    <r>
      <rPr>
        <sz val="10"/>
        <rFont val="WenQuanYi Zen Hei"/>
        <family val="2"/>
      </rPr>
      <t xml:space="preserve">。</t>
    </r>
  </si>
  <si>
    <r>
      <rPr>
        <sz val="10"/>
        <rFont val="WenQuanYi Zen Hei"/>
        <family val="2"/>
      </rPr>
      <t xml:space="preserve">・もしも：サイト選択が「採用のウラ側」（でんチャレではない）。コードが </t>
    </r>
    <r>
      <rPr>
        <sz val="10"/>
        <rFont val="Meiryo UI"/>
        <family val="0"/>
        <charset val="1"/>
      </rPr>
      <t xml:space="preserve">a_id=5422590</t>
    </r>
    <r>
      <rPr>
        <sz val="10"/>
        <rFont val="WenQuanYi Zen Hei"/>
        <family val="2"/>
      </rPr>
      <t xml:space="preserve">。</t>
    </r>
  </si>
  <si>
    <r>
      <rPr>
        <b val="true"/>
        <sz val="10"/>
        <rFont val="Meiryo UI"/>
        <family val="0"/>
        <charset val="1"/>
      </rPr>
      <t xml:space="preserve">B-3 </t>
    </r>
    <r>
      <rPr>
        <b val="true"/>
        <sz val="10"/>
        <rFont val="WenQuanYi Zen Hei"/>
        <family val="2"/>
      </rPr>
      <t xml:space="preserve">発行したあと</t>
    </r>
  </si>
  <si>
    <r>
      <rPr>
        <sz val="10"/>
        <rFont val="WenQuanYi Zen Hei"/>
        <family val="2"/>
      </rPr>
      <t xml:space="preserve">・発行したコードはそのまま使う。</t>
    </r>
    <r>
      <rPr>
        <sz val="10"/>
        <rFont val="Meiryo UI"/>
        <family val="0"/>
        <charset val="1"/>
      </rPr>
      <t xml:space="preserve">0.gif</t>
    </r>
    <r>
      <rPr>
        <sz val="10"/>
        <rFont val="WenQuanYi Zen Hei"/>
        <family val="2"/>
      </rPr>
      <t xml:space="preserve">・</t>
    </r>
    <r>
      <rPr>
        <sz val="10"/>
        <rFont val="Meiryo UI"/>
        <family val="0"/>
        <charset val="1"/>
      </rPr>
      <t xml:space="preserve">gifbanner</t>
    </r>
    <r>
      <rPr>
        <sz val="10"/>
        <rFont val="WenQuanYi Zen Hei"/>
        <family val="2"/>
      </rPr>
      <t xml:space="preserve">・</t>
    </r>
    <r>
      <rPr>
        <sz val="10"/>
        <rFont val="Meiryo UI"/>
        <family val="0"/>
        <charset val="1"/>
      </rPr>
      <t xml:space="preserve">impression </t>
    </r>
    <r>
      <rPr>
        <sz val="10"/>
        <rFont val="WenQuanYi Zen Hei"/>
        <family val="2"/>
      </rPr>
      <t xml:space="preserve">の行を消さない・リンクと分けない。</t>
    </r>
  </si>
  <si>
    <r>
      <rPr>
        <sz val="10"/>
        <rFont val="WenQuanYi Zen Hei"/>
        <family val="2"/>
      </rPr>
      <t xml:space="preserve">・カスタム</t>
    </r>
    <r>
      <rPr>
        <sz val="10"/>
        <rFont val="Meiryo UI"/>
        <family val="0"/>
        <charset val="1"/>
      </rPr>
      <t xml:space="preserve">HTML</t>
    </r>
    <r>
      <rPr>
        <sz val="10"/>
        <rFont val="WenQuanYi Zen Hei"/>
        <family val="2"/>
      </rPr>
      <t xml:space="preserve">ブロックに貼る（段落ブロックだと画像の行が消えることがある）。</t>
    </r>
  </si>
  <si>
    <r>
      <rPr>
        <sz val="10"/>
        <rFont val="WenQuanYi Zen Hei"/>
        <family val="2"/>
      </rPr>
      <t xml:space="preserve">・計測用画像はボタン（リンク）の直後。別パーツや記事の最後に分けない。画面の外（</t>
    </r>
    <r>
      <rPr>
        <sz val="10"/>
        <rFont val="Meiryo UI"/>
        <family val="0"/>
        <charset val="1"/>
      </rPr>
      <t xml:space="preserve">left:-9999px </t>
    </r>
    <r>
      <rPr>
        <sz val="10"/>
        <rFont val="WenQuanYi Zen Hei"/>
        <family val="2"/>
      </rPr>
      <t xml:space="preserve">など）に置かない。</t>
    </r>
  </si>
  <si>
    <r>
      <rPr>
        <sz val="10"/>
        <rFont val="WenQuanYi Zen Hei"/>
        <family val="2"/>
      </rPr>
      <t xml:space="preserve">・「リンク台帳」に</t>
    </r>
    <r>
      <rPr>
        <sz val="10"/>
        <rFont val="Meiryo UI"/>
        <family val="0"/>
        <charset val="1"/>
      </rPr>
      <t xml:space="preserve">1</t>
    </r>
    <r>
      <rPr>
        <sz val="10"/>
        <rFont val="WenQuanYi Zen Hei"/>
        <family val="2"/>
      </rPr>
      <t xml:space="preserve">行足す。</t>
    </r>
  </si>
  <si>
    <t xml:space="preserve">B-4</t>
  </si>
  <si>
    <t xml:space="preserve">・同じ会社の案件（レバテックダイレクトとレバテックキャリアなど）は同じ表・同じ記事に並べない。</t>
  </si>
  <si>
    <r>
      <rPr>
        <b val="true"/>
        <sz val="10"/>
        <rFont val="WenQuanYi Zen Hei"/>
        <family val="2"/>
      </rPr>
      <t xml:space="preserve">ルール</t>
    </r>
    <r>
      <rPr>
        <b val="true"/>
        <sz val="10"/>
        <rFont val="Meiryo UI"/>
        <family val="0"/>
        <charset val="1"/>
      </rPr>
      <t xml:space="preserve">C </t>
    </r>
    <r>
      <rPr>
        <b val="true"/>
        <sz val="10"/>
        <rFont val="WenQuanYi Zen Hei"/>
        <family val="2"/>
      </rPr>
      <t xml:space="preserve">公開後</t>
    </r>
  </si>
  <si>
    <r>
      <rPr>
        <sz val="10"/>
        <rFont val="WenQuanYi Zen Hei"/>
        <family val="2"/>
      </rPr>
      <t xml:space="preserve">・公開ページのソース（</t>
    </r>
    <r>
      <rPr>
        <sz val="10"/>
        <rFont val="Meiryo UI"/>
        <family val="0"/>
        <charset val="1"/>
      </rPr>
      <t xml:space="preserve">Ctrl+U</t>
    </r>
    <r>
      <rPr>
        <sz val="10"/>
        <rFont val="WenQuanYi Zen Hei"/>
        <family val="2"/>
      </rPr>
      <t xml:space="preserve">）で </t>
    </r>
    <r>
      <rPr>
        <sz val="10"/>
        <rFont val="Meiryo UI"/>
        <family val="0"/>
        <charset val="1"/>
      </rPr>
      <t xml:space="preserve">0.gif</t>
    </r>
    <r>
      <rPr>
        <sz val="10"/>
        <rFont val="WenQuanYi Zen Hei"/>
        <family val="2"/>
      </rPr>
      <t xml:space="preserve">・</t>
    </r>
    <r>
      <rPr>
        <sz val="10"/>
        <rFont val="Meiryo UI"/>
        <family val="0"/>
        <charset val="1"/>
      </rPr>
      <t xml:space="preserve">gifbanner</t>
    </r>
    <r>
      <rPr>
        <sz val="10"/>
        <rFont val="WenQuanYi Zen Hei"/>
        <family val="2"/>
      </rPr>
      <t xml:space="preserve">・</t>
    </r>
    <r>
      <rPr>
        <sz val="10"/>
        <rFont val="Meiryo UI"/>
        <family val="0"/>
        <charset val="1"/>
      </rPr>
      <t xml:space="preserve">i.moshimo.com </t>
    </r>
    <r>
      <rPr>
        <sz val="10"/>
        <rFont val="WenQuanYi Zen Hei"/>
        <family val="2"/>
      </rPr>
      <t xml:space="preserve">を検索。件数が「表＋テキストリンクの数」と合うこと、ボタンの直後にあること（</t>
    </r>
    <r>
      <rPr>
        <sz val="10"/>
        <rFont val="Meiryo UI"/>
        <family val="0"/>
        <charset val="1"/>
      </rPr>
      <t xml:space="preserve">data-src </t>
    </r>
    <r>
      <rPr>
        <sz val="10"/>
        <rFont val="WenQuanYi Zen Hei"/>
        <family val="2"/>
      </rPr>
      <t xml:space="preserve">でもよい）。</t>
    </r>
  </si>
  <si>
    <r>
      <rPr>
        <sz val="10"/>
        <rFont val="WenQuanYi Zen Hei"/>
        <family val="2"/>
      </rPr>
      <t xml:space="preserve">・表のボタンは押さない。リンク先は</t>
    </r>
    <r>
      <rPr>
        <sz val="10"/>
        <rFont val="Meiryo UI"/>
        <family val="0"/>
        <charset val="1"/>
      </rPr>
      <t xml:space="preserve">ASP</t>
    </r>
    <r>
      <rPr>
        <sz val="10"/>
        <rFont val="WenQuanYi Zen Hei"/>
        <family val="2"/>
      </rPr>
      <t xml:space="preserve">の管理画面の「リンク先を見る」で確かめる。</t>
    </r>
  </si>
  <si>
    <t xml:space="preserve">・確認で自分が表示・クリックした回数を「効果測定」シートに記録する。</t>
  </si>
  <si>
    <r>
      <rPr>
        <b val="true"/>
        <sz val="10"/>
        <rFont val="WenQuanYi Zen Hei"/>
        <family val="2"/>
      </rPr>
      <t xml:space="preserve">ルール</t>
    </r>
    <r>
      <rPr>
        <b val="true"/>
        <sz val="10"/>
        <rFont val="Meiryo UI"/>
        <family val="0"/>
        <charset val="1"/>
      </rPr>
      <t xml:space="preserve">D </t>
    </r>
    <r>
      <rPr>
        <b val="true"/>
        <sz val="10"/>
        <rFont val="WenQuanYi Zen Hei"/>
        <family val="2"/>
      </rPr>
      <t xml:space="preserve">置き方</t>
    </r>
  </si>
  <si>
    <r>
      <rPr>
        <sz val="10"/>
        <rFont val="WenQuanYi Zen Hei"/>
        <family val="2"/>
      </rPr>
      <t xml:space="preserve">・比較表は</t>
    </r>
    <r>
      <rPr>
        <sz val="10"/>
        <rFont val="Meiryo UI"/>
        <family val="0"/>
        <charset val="1"/>
      </rPr>
      <t xml:space="preserve">1</t>
    </r>
    <r>
      <rPr>
        <sz val="10"/>
        <rFont val="WenQuanYi Zen Hei"/>
        <family val="2"/>
      </rPr>
      <t xml:space="preserve">記事</t>
    </r>
    <r>
      <rPr>
        <sz val="10"/>
        <rFont val="Meiryo UI"/>
        <family val="0"/>
        <charset val="1"/>
      </rPr>
      <t xml:space="preserve">1</t>
    </r>
    <r>
      <rPr>
        <sz val="10"/>
        <rFont val="WenQuanYi Zen Hei"/>
        <family val="2"/>
      </rPr>
      <t xml:space="preserve">か所（長い記事でも</t>
    </r>
    <r>
      <rPr>
        <sz val="10"/>
        <rFont val="Meiryo UI"/>
        <family val="0"/>
        <charset val="1"/>
      </rPr>
      <t xml:space="preserve">2</t>
    </r>
    <r>
      <rPr>
        <sz val="10"/>
        <rFont val="WenQuanYi Zen Hei"/>
        <family val="2"/>
      </rPr>
      <t xml:space="preserve">か所まで）。</t>
    </r>
  </si>
  <si>
    <r>
      <rPr>
        <sz val="10"/>
        <rFont val="WenQuanYi Zen Hei"/>
        <family val="2"/>
      </rPr>
      <t xml:space="preserve">・冒頭（最初の</t>
    </r>
    <r>
      <rPr>
        <sz val="10"/>
        <rFont val="Meiryo UI"/>
        <family val="0"/>
        <charset val="1"/>
      </rPr>
      <t xml:space="preserve">H2</t>
    </r>
    <r>
      <rPr>
        <sz val="10"/>
        <rFont val="WenQuanYi Zen Hei"/>
        <family val="2"/>
      </rPr>
      <t xml:space="preserve">の前）に表を置かない。</t>
    </r>
  </si>
  <si>
    <t xml:space="preserve">・表の直前に誘導の一文。一文は案件の形（スカウト型／エージェント）と合わせる。</t>
  </si>
  <si>
    <t xml:space="preserve">・読者と案件の対象条件を照らし合わせる。</t>
  </si>
  <si>
    <r>
      <rPr>
        <sz val="10"/>
        <rFont val="WenQuanYi Zen Hei"/>
        <family val="2"/>
      </rPr>
      <t xml:space="preserve">・説明文は掲載条件・</t>
    </r>
    <r>
      <rPr>
        <sz val="10"/>
        <rFont val="Meiryo UI"/>
        <family val="0"/>
        <charset val="1"/>
      </rPr>
      <t xml:space="preserve">PR</t>
    </r>
    <r>
      <rPr>
        <sz val="10"/>
        <rFont val="WenQuanYi Zen Hei"/>
        <family val="2"/>
      </rPr>
      <t xml:space="preserve">文に根拠があることだけ。数字には時点。「</t>
    </r>
    <r>
      <rPr>
        <sz val="10"/>
        <rFont val="Meiryo UI"/>
        <family val="0"/>
        <charset val="1"/>
      </rPr>
      <t xml:space="preserve">No.1</t>
    </r>
    <r>
      <rPr>
        <sz val="10"/>
        <rFont val="WenQuanYi Zen Hei"/>
        <family val="2"/>
      </rPr>
      <t xml:space="preserve">」「書類選考なし」は使わない。</t>
    </r>
  </si>
  <si>
    <r>
      <rPr>
        <sz val="10"/>
        <rFont val="WenQuanYi Zen Hei"/>
        <family val="2"/>
      </rPr>
      <t xml:space="preserve">・新しいパックの</t>
    </r>
    <r>
      <rPr>
        <sz val="10"/>
        <rFont val="Meiryo UI"/>
        <family val="0"/>
        <charset val="1"/>
      </rPr>
      <t xml:space="preserve">CSS</t>
    </r>
    <r>
      <rPr>
        <sz val="10"/>
        <rFont val="WenQuanYi Zen Hei"/>
        <family val="2"/>
      </rPr>
      <t xml:space="preserve">（</t>
    </r>
    <r>
      <rPr>
        <sz val="10"/>
        <rFont val="Meiryo UI"/>
        <family val="0"/>
        <charset val="1"/>
      </rPr>
      <t xml:space="preserve">.saiyo-cta</t>
    </r>
    <r>
      <rPr>
        <sz val="10"/>
        <rFont val="WenQuanYi Zen Hei"/>
        <family val="2"/>
      </rPr>
      <t xml:space="preserve">）は既存と同じにする。</t>
    </r>
  </si>
  <si>
    <r>
      <rPr>
        <b val="true"/>
        <sz val="14"/>
        <rFont val="WenQuanYi Zen Hei"/>
        <family val="2"/>
      </rPr>
      <t xml:space="preserve">効果測定（</t>
    </r>
    <r>
      <rPr>
        <b val="true"/>
        <sz val="14"/>
        <rFont val="Meiryo UI"/>
        <family val="0"/>
        <charset val="1"/>
      </rPr>
      <t xml:space="preserve">STEP4</t>
    </r>
    <r>
      <rPr>
        <b val="true"/>
        <sz val="14"/>
        <rFont val="WenQuanYi Zen Hei"/>
        <family val="2"/>
      </rPr>
      <t xml:space="preserve">）</t>
    </r>
  </si>
  <si>
    <r>
      <rPr>
        <sz val="9"/>
        <color rgb="FF666666"/>
        <rFont val="WenQuanYi Zen Hei"/>
        <family val="2"/>
      </rPr>
      <t xml:space="preserve">黄色に入力。</t>
    </r>
    <r>
      <rPr>
        <sz val="9"/>
        <color rgb="FF666666"/>
        <rFont val="Meiryo UI"/>
        <family val="0"/>
        <charset val="1"/>
      </rPr>
      <t xml:space="preserve">ASP</t>
    </r>
    <r>
      <rPr>
        <sz val="9"/>
        <color rgb="FF666666"/>
        <rFont val="WenQuanYi Zen Hei"/>
        <family val="2"/>
      </rPr>
      <t xml:space="preserve">の数字は「採用のウラ側」で絞り込んだ日別の値。流入は</t>
    </r>
    <r>
      <rPr>
        <sz val="9"/>
        <color rgb="FF666666"/>
        <rFont val="Meiryo UI"/>
        <family val="0"/>
        <charset val="1"/>
      </rPr>
      <t xml:space="preserve">GSC</t>
    </r>
    <r>
      <rPr>
        <sz val="9"/>
        <color rgb="FF666666"/>
        <rFont val="WenQuanYi Zen Hei"/>
        <family val="2"/>
      </rPr>
      <t xml:space="preserve">の検索クリック。判定は自動計算。</t>
    </r>
  </si>
  <si>
    <t xml:space="preserve">期間（黄色は変更可）</t>
  </si>
  <si>
    <t xml:space="preserve">期間</t>
  </si>
  <si>
    <t xml:space="preserve">開始</t>
  </si>
  <si>
    <t xml:space="preserve">終了</t>
  </si>
  <si>
    <t xml:space="preserve">基準</t>
  </si>
  <si>
    <r>
      <rPr>
        <sz val="9"/>
        <color rgb="FF666666"/>
        <rFont val="WenQuanYi Zen Hei"/>
        <family val="2"/>
      </rPr>
      <t xml:space="preserve">基準は</t>
    </r>
    <r>
      <rPr>
        <sz val="9"/>
        <color rgb="FF666666"/>
        <rFont val="Meiryo UI"/>
        <family val="0"/>
        <charset val="1"/>
      </rPr>
      <t xml:space="preserve">9/1</t>
    </r>
    <r>
      <rPr>
        <sz val="9"/>
        <color rgb="FF666666"/>
        <rFont val="WenQuanYi Zen Hei"/>
        <family val="2"/>
      </rPr>
      <t xml:space="preserve">〜配置変更の前日。</t>
    </r>
    <r>
      <rPr>
        <sz val="9"/>
        <color rgb="FF666666"/>
        <rFont val="Meiryo UI"/>
        <family val="0"/>
        <charset val="1"/>
      </rPr>
      <t xml:space="preserve">7</t>
    </r>
    <r>
      <rPr>
        <sz val="9"/>
        <color rgb="FF666666"/>
        <rFont val="WenQuanYi Zen Hei"/>
        <family val="2"/>
      </rPr>
      <t xml:space="preserve">月（自分での表示）と</t>
    </r>
    <r>
      <rPr>
        <sz val="9"/>
        <color rgb="FF666666"/>
        <rFont val="Meiryo UI"/>
        <family val="0"/>
        <charset val="1"/>
      </rPr>
      <t xml:space="preserve">8</t>
    </r>
    <r>
      <rPr>
        <sz val="9"/>
        <color rgb="FF666666"/>
        <rFont val="WenQuanYi Zen Hei"/>
        <family val="2"/>
      </rPr>
      <t xml:space="preserve">月（計測の形が途中で変わった）は使わない。基準日は</t>
    </r>
    <r>
      <rPr>
        <sz val="9"/>
        <color rgb="FF666666"/>
        <rFont val="Meiryo UI"/>
        <family val="0"/>
        <charset val="1"/>
      </rPr>
      <t xml:space="preserve">10/17</t>
    </r>
    <r>
      <rPr>
        <sz val="9"/>
        <color rgb="FF666666"/>
        <rFont val="WenQuanYi Zen Hei"/>
        <family val="2"/>
      </rPr>
      <t xml:space="preserve">（</t>
    </r>
    <r>
      <rPr>
        <sz val="9"/>
        <color rgb="FF666666"/>
        <rFont val="Meiryo UI"/>
        <family val="0"/>
        <charset val="1"/>
      </rPr>
      <t xml:space="preserve">2112</t>
    </r>
    <r>
      <rPr>
        <sz val="9"/>
        <color rgb="FF666666"/>
        <rFont val="WenQuanYi Zen Hei"/>
        <family val="2"/>
      </rPr>
      <t xml:space="preserve">を空にし</t>
    </r>
    <r>
      <rPr>
        <sz val="9"/>
        <color rgb="FF666666"/>
        <rFont val="Meiryo UI"/>
        <family val="0"/>
        <charset val="1"/>
      </rPr>
      <t xml:space="preserve">2111</t>
    </r>
    <r>
      <rPr>
        <sz val="9"/>
        <color rgb="FF666666"/>
        <rFont val="WenQuanYi Zen Hei"/>
        <family val="2"/>
      </rPr>
      <t xml:space="preserve">を差し替えた日）。</t>
    </r>
  </si>
  <si>
    <t xml:space="preserve">移行（除外）</t>
  </si>
  <si>
    <r>
      <rPr>
        <b val="true"/>
        <sz val="10"/>
        <rFont val="Meiryo UI"/>
        <family val="0"/>
        <charset val="1"/>
      </rPr>
      <t xml:space="preserve">2</t>
    </r>
    <r>
      <rPr>
        <b val="true"/>
        <sz val="10"/>
        <rFont val="WenQuanYi Zen Hei"/>
        <family val="2"/>
      </rPr>
      <t xml:space="preserve">週間</t>
    </r>
  </si>
  <si>
    <r>
      <rPr>
        <b val="true"/>
        <sz val="10"/>
        <rFont val="Meiryo UI"/>
        <family val="0"/>
        <charset val="1"/>
      </rPr>
      <t xml:space="preserve">1</t>
    </r>
    <r>
      <rPr>
        <b val="true"/>
        <sz val="10"/>
        <rFont val="WenQuanYi Zen Hei"/>
        <family val="2"/>
      </rPr>
      <t xml:space="preserve">か月</t>
    </r>
  </si>
  <si>
    <t xml:space="preserve">指標</t>
  </si>
  <si>
    <r>
      <rPr>
        <b val="true"/>
        <sz val="10"/>
        <color rgb="FFFFFFFF"/>
        <rFont val="Meiryo UI"/>
        <family val="0"/>
        <charset val="1"/>
      </rPr>
      <t xml:space="preserve">2</t>
    </r>
    <r>
      <rPr>
        <b val="true"/>
        <sz val="10"/>
        <color rgb="FFFFFFFF"/>
        <rFont val="WenQuanYi Zen Hei"/>
        <family val="2"/>
      </rPr>
      <t xml:space="preserve">週間</t>
    </r>
  </si>
  <si>
    <r>
      <rPr>
        <b val="true"/>
        <sz val="10"/>
        <color rgb="FFFFFFFF"/>
        <rFont val="Meiryo UI"/>
        <family val="0"/>
        <charset val="1"/>
      </rPr>
      <t xml:space="preserve">1</t>
    </r>
    <r>
      <rPr>
        <b val="true"/>
        <sz val="10"/>
        <color rgb="FFFFFFFF"/>
        <rFont val="WenQuanYi Zen Hei"/>
        <family val="2"/>
      </rPr>
      <t xml:space="preserve">か月</t>
    </r>
  </si>
  <si>
    <r>
      <rPr>
        <b val="true"/>
        <sz val="10"/>
        <color rgb="FFFFFFFF"/>
        <rFont val="Meiryo UI"/>
        <family val="0"/>
        <charset val="1"/>
      </rPr>
      <t xml:space="preserve">2</t>
    </r>
    <r>
      <rPr>
        <b val="true"/>
        <sz val="10"/>
        <color rgb="FFFFFFFF"/>
        <rFont val="WenQuanYi Zen Hei"/>
        <family val="2"/>
      </rPr>
      <t xml:space="preserve">週間の成功</t>
    </r>
  </si>
  <si>
    <r>
      <rPr>
        <b val="true"/>
        <sz val="10"/>
        <color rgb="FFFFFFFF"/>
        <rFont val="Meiryo UI"/>
        <family val="0"/>
        <charset val="1"/>
      </rPr>
      <t xml:space="preserve">2</t>
    </r>
    <r>
      <rPr>
        <b val="true"/>
        <sz val="10"/>
        <color rgb="FFFFFFFF"/>
        <rFont val="WenQuanYi Zen Hei"/>
        <family val="2"/>
      </rPr>
      <t xml:space="preserve">週間の失敗</t>
    </r>
  </si>
  <si>
    <r>
      <rPr>
        <b val="true"/>
        <sz val="10"/>
        <color rgb="FFFFFFFF"/>
        <rFont val="Meiryo UI"/>
        <family val="0"/>
        <charset val="1"/>
      </rPr>
      <t xml:space="preserve">1</t>
    </r>
    <r>
      <rPr>
        <b val="true"/>
        <sz val="10"/>
        <color rgb="FFFFFFFF"/>
        <rFont val="WenQuanYi Zen Hei"/>
        <family val="2"/>
      </rPr>
      <t xml:space="preserve">か月の成功</t>
    </r>
  </si>
  <si>
    <r>
      <rPr>
        <b val="true"/>
        <sz val="10"/>
        <color rgb="FFFFFFFF"/>
        <rFont val="Meiryo UI"/>
        <family val="0"/>
        <charset val="1"/>
      </rPr>
      <t xml:space="preserve">2</t>
    </r>
    <r>
      <rPr>
        <b val="true"/>
        <sz val="10"/>
        <color rgb="FFFFFFFF"/>
        <rFont val="WenQuanYi Zen Hei"/>
        <family val="2"/>
      </rPr>
      <t xml:space="preserve">週間の判定</t>
    </r>
  </si>
  <si>
    <r>
      <rPr>
        <b val="true"/>
        <sz val="10"/>
        <color rgb="FFFFFFFF"/>
        <rFont val="Meiryo UI"/>
        <family val="0"/>
        <charset val="1"/>
      </rPr>
      <t xml:space="preserve">1</t>
    </r>
    <r>
      <rPr>
        <b val="true"/>
        <sz val="10"/>
        <color rgb="FFFFFFFF"/>
        <rFont val="WenQuanYi Zen Hei"/>
        <family val="2"/>
      </rPr>
      <t xml:space="preserve">か月の判定</t>
    </r>
  </si>
  <si>
    <r>
      <rPr>
        <sz val="10"/>
        <rFont val="WenQuanYi Zen Hei"/>
        <family val="2"/>
      </rPr>
      <t xml:space="preserve">流入（</t>
    </r>
    <r>
      <rPr>
        <sz val="10"/>
        <rFont val="Meiryo UI"/>
        <family val="0"/>
        <charset val="1"/>
      </rPr>
      <t xml:space="preserve">GSC</t>
    </r>
    <r>
      <rPr>
        <sz val="10"/>
        <rFont val="WenQuanYi Zen Hei"/>
        <family val="2"/>
      </rPr>
      <t xml:space="preserve">クリック）</t>
    </r>
  </si>
  <si>
    <r>
      <rPr>
        <sz val="10"/>
        <rFont val="Meiryo UI"/>
        <family val="0"/>
        <charset val="1"/>
      </rPr>
      <t xml:space="preserve">A8</t>
    </r>
    <r>
      <rPr>
        <sz val="10"/>
        <rFont val="WenQuanYi Zen Hei"/>
        <family val="2"/>
      </rPr>
      <t xml:space="preserve">表示</t>
    </r>
  </si>
  <si>
    <r>
      <rPr>
        <sz val="10"/>
        <rFont val="Meiryo UI"/>
        <family val="0"/>
        <charset val="1"/>
      </rPr>
      <t xml:space="preserve">A8</t>
    </r>
    <r>
      <rPr>
        <sz val="10"/>
        <rFont val="WenQuanYi Zen Hei"/>
        <family val="2"/>
      </rPr>
      <t xml:space="preserve">クリック</t>
    </r>
  </si>
  <si>
    <r>
      <rPr>
        <sz val="10"/>
        <rFont val="WenQuanYi Zen Hei"/>
        <family val="2"/>
      </rPr>
      <t xml:space="preserve">全</t>
    </r>
    <r>
      <rPr>
        <sz val="10"/>
        <rFont val="Meiryo UI"/>
        <family val="0"/>
        <charset val="1"/>
      </rPr>
      <t xml:space="preserve">ASP</t>
    </r>
    <r>
      <rPr>
        <sz val="10"/>
        <rFont val="WenQuanYi Zen Hei"/>
        <family val="2"/>
      </rPr>
      <t xml:space="preserve">クリック</t>
    </r>
  </si>
  <si>
    <r>
      <rPr>
        <sz val="10"/>
        <rFont val="WenQuanYi Zen Hei"/>
        <family val="2"/>
      </rPr>
      <t xml:space="preserve">上位</t>
    </r>
    <r>
      <rPr>
        <sz val="10"/>
        <rFont val="Meiryo UI"/>
        <family val="0"/>
        <charset val="1"/>
      </rPr>
      <t xml:space="preserve">10</t>
    </r>
    <r>
      <rPr>
        <sz val="10"/>
        <rFont val="WenQuanYi Zen Hei"/>
        <family val="2"/>
      </rPr>
      <t xml:space="preserve">記事の案件の発生</t>
    </r>
  </si>
  <si>
    <r>
      <rPr>
        <b val="true"/>
        <sz val="10"/>
        <rFont val="Meiryo UI"/>
        <family val="0"/>
        <charset val="1"/>
      </rPr>
      <t xml:space="preserve">① A8</t>
    </r>
    <r>
      <rPr>
        <b val="true"/>
        <sz val="10"/>
        <rFont val="WenQuanYi Zen Hei"/>
        <family val="2"/>
      </rPr>
      <t xml:space="preserve">表示／流入</t>
    </r>
    <r>
      <rPr>
        <b val="true"/>
        <sz val="10"/>
        <rFont val="Meiryo UI"/>
        <family val="0"/>
        <charset val="1"/>
      </rPr>
      <t xml:space="preserve">1,000</t>
    </r>
  </si>
  <si>
    <r>
      <rPr>
        <sz val="10"/>
        <rFont val="Meiryo UI"/>
        <family val="0"/>
        <charset val="1"/>
      </rPr>
      <t xml:space="preserve">120</t>
    </r>
    <r>
      <rPr>
        <sz val="10"/>
        <rFont val="WenQuanYi Zen Hei"/>
        <family val="2"/>
      </rPr>
      <t xml:space="preserve">以上を保つ</t>
    </r>
  </si>
  <si>
    <r>
      <rPr>
        <b val="true"/>
        <sz val="10"/>
        <rFont val="Meiryo UI"/>
        <family val="0"/>
        <charset val="1"/>
      </rPr>
      <t xml:space="preserve">② A8</t>
    </r>
    <r>
      <rPr>
        <b val="true"/>
        <sz val="10"/>
        <rFont val="WenQuanYi Zen Hei"/>
        <family val="2"/>
      </rPr>
      <t xml:space="preserve">クリック／流入</t>
    </r>
    <r>
      <rPr>
        <b val="true"/>
        <sz val="10"/>
        <rFont val="Meiryo UI"/>
        <family val="0"/>
        <charset val="1"/>
      </rPr>
      <t xml:space="preserve">1,000</t>
    </r>
  </si>
  <si>
    <r>
      <rPr>
        <b val="true"/>
        <sz val="10"/>
        <rFont val="WenQuanYi Zen Hei"/>
        <family val="2"/>
      </rPr>
      <t xml:space="preserve">③ 全</t>
    </r>
    <r>
      <rPr>
        <b val="true"/>
        <sz val="10"/>
        <rFont val="Meiryo UI"/>
        <family val="0"/>
        <charset val="1"/>
      </rPr>
      <t xml:space="preserve">ASP</t>
    </r>
    <r>
      <rPr>
        <b val="true"/>
        <sz val="10"/>
        <rFont val="WenQuanYi Zen Hei"/>
        <family val="2"/>
      </rPr>
      <t xml:space="preserve">クリック／流入</t>
    </r>
    <r>
      <rPr>
        <b val="true"/>
        <sz val="10"/>
        <rFont val="Meiryo UI"/>
        <family val="0"/>
        <charset val="1"/>
      </rPr>
      <t xml:space="preserve">1,000</t>
    </r>
  </si>
  <si>
    <r>
      <rPr>
        <b val="true"/>
        <sz val="10"/>
        <rFont val="Meiryo UI"/>
        <family val="0"/>
        <charset val="1"/>
      </rPr>
      <t xml:space="preserve">④ A8</t>
    </r>
    <r>
      <rPr>
        <b val="true"/>
        <sz val="10"/>
        <rFont val="WenQuanYi Zen Hei"/>
        <family val="2"/>
      </rPr>
      <t xml:space="preserve">クリック率</t>
    </r>
  </si>
  <si>
    <r>
      <rPr>
        <b val="true"/>
        <sz val="10"/>
        <rFont val="WenQuanYi Zen Hei"/>
        <family val="2"/>
      </rPr>
      <t xml:space="preserve">⑤ 上位</t>
    </r>
    <r>
      <rPr>
        <b val="true"/>
        <sz val="10"/>
        <rFont val="Meiryo UI"/>
        <family val="0"/>
        <charset val="1"/>
      </rPr>
      <t xml:space="preserve">10</t>
    </r>
    <r>
      <rPr>
        <b val="true"/>
        <sz val="10"/>
        <rFont val="WenQuanYi Zen Hei"/>
        <family val="2"/>
      </rPr>
      <t xml:space="preserve">記事の案件の発生（件）</t>
    </r>
  </si>
  <si>
    <r>
      <rPr>
        <sz val="9"/>
        <color rgb="FF666666"/>
        <rFont val="WenQuanYi Zen Hei"/>
        <family val="2"/>
      </rPr>
      <t xml:space="preserve">③は「基準＋</t>
    </r>
    <r>
      <rPr>
        <sz val="9"/>
        <color rgb="FF666666"/>
        <rFont val="Meiryo UI"/>
        <family val="0"/>
        <charset val="1"/>
      </rPr>
      <t xml:space="preserve">1.0</t>
    </r>
    <r>
      <rPr>
        <sz val="9"/>
        <color rgb="FF666666"/>
        <rFont val="WenQuanYi Zen Hei"/>
        <family val="2"/>
      </rPr>
      <t xml:space="preserve">（</t>
    </r>
    <r>
      <rPr>
        <sz val="9"/>
        <color rgb="FF666666"/>
        <rFont val="Meiryo UI"/>
        <family val="0"/>
        <charset val="1"/>
      </rPr>
      <t xml:space="preserve">2</t>
    </r>
    <r>
      <rPr>
        <sz val="9"/>
        <color rgb="FF666666"/>
        <rFont val="WenQuanYi Zen Hei"/>
        <family val="2"/>
      </rPr>
      <t xml:space="preserve">週間・参考）」「基準＋</t>
    </r>
    <r>
      <rPr>
        <sz val="9"/>
        <color rgb="FF666666"/>
        <rFont val="Meiryo UI"/>
        <family val="0"/>
        <charset val="1"/>
      </rPr>
      <t xml:space="preserve">2.0</t>
    </r>
    <r>
      <rPr>
        <sz val="9"/>
        <color rgb="FF666666"/>
        <rFont val="WenQuanYi Zen Hei"/>
        <family val="2"/>
      </rPr>
      <t xml:space="preserve">（</t>
    </r>
    <r>
      <rPr>
        <sz val="9"/>
        <color rgb="FF666666"/>
        <rFont val="Meiryo UI"/>
        <family val="0"/>
        <charset val="1"/>
      </rPr>
      <t xml:space="preserve">1</t>
    </r>
    <r>
      <rPr>
        <sz val="9"/>
        <color rgb="FF666666"/>
        <rFont val="WenQuanYi Zen Hei"/>
        <family val="2"/>
      </rPr>
      <t xml:space="preserve">か月）」。①の基準の裏づけ：計測が正しく働いている</t>
    </r>
    <r>
      <rPr>
        <sz val="9"/>
        <color rgb="FF666666"/>
        <rFont val="Meiryo UI"/>
        <family val="0"/>
        <charset val="1"/>
      </rPr>
      <t xml:space="preserve">VC</t>
    </r>
    <r>
      <rPr>
        <sz val="9"/>
        <color rgb="FF666666"/>
        <rFont val="WenQuanYi Zen Hei"/>
        <family val="2"/>
      </rPr>
      <t xml:space="preserve">の表は流入</t>
    </r>
    <r>
      <rPr>
        <sz val="9"/>
        <color rgb="FF666666"/>
        <rFont val="Meiryo UI"/>
        <family val="0"/>
        <charset val="1"/>
      </rPr>
      <t xml:space="preserve">1,000</t>
    </r>
    <r>
      <rPr>
        <sz val="9"/>
        <color rgb="FF666666"/>
        <rFont val="WenQuanYi Zen Hei"/>
        <family val="2"/>
      </rPr>
      <t xml:space="preserve">あたり約</t>
    </r>
    <r>
      <rPr>
        <sz val="9"/>
        <color rgb="FF666666"/>
        <rFont val="Meiryo UI"/>
        <family val="0"/>
        <charset val="1"/>
      </rPr>
      <t xml:space="preserve">153</t>
    </r>
    <r>
      <rPr>
        <sz val="9"/>
        <color rgb="FF666666"/>
        <rFont val="WenQuanYi Zen Hei"/>
        <family val="2"/>
      </rPr>
      <t xml:space="preserve">表示（</t>
    </r>
    <r>
      <rPr>
        <sz val="9"/>
        <color rgb="FF666666"/>
        <rFont val="Meiryo UI"/>
        <family val="0"/>
        <charset val="1"/>
      </rPr>
      <t xml:space="preserve">9/10</t>
    </r>
    <r>
      <rPr>
        <sz val="9"/>
        <color rgb="FF666666"/>
        <rFont val="WenQuanYi Zen Hei"/>
        <family val="2"/>
      </rPr>
      <t xml:space="preserve">〜</t>
    </r>
    <r>
      <rPr>
        <sz val="9"/>
        <color rgb="FF666666"/>
        <rFont val="Meiryo UI"/>
        <family val="0"/>
        <charset val="1"/>
      </rPr>
      <t xml:space="preserve">10/10</t>
    </r>
    <r>
      <rPr>
        <sz val="9"/>
        <color rgb="FF666666"/>
        <rFont val="WenQuanYi Zen Hei"/>
        <family val="2"/>
      </rPr>
      <t xml:space="preserve">）。④の判定は</t>
    </r>
    <r>
      <rPr>
        <sz val="9"/>
        <color rgb="FF666666"/>
        <rFont val="Meiryo UI"/>
        <family val="0"/>
        <charset val="1"/>
      </rPr>
      <t xml:space="preserve">1</t>
    </r>
    <r>
      <rPr>
        <sz val="9"/>
        <color rgb="FF666666"/>
        <rFont val="WenQuanYi Zen Hei"/>
        <family val="2"/>
      </rPr>
      <t xml:space="preserve">か月の値で見る。</t>
    </r>
  </si>
  <si>
    <r>
      <rPr>
        <sz val="9"/>
        <color rgb="FF666666"/>
        <rFont val="WenQuanYi Zen Hei"/>
        <family val="2"/>
      </rPr>
      <t xml:space="preserve">見込みの前提：</t>
    </r>
    <r>
      <rPr>
        <sz val="9"/>
        <color rgb="FF666666"/>
        <rFont val="Meiryo UI"/>
        <family val="0"/>
        <charset val="1"/>
      </rPr>
      <t xml:space="preserve">A8</t>
    </r>
    <r>
      <rPr>
        <sz val="9"/>
        <color rgb="FF666666"/>
        <rFont val="WenQuanYi Zen Hei"/>
        <family val="2"/>
      </rPr>
      <t xml:space="preserve">の計測用画像が入った表のある記事に流入の</t>
    </r>
    <r>
      <rPr>
        <sz val="9"/>
        <color rgb="FF666666"/>
        <rFont val="Meiryo UI"/>
        <family val="0"/>
        <charset val="1"/>
      </rPr>
      <t xml:space="preserve">30</t>
    </r>
    <r>
      <rPr>
        <sz val="9"/>
        <color rgb="FF666666"/>
        <rFont val="WenQuanYi Zen Hei"/>
        <family val="2"/>
      </rPr>
      <t xml:space="preserve">〜</t>
    </r>
    <r>
      <rPr>
        <sz val="9"/>
        <color rgb="FF666666"/>
        <rFont val="Meiryo UI"/>
        <family val="0"/>
        <charset val="1"/>
      </rPr>
      <t xml:space="preserve">40%</t>
    </r>
    <r>
      <rPr>
        <sz val="9"/>
        <color rgb="FF666666"/>
        <rFont val="WenQuanYi Zen Hei"/>
        <family val="2"/>
      </rPr>
      <t xml:space="preserve">、表まで読む人</t>
    </r>
    <r>
      <rPr>
        <sz val="9"/>
        <color rgb="FF666666"/>
        <rFont val="Meiryo UI"/>
        <family val="0"/>
        <charset val="1"/>
      </rPr>
      <t xml:space="preserve">30</t>
    </r>
    <r>
      <rPr>
        <sz val="9"/>
        <color rgb="FF666666"/>
        <rFont val="WenQuanYi Zen Hei"/>
        <family val="2"/>
      </rPr>
      <t xml:space="preserve">〜</t>
    </r>
    <r>
      <rPr>
        <sz val="9"/>
        <color rgb="FF666666"/>
        <rFont val="Meiryo UI"/>
        <family val="0"/>
        <charset val="1"/>
      </rPr>
      <t xml:space="preserve">50%</t>
    </r>
    <r>
      <rPr>
        <sz val="9"/>
        <color rgb="FF666666"/>
        <rFont val="WenQuanYi Zen Hei"/>
        <family val="2"/>
      </rPr>
      <t xml:space="preserve">、表</t>
    </r>
    <r>
      <rPr>
        <sz val="9"/>
        <color rgb="FF666666"/>
        <rFont val="Meiryo UI"/>
        <family val="0"/>
        <charset val="1"/>
      </rPr>
      <t xml:space="preserve">1</t>
    </r>
    <r>
      <rPr>
        <sz val="9"/>
        <color rgb="FF666666"/>
        <rFont val="WenQuanYi Zen Hei"/>
        <family val="2"/>
      </rPr>
      <t xml:space="preserve">つの画像</t>
    </r>
    <r>
      <rPr>
        <sz val="9"/>
        <color rgb="FF666666"/>
        <rFont val="Meiryo UI"/>
        <family val="0"/>
        <charset val="1"/>
      </rPr>
      <t xml:space="preserve">1</t>
    </r>
    <r>
      <rPr>
        <sz val="9"/>
        <color rgb="FF666666"/>
        <rFont val="WenQuanYi Zen Hei"/>
        <family val="2"/>
      </rPr>
      <t xml:space="preserve">〜</t>
    </r>
    <r>
      <rPr>
        <sz val="9"/>
        <color rgb="FF666666"/>
        <rFont val="Meiryo UI"/>
        <family val="0"/>
        <charset val="1"/>
      </rPr>
      <t xml:space="preserve">2</t>
    </r>
    <r>
      <rPr>
        <sz val="9"/>
        <color rgb="FF666666"/>
        <rFont val="WenQuanYi Zen Hei"/>
        <family val="2"/>
      </rPr>
      <t xml:space="preserve">個、表のクリック率</t>
    </r>
    <r>
      <rPr>
        <sz val="9"/>
        <color rgb="FF666666"/>
        <rFont val="Meiryo UI"/>
        <family val="0"/>
        <charset val="1"/>
      </rPr>
      <t xml:space="preserve">2</t>
    </r>
    <r>
      <rPr>
        <sz val="9"/>
        <color rgb="FF666666"/>
        <rFont val="WenQuanYi Zen Hei"/>
        <family val="2"/>
      </rPr>
      <t xml:space="preserve">〜</t>
    </r>
    <r>
      <rPr>
        <sz val="9"/>
        <color rgb="FF666666"/>
        <rFont val="Meiryo UI"/>
        <family val="0"/>
        <charset val="1"/>
      </rPr>
      <t xml:space="preserve">4%</t>
    </r>
    <r>
      <rPr>
        <sz val="9"/>
        <color rgb="FF666666"/>
        <rFont val="WenQuanYi Zen Hei"/>
        <family val="2"/>
      </rPr>
      <t xml:space="preserve">（業界の一般的な水準で、当サイトの実測ではない）。①が</t>
    </r>
    <r>
      <rPr>
        <sz val="9"/>
        <color rgb="FF666666"/>
        <rFont val="Meiryo UI"/>
        <family val="0"/>
        <charset val="1"/>
      </rPr>
      <t xml:space="preserve">120</t>
    </r>
    <r>
      <rPr>
        <sz val="9"/>
        <color rgb="FF666666"/>
        <rFont val="WenQuanYi Zen Hei"/>
        <family val="2"/>
      </rPr>
      <t xml:space="preserve">以上になったら、その</t>
    </r>
    <r>
      <rPr>
        <sz val="9"/>
        <color rgb="FF666666"/>
        <rFont val="Meiryo UI"/>
        <family val="0"/>
        <charset val="1"/>
      </rPr>
      <t xml:space="preserve">2</t>
    </r>
    <r>
      <rPr>
        <sz val="9"/>
        <color rgb="FF666666"/>
        <rFont val="WenQuanYi Zen Hei"/>
        <family val="2"/>
      </rPr>
      <t xml:space="preserve">週間の実測を新しい基準にする。</t>
    </r>
  </si>
  <si>
    <t xml:space="preserve">参考：今の数字（運営者の共有・リポジトリのデータ）</t>
  </si>
  <si>
    <t xml:space="preserve">2026-09 A8</t>
  </si>
  <si>
    <r>
      <rPr>
        <sz val="9"/>
        <color rgb="FF666666"/>
        <rFont val="Meiryo UI"/>
        <family val="0"/>
        <charset val="1"/>
      </rPr>
      <t xml:space="preserve">97</t>
    </r>
    <r>
      <rPr>
        <sz val="9"/>
        <color rgb="FF666666"/>
        <rFont val="WenQuanYi Zen Hei"/>
        <family val="2"/>
      </rPr>
      <t xml:space="preserve">表示・</t>
    </r>
    <r>
      <rPr>
        <sz val="9"/>
        <color rgb="FF666666"/>
        <rFont val="Meiryo UI"/>
        <family val="0"/>
        <charset val="1"/>
      </rPr>
      <t xml:space="preserve">2</t>
    </r>
    <r>
      <rPr>
        <sz val="9"/>
        <color rgb="FF666666"/>
        <rFont val="WenQuanYi Zen Hei"/>
        <family val="2"/>
      </rPr>
      <t xml:space="preserve">クリック</t>
    </r>
  </si>
  <si>
    <r>
      <rPr>
        <sz val="9"/>
        <color rgb="FF666666"/>
        <rFont val="WenQuanYi Zen Hei"/>
        <family val="2"/>
      </rPr>
      <t xml:space="preserve">流入約</t>
    </r>
    <r>
      <rPr>
        <sz val="9"/>
        <color rgb="FF666666"/>
        <rFont val="Meiryo UI"/>
        <family val="0"/>
        <charset val="1"/>
      </rPr>
      <t xml:space="preserve">4,230</t>
    </r>
    <r>
      <rPr>
        <sz val="9"/>
        <color rgb="FF666666"/>
        <rFont val="WenQuanYi Zen Hei"/>
        <family val="2"/>
      </rPr>
      <t xml:space="preserve">（</t>
    </r>
    <r>
      <rPr>
        <sz val="9"/>
        <color rgb="FF666666"/>
        <rFont val="Meiryo UI"/>
        <family val="0"/>
        <charset val="1"/>
      </rPr>
      <t xml:space="preserve">141</t>
    </r>
    <r>
      <rPr>
        <sz val="9"/>
        <color rgb="FF666666"/>
        <rFont val="WenQuanYi Zen Hei"/>
        <family val="2"/>
      </rPr>
      <t xml:space="preserve">／日）</t>
    </r>
  </si>
  <si>
    <r>
      <rPr>
        <sz val="9"/>
        <color rgb="FF666666"/>
        <rFont val="WenQuanYi Zen Hei"/>
        <family val="2"/>
      </rPr>
      <t xml:space="preserve">①約</t>
    </r>
    <r>
      <rPr>
        <sz val="9"/>
        <color rgb="FF666666"/>
        <rFont val="Meiryo UI"/>
        <family val="0"/>
        <charset val="1"/>
      </rPr>
      <t xml:space="preserve">23</t>
    </r>
    <r>
      <rPr>
        <sz val="9"/>
        <color rgb="FF666666"/>
        <rFont val="WenQuanYi Zen Hei"/>
        <family val="2"/>
      </rPr>
      <t xml:space="preserve">・②約</t>
    </r>
    <r>
      <rPr>
        <sz val="9"/>
        <color rgb="FF666666"/>
        <rFont val="Meiryo UI"/>
        <family val="0"/>
        <charset val="1"/>
      </rPr>
      <t xml:space="preserve">0.5</t>
    </r>
  </si>
  <si>
    <r>
      <rPr>
        <sz val="9"/>
        <color rgb="FF666666"/>
        <rFont val="Meiryo UI"/>
        <family val="0"/>
        <charset val="1"/>
      </rPr>
      <t xml:space="preserve">2026-10</t>
    </r>
    <r>
      <rPr>
        <sz val="9"/>
        <color rgb="FF666666"/>
        <rFont val="WenQuanYi Zen Hei"/>
        <family val="2"/>
      </rPr>
      <t xml:space="preserve">（</t>
    </r>
    <r>
      <rPr>
        <sz val="9"/>
        <color rgb="FF666666"/>
        <rFont val="Meiryo UI"/>
        <family val="0"/>
        <charset val="1"/>
      </rPr>
      <t xml:space="preserve">1</t>
    </r>
    <r>
      <rPr>
        <sz val="9"/>
        <color rgb="FF666666"/>
        <rFont val="WenQuanYi Zen Hei"/>
        <family val="2"/>
      </rPr>
      <t xml:space="preserve">〜</t>
    </r>
    <r>
      <rPr>
        <sz val="9"/>
        <color rgb="FF666666"/>
        <rFont val="Meiryo UI"/>
        <family val="0"/>
        <charset val="1"/>
      </rPr>
      <t xml:space="preserve">12</t>
    </r>
    <r>
      <rPr>
        <sz val="9"/>
        <color rgb="FF666666"/>
        <rFont val="WenQuanYi Zen Hei"/>
        <family val="2"/>
      </rPr>
      <t xml:space="preserve">日）</t>
    </r>
    <r>
      <rPr>
        <sz val="9"/>
        <color rgb="FF666666"/>
        <rFont val="Meiryo UI"/>
        <family val="0"/>
        <charset val="1"/>
      </rPr>
      <t xml:space="preserve">A8</t>
    </r>
  </si>
  <si>
    <r>
      <rPr>
        <sz val="9"/>
        <color rgb="FF666666"/>
        <rFont val="Meiryo UI"/>
        <family val="0"/>
        <charset val="1"/>
      </rPr>
      <t xml:space="preserve">64</t>
    </r>
    <r>
      <rPr>
        <sz val="9"/>
        <color rgb="FF666666"/>
        <rFont val="WenQuanYi Zen Hei"/>
        <family val="2"/>
      </rPr>
      <t xml:space="preserve">表示・</t>
    </r>
    <r>
      <rPr>
        <sz val="9"/>
        <color rgb="FF666666"/>
        <rFont val="Meiryo UI"/>
        <family val="0"/>
        <charset val="1"/>
      </rPr>
      <t xml:space="preserve">2</t>
    </r>
    <r>
      <rPr>
        <sz val="9"/>
        <color rgb="FF666666"/>
        <rFont val="WenQuanYi Zen Hei"/>
        <family val="2"/>
      </rPr>
      <t xml:space="preserve">クリック</t>
    </r>
  </si>
  <si>
    <r>
      <rPr>
        <sz val="9"/>
        <color rgb="FF666666"/>
        <rFont val="WenQuanYi Zen Hei"/>
        <family val="2"/>
      </rPr>
      <t xml:space="preserve">流入約</t>
    </r>
    <r>
      <rPr>
        <sz val="9"/>
        <color rgb="FF666666"/>
        <rFont val="Meiryo UI"/>
        <family val="0"/>
        <charset val="1"/>
      </rPr>
      <t xml:space="preserve">2,400</t>
    </r>
    <r>
      <rPr>
        <sz val="9"/>
        <color rgb="FF666666"/>
        <rFont val="WenQuanYi Zen Hei"/>
        <family val="2"/>
      </rPr>
      <t xml:space="preserve">（約</t>
    </r>
    <r>
      <rPr>
        <sz val="9"/>
        <color rgb="FF666666"/>
        <rFont val="Meiryo UI"/>
        <family val="0"/>
        <charset val="1"/>
      </rPr>
      <t xml:space="preserve">200</t>
    </r>
    <r>
      <rPr>
        <sz val="9"/>
        <color rgb="FF666666"/>
        <rFont val="WenQuanYi Zen Hei"/>
        <family val="2"/>
      </rPr>
      <t xml:space="preserve">／日）</t>
    </r>
  </si>
  <si>
    <r>
      <rPr>
        <sz val="9"/>
        <color rgb="FF666666"/>
        <rFont val="WenQuanYi Zen Hei"/>
        <family val="2"/>
      </rPr>
      <t xml:space="preserve">①約</t>
    </r>
    <r>
      <rPr>
        <sz val="9"/>
        <color rgb="FF666666"/>
        <rFont val="Meiryo UI"/>
        <family val="0"/>
        <charset val="1"/>
      </rPr>
      <t xml:space="preserve">27</t>
    </r>
    <r>
      <rPr>
        <sz val="9"/>
        <color rgb="FF666666"/>
        <rFont val="WenQuanYi Zen Hei"/>
        <family val="2"/>
      </rPr>
      <t xml:space="preserve">・②約</t>
    </r>
    <r>
      <rPr>
        <sz val="9"/>
        <color rgb="FF666666"/>
        <rFont val="Meiryo UI"/>
        <family val="0"/>
        <charset val="1"/>
      </rPr>
      <t xml:space="preserve">0.8</t>
    </r>
  </si>
  <si>
    <r>
      <rPr>
        <b val="true"/>
        <sz val="10"/>
        <rFont val="WenQuanYi Zen Hei"/>
        <family val="2"/>
      </rPr>
      <t xml:space="preserve">日別の記録（黄色に入力。週</t>
    </r>
    <r>
      <rPr>
        <b val="true"/>
        <sz val="10"/>
        <rFont val="Meiryo UI"/>
        <family val="0"/>
        <charset val="1"/>
      </rPr>
      <t xml:space="preserve">1</t>
    </r>
    <r>
      <rPr>
        <b val="true"/>
        <sz val="10"/>
        <rFont val="WenQuanYi Zen Hei"/>
        <family val="2"/>
      </rPr>
      <t xml:space="preserve">回まとめて入力してもよい）</t>
    </r>
  </si>
  <si>
    <r>
      <rPr>
        <sz val="9"/>
        <color rgb="FF666666"/>
        <rFont val="Meiryo UI"/>
        <family val="0"/>
        <charset val="1"/>
      </rPr>
      <t xml:space="preserve">646</t>
    </r>
    <r>
      <rPr>
        <sz val="9"/>
        <color rgb="FF666666"/>
        <rFont val="WenQuanYi Zen Hei"/>
        <family val="2"/>
      </rPr>
      <t xml:space="preserve">表示・</t>
    </r>
    <r>
      <rPr>
        <sz val="9"/>
        <color rgb="FF666666"/>
        <rFont val="Meiryo UI"/>
        <family val="0"/>
        <charset val="1"/>
      </rPr>
      <t xml:space="preserve">22</t>
    </r>
    <r>
      <rPr>
        <sz val="9"/>
        <color rgb="FF666666"/>
        <rFont val="WenQuanYi Zen Hei"/>
        <family val="2"/>
      </rPr>
      <t xml:space="preserve">クリック・</t>
    </r>
    <r>
      <rPr>
        <sz val="9"/>
        <color rgb="FF666666"/>
        <rFont val="Meiryo UI"/>
        <family val="0"/>
        <charset val="1"/>
      </rPr>
      <t xml:space="preserve">1</t>
    </r>
    <r>
      <rPr>
        <sz val="9"/>
        <color rgb="FF666666"/>
        <rFont val="WenQuanYi Zen Hei"/>
        <family val="2"/>
      </rPr>
      <t xml:space="preserve">件（成果報酬</t>
    </r>
    <r>
      <rPr>
        <sz val="9"/>
        <color rgb="FF666666"/>
        <rFont val="Meiryo UI"/>
        <family val="0"/>
        <charset val="1"/>
      </rPr>
      <t xml:space="preserve">330</t>
    </r>
    <r>
      <rPr>
        <sz val="9"/>
        <color rgb="FF666666"/>
        <rFont val="WenQuanYi Zen Hei"/>
        <family val="2"/>
      </rPr>
      <t xml:space="preserve">円・案件は要確認）</t>
    </r>
  </si>
  <si>
    <r>
      <rPr>
        <sz val="9"/>
        <color rgb="FF666666"/>
        <rFont val="Meiryo UI"/>
        <family val="0"/>
        <charset val="1"/>
      </rPr>
      <t xml:space="preserve">GSC 27</t>
    </r>
    <r>
      <rPr>
        <sz val="9"/>
        <color rgb="FF666666"/>
        <rFont val="WenQuanYi Zen Hei"/>
        <family val="2"/>
      </rPr>
      <t xml:space="preserve">日分 </t>
    </r>
    <r>
      <rPr>
        <sz val="9"/>
        <color rgb="FF666666"/>
        <rFont val="Meiryo UI"/>
        <family val="0"/>
        <charset val="1"/>
      </rPr>
      <t xml:space="preserve">4,230</t>
    </r>
  </si>
  <si>
    <r>
      <rPr>
        <sz val="9"/>
        <color rgb="FF666666"/>
        <rFont val="WenQuanYi Zen Hei"/>
        <family val="2"/>
      </rPr>
      <t xml:space="preserve">表示約</t>
    </r>
    <r>
      <rPr>
        <sz val="9"/>
        <color rgb="FF666666"/>
        <rFont val="Meiryo UI"/>
        <family val="0"/>
        <charset val="1"/>
      </rPr>
      <t xml:space="preserve">153</t>
    </r>
    <r>
      <rPr>
        <sz val="9"/>
        <color rgb="FF666666"/>
        <rFont val="WenQuanYi Zen Hei"/>
        <family val="2"/>
      </rPr>
      <t xml:space="preserve">・クリック約</t>
    </r>
    <r>
      <rPr>
        <sz val="9"/>
        <color rgb="FF666666"/>
        <rFont val="Meiryo UI"/>
        <family val="0"/>
        <charset val="1"/>
      </rPr>
      <t xml:space="preserve">5.2</t>
    </r>
  </si>
  <si>
    <r>
      <rPr>
        <b val="true"/>
        <sz val="10"/>
        <color rgb="FFFFFFFF"/>
        <rFont val="Meiryo UI"/>
        <family val="0"/>
        <charset val="1"/>
      </rPr>
      <t xml:space="preserve">GSC</t>
    </r>
    <r>
      <rPr>
        <b val="true"/>
        <sz val="10"/>
        <color rgb="FFFFFFFF"/>
        <rFont val="WenQuanYi Zen Hei"/>
        <family val="2"/>
      </rPr>
      <t xml:space="preserve">（全体）</t>
    </r>
  </si>
  <si>
    <r>
      <rPr>
        <b val="true"/>
        <sz val="10"/>
        <color rgb="FFFFFFFF"/>
        <rFont val="Meiryo UI"/>
        <family val="0"/>
        <charset val="1"/>
      </rPr>
      <t xml:space="preserve">GSC</t>
    </r>
    <r>
      <rPr>
        <b val="true"/>
        <sz val="10"/>
        <color rgb="FFFFFFFF"/>
        <rFont val="WenQuanYi Zen Hei"/>
        <family val="2"/>
      </rPr>
      <t xml:space="preserve">（上位</t>
    </r>
    <r>
      <rPr>
        <b val="true"/>
        <sz val="10"/>
        <color rgb="FFFFFFFF"/>
        <rFont val="Meiryo UI"/>
        <family val="0"/>
        <charset val="1"/>
      </rPr>
      <t xml:space="preserve">10</t>
    </r>
    <r>
      <rPr>
        <b val="true"/>
        <sz val="10"/>
        <color rgb="FFFFFFFF"/>
        <rFont val="WenQuanYi Zen Hei"/>
        <family val="2"/>
      </rPr>
      <t xml:space="preserve">記事）</t>
    </r>
  </si>
  <si>
    <r>
      <rPr>
        <b val="true"/>
        <sz val="10"/>
        <color rgb="FFFFFFFF"/>
        <rFont val="Meiryo UI"/>
        <family val="0"/>
        <charset val="1"/>
      </rPr>
      <t xml:space="preserve">A8</t>
    </r>
    <r>
      <rPr>
        <b val="true"/>
        <sz val="10"/>
        <color rgb="FFFFFFFF"/>
        <rFont val="WenQuanYi Zen Hei"/>
        <family val="2"/>
      </rPr>
      <t xml:space="preserve">表示</t>
    </r>
  </si>
  <si>
    <r>
      <rPr>
        <b val="true"/>
        <sz val="10"/>
        <color rgb="FFFFFFFF"/>
        <rFont val="Meiryo UI"/>
        <family val="0"/>
        <charset val="1"/>
      </rPr>
      <t xml:space="preserve">A8</t>
    </r>
    <r>
      <rPr>
        <b val="true"/>
        <sz val="10"/>
        <color rgb="FFFFFFFF"/>
        <rFont val="WenQuanYi Zen Hei"/>
        <family val="2"/>
      </rPr>
      <t xml:space="preserve">クリック</t>
    </r>
  </si>
  <si>
    <r>
      <rPr>
        <b val="true"/>
        <sz val="10"/>
        <color rgb="FFFFFFFF"/>
        <rFont val="Meiryo UI"/>
        <family val="0"/>
        <charset val="1"/>
      </rPr>
      <t xml:space="preserve">A8</t>
    </r>
    <r>
      <rPr>
        <b val="true"/>
        <sz val="10"/>
        <color rgb="FFFFFFFF"/>
        <rFont val="WenQuanYi Zen Hei"/>
        <family val="2"/>
      </rPr>
      <t xml:space="preserve">発生</t>
    </r>
  </si>
  <si>
    <r>
      <rPr>
        <b val="true"/>
        <sz val="10"/>
        <color rgb="FFFFFFFF"/>
        <rFont val="Meiryo UI"/>
        <family val="0"/>
        <charset val="1"/>
      </rPr>
      <t xml:space="preserve">VC</t>
    </r>
    <r>
      <rPr>
        <b val="true"/>
        <sz val="10"/>
        <color rgb="FFFFFFFF"/>
        <rFont val="WenQuanYi Zen Hei"/>
        <family val="2"/>
      </rPr>
      <t xml:space="preserve">表示</t>
    </r>
  </si>
  <si>
    <r>
      <rPr>
        <b val="true"/>
        <sz val="10"/>
        <color rgb="FFFFFFFF"/>
        <rFont val="Meiryo UI"/>
        <family val="0"/>
        <charset val="1"/>
      </rPr>
      <t xml:space="preserve">VC</t>
    </r>
    <r>
      <rPr>
        <b val="true"/>
        <sz val="10"/>
        <color rgb="FFFFFFFF"/>
        <rFont val="WenQuanYi Zen Hei"/>
        <family val="2"/>
      </rPr>
      <t xml:space="preserve">クリック</t>
    </r>
  </si>
  <si>
    <r>
      <rPr>
        <b val="true"/>
        <sz val="10"/>
        <color rgb="FFFFFFFF"/>
        <rFont val="Meiryo UI"/>
        <family val="0"/>
        <charset val="1"/>
      </rPr>
      <t xml:space="preserve">VC</t>
    </r>
    <r>
      <rPr>
        <b val="true"/>
        <sz val="10"/>
        <color rgb="FFFFFFFF"/>
        <rFont val="WenQuanYi Zen Hei"/>
        <family val="2"/>
      </rPr>
      <t xml:space="preserve">発生</t>
    </r>
  </si>
  <si>
    <t xml:space="preserve">もしも表示</t>
  </si>
  <si>
    <t xml:space="preserve">もしもクリック</t>
  </si>
  <si>
    <t xml:space="preserve">もしも発生</t>
  </si>
  <si>
    <t xml:space="preserve">自分で見た・押した</t>
  </si>
  <si>
    <r>
      <rPr>
        <b val="true"/>
        <sz val="10"/>
        <color rgb="FFFFFFFF"/>
        <rFont val="WenQuanYi Zen Hei"/>
        <family val="2"/>
      </rPr>
      <t xml:space="preserve">上位</t>
    </r>
    <r>
      <rPr>
        <b val="true"/>
        <sz val="10"/>
        <color rgb="FFFFFFFF"/>
        <rFont val="Meiryo UI"/>
        <family val="0"/>
        <charset val="1"/>
      </rPr>
      <t xml:space="preserve">10</t>
    </r>
    <r>
      <rPr>
        <b val="true"/>
        <sz val="10"/>
        <color rgb="FFFFFFFF"/>
        <rFont val="WenQuanYi Zen Hei"/>
        <family val="2"/>
      </rPr>
      <t xml:space="preserve">記事の案件の発生</t>
    </r>
  </si>
  <si>
    <r>
      <rPr>
        <sz val="10"/>
        <rFont val="WenQuanYi Zen Hei"/>
        <family val="2"/>
      </rPr>
      <t xml:space="preserve">基準日（</t>
    </r>
    <r>
      <rPr>
        <sz val="10"/>
        <rFont val="Meiryo UI"/>
        <family val="0"/>
        <charset val="1"/>
      </rPr>
      <t xml:space="preserve">2112</t>
    </r>
    <r>
      <rPr>
        <sz val="10"/>
        <rFont val="WenQuanYi Zen Hei"/>
        <family val="2"/>
      </rPr>
      <t xml:space="preserve">を空にし</t>
    </r>
    <r>
      <rPr>
        <sz val="10"/>
        <rFont val="Meiryo UI"/>
        <family val="0"/>
        <charset val="1"/>
      </rPr>
      <t xml:space="preserve">2111</t>
    </r>
    <r>
      <rPr>
        <sz val="10"/>
        <rFont val="WenQuanYi Zen Hei"/>
        <family val="2"/>
      </rPr>
      <t xml:space="preserve">を差し替え）</t>
    </r>
  </si>
  <si>
    <r>
      <rPr>
        <sz val="9"/>
        <color rgb="FF666666"/>
        <rFont val="WenQuanYi Zen Hei"/>
        <family val="2"/>
      </rPr>
      <t xml:space="preserve">新しく発行したら</t>
    </r>
    <r>
      <rPr>
        <sz val="9"/>
        <color rgb="FF666666"/>
        <rFont val="Meiryo UI"/>
        <family val="0"/>
        <charset val="1"/>
      </rPr>
      <t xml:space="preserve">1</t>
    </r>
    <r>
      <rPr>
        <sz val="9"/>
        <color rgb="FF666666"/>
        <rFont val="WenQuanYi Zen Hei"/>
        <family val="2"/>
      </rPr>
      <t xml:space="preserve">行足す（黄色）。別サイト（</t>
    </r>
    <r>
      <rPr>
        <sz val="9"/>
        <color rgb="FF666666"/>
        <rFont val="Meiryo UI"/>
        <family val="0"/>
        <charset val="1"/>
      </rPr>
      <t xml:space="preserve">001</t>
    </r>
    <r>
      <rPr>
        <sz val="9"/>
        <color rgb="FF666666"/>
        <rFont val="WenQuanYi Zen Hei"/>
        <family val="2"/>
      </rPr>
      <t xml:space="preserve">）のものは「要差し替え」。</t>
    </r>
  </si>
  <si>
    <t xml:space="preserve">サイト（発行時に選んだもの）</t>
  </si>
  <si>
    <t xml:space="preserve">サイトの確認値</t>
  </si>
  <si>
    <r>
      <rPr>
        <b val="true"/>
        <sz val="10"/>
        <color rgb="FFFFFFFF"/>
        <rFont val="WenQuanYi Zen Hei"/>
        <family val="2"/>
      </rPr>
      <t xml:space="preserve">リンクの</t>
    </r>
    <r>
      <rPr>
        <b val="true"/>
        <sz val="10"/>
        <color rgb="FFFFFFFF"/>
        <rFont val="Meiryo UI"/>
        <family val="0"/>
        <charset val="1"/>
      </rPr>
      <t xml:space="preserve">ID</t>
    </r>
  </si>
  <si>
    <t xml:space="preserve">計測用画像</t>
  </si>
  <si>
    <t xml:space="preserve">発行日</t>
  </si>
  <si>
    <t xml:space="preserve">使っている場所</t>
  </si>
  <si>
    <t xml:space="preserve">採用のウラ側</t>
  </si>
  <si>
    <r>
      <rPr>
        <sz val="10"/>
        <rFont val="Meiryo UI"/>
        <family val="0"/>
        <charset val="1"/>
      </rPr>
      <t xml:space="preserve">a8mat 2</t>
    </r>
    <r>
      <rPr>
        <sz val="10"/>
        <rFont val="WenQuanYi Zen Hei"/>
        <family val="2"/>
      </rPr>
      <t xml:space="preserve">つ目</t>
    </r>
    <r>
      <rPr>
        <sz val="10"/>
        <rFont val="Meiryo UI"/>
        <family val="0"/>
        <charset val="1"/>
      </rPr>
      <t xml:space="preserve">=786GWQ→437002010</t>
    </r>
    <r>
      <rPr>
        <sz val="10"/>
        <rFont val="WenQuanYi Zen Hei"/>
        <family val="2"/>
      </rPr>
      <t xml:space="preserve">（</t>
    </r>
    <r>
      <rPr>
        <sz val="10"/>
        <rFont val="Meiryo UI"/>
        <family val="0"/>
        <charset val="1"/>
      </rPr>
      <t xml:space="preserve">002</t>
    </r>
    <r>
      <rPr>
        <sz val="10"/>
        <rFont val="WenQuanYi Zen Hei"/>
        <family val="2"/>
      </rPr>
      <t xml:space="preserve">）</t>
    </r>
  </si>
  <si>
    <t xml:space="preserve">a8mat=4B1ILL+786GWQ+2JK4+4SNX5E</t>
  </si>
  <si>
    <t xml:space="preserve">www11.a8.net/0.gif</t>
  </si>
  <si>
    <t xml:space="preserve">【要確認】</t>
  </si>
  <si>
    <t xml:space="preserve">使用中</t>
  </si>
  <si>
    <r>
      <rPr>
        <sz val="10"/>
        <rFont val="Meiryo UI"/>
        <family val="0"/>
        <charset val="1"/>
      </rPr>
      <t xml:space="preserve">a8mat 2</t>
    </r>
    <r>
      <rPr>
        <sz val="10"/>
        <rFont val="WenQuanYi Zen Hei"/>
        <family val="2"/>
      </rPr>
      <t xml:space="preserve">つ目</t>
    </r>
    <r>
      <rPr>
        <sz val="10"/>
        <rFont val="Meiryo UI"/>
        <family val="0"/>
        <charset val="1"/>
      </rPr>
      <t xml:space="preserve">=F172FU→909002010</t>
    </r>
    <r>
      <rPr>
        <sz val="10"/>
        <rFont val="WenQuanYi Zen Hei"/>
        <family val="2"/>
      </rPr>
      <t xml:space="preserve">（</t>
    </r>
    <r>
      <rPr>
        <sz val="10"/>
        <rFont val="Meiryo UI"/>
        <family val="0"/>
        <charset val="1"/>
      </rPr>
      <t xml:space="preserve">002</t>
    </r>
    <r>
      <rPr>
        <sz val="10"/>
        <rFont val="WenQuanYi Zen Hei"/>
        <family val="2"/>
      </rPr>
      <t xml:space="preserve">）</t>
    </r>
  </si>
  <si>
    <t xml:space="preserve">a8mat=4AXJKA+F172FU+5B0Y+HVFKY</t>
  </si>
  <si>
    <t xml:space="preserve">www14.a8.net/0.gif</t>
  </si>
  <si>
    <t xml:space="preserve">2026-10-12</t>
  </si>
  <si>
    <t xml:space="preserve">使用中（作業日から）</t>
  </si>
  <si>
    <r>
      <rPr>
        <sz val="10"/>
        <rFont val="WenQuanYi Zen Hei"/>
        <family val="2"/>
      </rPr>
      <t xml:space="preserve">素材</t>
    </r>
    <r>
      <rPr>
        <sz val="10"/>
        <rFont val="Meiryo UI"/>
        <family val="0"/>
        <charset val="1"/>
      </rPr>
      <t xml:space="preserve">HVFKY</t>
    </r>
    <r>
      <rPr>
        <sz val="10"/>
        <rFont val="WenQuanYi Zen Hei"/>
        <family val="2"/>
      </rPr>
      <t xml:space="preserve">（文言「</t>
    </r>
    <r>
      <rPr>
        <sz val="10"/>
        <rFont val="Meiryo UI"/>
        <family val="0"/>
        <charset val="1"/>
      </rPr>
      <t xml:space="preserve">TechGO</t>
    </r>
    <r>
      <rPr>
        <sz val="10"/>
        <rFont val="WenQuanYi Zen Hei"/>
        <family val="2"/>
      </rPr>
      <t xml:space="preserve">（テックゴー）」）。別素材</t>
    </r>
    <r>
      <rPr>
        <sz val="10"/>
        <rFont val="Meiryo UI"/>
        <family val="0"/>
        <charset val="1"/>
      </rPr>
      <t xml:space="preserve">I0D1U</t>
    </r>
    <r>
      <rPr>
        <sz val="10"/>
        <rFont val="WenQuanYi Zen Hei"/>
        <family val="2"/>
      </rPr>
      <t xml:space="preserve">（</t>
    </r>
    <r>
      <rPr>
        <sz val="10"/>
        <rFont val="Meiryo UI"/>
        <family val="0"/>
        <charset val="1"/>
      </rPr>
      <t xml:space="preserve">www13</t>
    </r>
    <r>
      <rPr>
        <sz val="10"/>
        <rFont val="WenQuanYi Zen Hei"/>
        <family val="2"/>
      </rPr>
      <t xml:space="preserve">）も発行済み</t>
    </r>
  </si>
  <si>
    <r>
      <rPr>
        <sz val="10"/>
        <rFont val="Meiryo UI"/>
        <family val="0"/>
        <charset val="1"/>
      </rPr>
      <t xml:space="preserve">a8mat 2</t>
    </r>
    <r>
      <rPr>
        <sz val="10"/>
        <rFont val="WenQuanYi Zen Hei"/>
        <family val="2"/>
      </rPr>
      <t xml:space="preserve">つ目</t>
    </r>
    <r>
      <rPr>
        <sz val="10"/>
        <rFont val="Meiryo UI"/>
        <family val="0"/>
        <charset val="1"/>
      </rPr>
      <t xml:space="preserve">=72TKGQ→428002010</t>
    </r>
    <r>
      <rPr>
        <sz val="10"/>
        <rFont val="WenQuanYi Zen Hei"/>
        <family val="2"/>
      </rPr>
      <t xml:space="preserve">（</t>
    </r>
    <r>
      <rPr>
        <sz val="10"/>
        <rFont val="Meiryo UI"/>
        <family val="0"/>
        <charset val="1"/>
      </rPr>
      <t xml:space="preserve">002</t>
    </r>
    <r>
      <rPr>
        <sz val="10"/>
        <rFont val="WenQuanYi Zen Hei"/>
        <family val="2"/>
      </rPr>
      <t xml:space="preserve">）</t>
    </r>
  </si>
  <si>
    <t xml:space="preserve">a8mat=4B1ILL+72TKGQ+3Y6M+63H8I</t>
  </si>
  <si>
    <t xml:space="preserve">www15.a8.net/0.gif</t>
  </si>
  <si>
    <r>
      <rPr>
        <sz val="10"/>
        <rFont val="WenQuanYi Zen Hei"/>
        <family val="2"/>
      </rPr>
      <t xml:space="preserve">別素材</t>
    </r>
    <r>
      <rPr>
        <sz val="10"/>
        <rFont val="Meiryo UI"/>
        <family val="0"/>
        <charset val="1"/>
      </rPr>
      <t xml:space="preserve">63OYA</t>
    </r>
    <r>
      <rPr>
        <sz val="10"/>
        <rFont val="WenQuanYi Zen Hei"/>
        <family val="2"/>
      </rPr>
      <t xml:space="preserve">（</t>
    </r>
    <r>
      <rPr>
        <sz val="10"/>
        <rFont val="Meiryo UI"/>
        <family val="0"/>
        <charset val="1"/>
      </rPr>
      <t xml:space="preserve">www12</t>
    </r>
    <r>
      <rPr>
        <sz val="10"/>
        <rFont val="WenQuanYi Zen Hei"/>
        <family val="2"/>
      </rPr>
      <t xml:space="preserve">・中退</t>
    </r>
    <r>
      <rPr>
        <sz val="10"/>
        <rFont val="Meiryo UI"/>
        <family val="0"/>
        <charset val="1"/>
      </rPr>
      <t xml:space="preserve">/</t>
    </r>
    <r>
      <rPr>
        <sz val="10"/>
        <rFont val="WenQuanYi Zen Hei"/>
        <family val="2"/>
      </rPr>
      <t xml:space="preserve">中卒</t>
    </r>
    <r>
      <rPr>
        <sz val="10"/>
        <rFont val="Meiryo UI"/>
        <family val="0"/>
        <charset val="1"/>
      </rPr>
      <t xml:space="preserve">/</t>
    </r>
    <r>
      <rPr>
        <sz val="10"/>
        <rFont val="WenQuanYi Zen Hei"/>
        <family val="2"/>
      </rPr>
      <t xml:space="preserve">高卒の訴求）は使わない</t>
    </r>
  </si>
  <si>
    <r>
      <rPr>
        <sz val="10"/>
        <rFont val="Meiryo UI"/>
        <family val="0"/>
        <charset val="1"/>
      </rPr>
      <t xml:space="preserve">sid=3765202</t>
    </r>
    <r>
      <rPr>
        <sz val="10"/>
        <rFont val="WenQuanYi Zen Hei"/>
        <family val="2"/>
      </rPr>
      <t xml:space="preserve">（</t>
    </r>
    <r>
      <rPr>
        <sz val="10"/>
        <rFont val="Meiryo UI"/>
        <family val="0"/>
        <charset val="1"/>
      </rPr>
      <t xml:space="preserve">VC</t>
    </r>
    <r>
      <rPr>
        <sz val="10"/>
        <rFont val="WenQuanYi Zen Hei"/>
        <family val="2"/>
      </rPr>
      <t xml:space="preserve">管理画面で確認済み </t>
    </r>
    <r>
      <rPr>
        <sz val="10"/>
        <rFont val="Meiryo UI"/>
        <family val="0"/>
        <charset val="1"/>
      </rPr>
      <t xml:space="preserve">2026-10-12</t>
    </r>
    <r>
      <rPr>
        <sz val="10"/>
        <rFont val="WenQuanYi Zen Hei"/>
        <family val="2"/>
      </rPr>
      <t xml:space="preserve">）</t>
    </r>
  </si>
  <si>
    <t xml:space="preserve">sid=3765202&amp;pid=892724768</t>
  </si>
  <si>
    <r>
      <rPr>
        <sz val="10"/>
        <rFont val="Meiryo UI"/>
        <family val="0"/>
        <charset val="1"/>
      </rPr>
      <t xml:space="preserve">ad.jp.ap.valuecommerce.com gifbanner</t>
    </r>
    <r>
      <rPr>
        <sz val="10"/>
        <rFont val="WenQuanYi Zen Hei"/>
        <family val="2"/>
      </rPr>
      <t xml:space="preserve">（リンクの中）</t>
    </r>
  </si>
  <si>
    <t xml:space="preserve">自由テキスト素材</t>
  </si>
  <si>
    <t xml:space="preserve">リクルートエージェント</t>
  </si>
  <si>
    <t xml:space="preserve">sid=3765202</t>
  </si>
  <si>
    <t xml:space="preserve">sid=3765202&amp;pid=892668952</t>
  </si>
  <si>
    <r>
      <rPr>
        <sz val="10"/>
        <rFont val="Meiryo UI"/>
        <family val="0"/>
        <charset val="1"/>
      </rPr>
      <t xml:space="preserve">gifbanner</t>
    </r>
    <r>
      <rPr>
        <sz val="10"/>
        <rFont val="WenQuanYi Zen Hei"/>
        <family val="2"/>
      </rPr>
      <t xml:space="preserve">（ロゴとして表示）</t>
    </r>
  </si>
  <si>
    <r>
      <rPr>
        <sz val="10"/>
        <rFont val="WenQuanYi Zen Hei"/>
        <family val="2"/>
      </rPr>
      <t xml:space="preserve">パック</t>
    </r>
    <r>
      <rPr>
        <sz val="10"/>
        <rFont val="Meiryo UI"/>
        <family val="0"/>
        <charset val="1"/>
      </rPr>
      <t xml:space="preserve">D</t>
    </r>
    <r>
      <rPr>
        <sz val="10"/>
        <rFont val="WenQuanYi Zen Hei"/>
        <family val="2"/>
      </rPr>
      <t xml:space="preserve">・パック</t>
    </r>
    <r>
      <rPr>
        <sz val="10"/>
        <rFont val="Meiryo UI"/>
        <family val="0"/>
        <charset val="1"/>
      </rPr>
      <t xml:space="preserve">E</t>
    </r>
  </si>
  <si>
    <t xml:space="preserve">テックゴー</t>
  </si>
  <si>
    <t xml:space="preserve">もしも</t>
  </si>
  <si>
    <t xml:space="preserve">a_id=5422590</t>
  </si>
  <si>
    <t xml:space="preserve">a_id=5422590&amp;p_id=6722&amp;pc_id=19209&amp;pl_id=90851</t>
  </si>
  <si>
    <t xml:space="preserve">i.moshimo.com/af/i/impression</t>
  </si>
  <si>
    <r>
      <rPr>
        <sz val="10"/>
        <rFont val="WenQuanYi Zen Hei"/>
        <family val="2"/>
      </rPr>
      <t xml:space="preserve">（</t>
    </r>
    <r>
      <rPr>
        <sz val="10"/>
        <rFont val="Meiryo UI"/>
        <family val="0"/>
        <charset val="1"/>
      </rPr>
      <t xml:space="preserve">2111</t>
    </r>
    <r>
      <rPr>
        <sz val="10"/>
        <rFont val="WenQuanYi Zen Hei"/>
        <family val="2"/>
      </rPr>
      <t xml:space="preserve">から外す）</t>
    </r>
  </si>
  <si>
    <t xml:space="preserve">作業日に使用終了</t>
  </si>
  <si>
    <r>
      <rPr>
        <sz val="10"/>
        <rFont val="Meiryo UI"/>
        <family val="0"/>
        <charset val="1"/>
      </rPr>
      <t xml:space="preserve">A8</t>
    </r>
    <r>
      <rPr>
        <sz val="10"/>
        <rFont val="WenQuanYi Zen Hei"/>
        <family val="2"/>
      </rPr>
      <t xml:space="preserve">（</t>
    </r>
    <r>
      <rPr>
        <sz val="10"/>
        <rFont val="Meiryo UI"/>
        <family val="0"/>
        <charset val="1"/>
      </rPr>
      <t xml:space="preserve">18</t>
    </r>
  </si>
  <si>
    <r>
      <rPr>
        <sz val="10"/>
        <rFont val="Meiryo UI"/>
        <family val="0"/>
        <charset val="1"/>
      </rPr>
      <t xml:space="preserve">000</t>
    </r>
    <r>
      <rPr>
        <sz val="10"/>
        <rFont val="WenQuanYi Zen Hei"/>
        <family val="2"/>
      </rPr>
      <t xml:space="preserve">円）に切り替え。もしもは</t>
    </r>
    <r>
      <rPr>
        <sz val="10"/>
        <rFont val="Meiryo UI"/>
        <family val="0"/>
        <charset val="1"/>
      </rPr>
      <t xml:space="preserve">14</t>
    </r>
  </si>
  <si>
    <r>
      <rPr>
        <sz val="10"/>
        <rFont val="Meiryo UI"/>
        <family val="0"/>
        <charset val="1"/>
      </rPr>
      <t xml:space="preserve">000</t>
    </r>
    <r>
      <rPr>
        <sz val="10"/>
        <rFont val="WenQuanYi Zen Hei"/>
        <family val="2"/>
      </rPr>
      <t xml:space="preserve">円</t>
    </r>
  </si>
  <si>
    <r>
      <rPr>
        <sz val="10"/>
        <rFont val="WenQuanYi Zen Hei"/>
        <family val="2"/>
      </rPr>
      <t xml:space="preserve">別サイト（</t>
    </r>
    <r>
      <rPr>
        <sz val="10"/>
        <rFont val="Meiryo UI"/>
        <family val="0"/>
        <charset val="1"/>
      </rPr>
      <t xml:space="preserve">001</t>
    </r>
    <r>
      <rPr>
        <sz val="10"/>
        <rFont val="WenQuanYi Zen Hei"/>
        <family val="2"/>
      </rPr>
      <t xml:space="preserve">）</t>
    </r>
  </si>
  <si>
    <r>
      <rPr>
        <sz val="10"/>
        <rFont val="Meiryo UI"/>
        <family val="0"/>
        <charset val="1"/>
      </rPr>
      <t xml:space="preserve">a8mat 2</t>
    </r>
    <r>
      <rPr>
        <sz val="10"/>
        <rFont val="WenQuanYi Zen Hei"/>
        <family val="2"/>
      </rPr>
      <t xml:space="preserve">つ目</t>
    </r>
    <r>
      <rPr>
        <sz val="10"/>
        <rFont val="Meiryo UI"/>
        <family val="0"/>
        <charset val="1"/>
      </rPr>
      <t xml:space="preserve">=EZEQUQ→906001010</t>
    </r>
    <r>
      <rPr>
        <sz val="10"/>
        <rFont val="WenQuanYi Zen Hei"/>
        <family val="2"/>
      </rPr>
      <t xml:space="preserve">（</t>
    </r>
    <r>
      <rPr>
        <sz val="10"/>
        <rFont val="Meiryo UI"/>
        <family val="0"/>
        <charset val="1"/>
      </rPr>
      <t xml:space="preserve">001</t>
    </r>
    <r>
      <rPr>
        <sz val="10"/>
        <rFont val="WenQuanYi Zen Hei"/>
        <family val="2"/>
      </rPr>
      <t xml:space="preserve">）</t>
    </r>
  </si>
  <si>
    <t xml:space="preserve">a8mat=4AXJKA+EZEQUQ+3GVA+66WOY</t>
  </si>
  <si>
    <r>
      <rPr>
        <sz val="10"/>
        <rFont val="WenQuanYi Zen Hei"/>
        <family val="2"/>
      </rPr>
      <t xml:space="preserve">あり（</t>
    </r>
    <r>
      <rPr>
        <sz val="10"/>
        <rFont val="Meiryo UI"/>
        <family val="0"/>
        <charset val="1"/>
      </rPr>
      <t xml:space="preserve">814</t>
    </r>
    <r>
      <rPr>
        <sz val="10"/>
        <rFont val="WenQuanYi Zen Hei"/>
        <family val="2"/>
      </rPr>
      <t xml:space="preserve">）</t>
    </r>
  </si>
  <si>
    <r>
      <rPr>
        <sz val="10"/>
        <rFont val="Meiryo UI"/>
        <family val="0"/>
        <charset val="1"/>
      </rPr>
      <t xml:space="preserve">81</t>
    </r>
    <r>
      <rPr>
        <sz val="10"/>
        <rFont val="WenQuanYi Zen Hei"/>
        <family val="2"/>
      </rPr>
      <t xml:space="preserve">・</t>
    </r>
    <r>
      <rPr>
        <sz val="10"/>
        <rFont val="Meiryo UI"/>
        <family val="0"/>
        <charset val="1"/>
      </rPr>
      <t xml:space="preserve">814</t>
    </r>
  </si>
  <si>
    <t xml:space="preserve">要差し替え</t>
  </si>
  <si>
    <r>
      <rPr>
        <sz val="10"/>
        <rFont val="WenQuanYi Zen Hei"/>
        <family val="2"/>
      </rPr>
      <t xml:space="preserve">サイト</t>
    </r>
    <r>
      <rPr>
        <sz val="10"/>
        <rFont val="Meiryo UI"/>
        <family val="0"/>
        <charset val="1"/>
      </rPr>
      <t xml:space="preserve">002</t>
    </r>
    <r>
      <rPr>
        <sz val="10"/>
        <rFont val="WenQuanYi Zen Hei"/>
        <family val="2"/>
      </rPr>
      <t xml:space="preserve">で発行し直す。正しいテスト発行の例：</t>
    </r>
    <r>
      <rPr>
        <sz val="10"/>
        <rFont val="Meiryo UI"/>
        <family val="0"/>
        <charset val="1"/>
      </rPr>
      <t xml:space="preserve">4AXJKA+EZERMI+3GVA+66WOY</t>
    </r>
    <r>
      <rPr>
        <sz val="10"/>
        <rFont val="WenQuanYi Zen Hei"/>
        <family val="2"/>
      </rPr>
      <t xml:space="preserve">（</t>
    </r>
    <r>
      <rPr>
        <sz val="10"/>
        <rFont val="Meiryo UI"/>
        <family val="0"/>
        <charset val="1"/>
      </rPr>
      <t xml:space="preserve">002</t>
    </r>
    <r>
      <rPr>
        <sz val="10"/>
        <rFont val="WenQuanYi Zen Hei"/>
        <family val="2"/>
      </rPr>
      <t xml:space="preserve">）</t>
    </r>
  </si>
  <si>
    <t xml:space="preserve">TechGO</t>
  </si>
  <si>
    <r>
      <rPr>
        <sz val="10"/>
        <rFont val="Meiryo UI"/>
        <family val="0"/>
        <charset val="1"/>
      </rPr>
      <t xml:space="preserve">a8mat=…+5B0Y+…</t>
    </r>
    <r>
      <rPr>
        <sz val="10"/>
        <rFont val="WenQuanYi Zen Hei"/>
        <family val="2"/>
      </rPr>
      <t xml:space="preserve">（</t>
    </r>
    <r>
      <rPr>
        <sz val="10"/>
        <rFont val="Meiryo UI"/>
        <family val="0"/>
        <charset val="1"/>
      </rPr>
      <t xml:space="preserve">835</t>
    </r>
    <r>
      <rPr>
        <sz val="10"/>
        <rFont val="WenQuanYi Zen Hei"/>
        <family val="2"/>
      </rPr>
      <t xml:space="preserve">・</t>
    </r>
    <r>
      <rPr>
        <sz val="10"/>
        <rFont val="Meiryo UI"/>
        <family val="0"/>
        <charset val="1"/>
      </rPr>
      <t xml:space="preserve">892</t>
    </r>
    <r>
      <rPr>
        <sz val="10"/>
        <rFont val="WenQuanYi Zen Hei"/>
        <family val="2"/>
      </rPr>
      <t xml:space="preserve">）</t>
    </r>
  </si>
  <si>
    <r>
      <rPr>
        <sz val="10"/>
        <rFont val="Meiryo UI"/>
        <family val="0"/>
        <charset val="1"/>
      </rPr>
      <t xml:space="preserve">835</t>
    </r>
    <r>
      <rPr>
        <sz val="10"/>
        <rFont val="WenQuanYi Zen Hei"/>
        <family val="2"/>
      </rPr>
      <t xml:space="preserve">・</t>
    </r>
    <r>
      <rPr>
        <sz val="10"/>
        <rFont val="Meiryo UI"/>
        <family val="0"/>
        <charset val="1"/>
      </rPr>
      <t xml:space="preserve">892</t>
    </r>
  </si>
  <si>
    <r>
      <rPr>
        <sz val="10"/>
        <rFont val="WenQuanYi Zen Hei"/>
        <family val="2"/>
      </rPr>
      <t xml:space="preserve">サイト</t>
    </r>
    <r>
      <rPr>
        <sz val="10"/>
        <rFont val="Meiryo UI"/>
        <family val="0"/>
        <charset val="1"/>
      </rPr>
      <t xml:space="preserve">002</t>
    </r>
    <r>
      <rPr>
        <sz val="10"/>
        <rFont val="WenQuanYi Zen Hei"/>
        <family val="2"/>
      </rPr>
      <t xml:space="preserve">で発行済みのコード（</t>
    </r>
    <r>
      <rPr>
        <sz val="10"/>
        <rFont val="Meiryo UI"/>
        <family val="0"/>
        <charset val="1"/>
      </rPr>
      <t xml:space="preserve">F172FU</t>
    </r>
    <r>
      <rPr>
        <sz val="10"/>
        <rFont val="WenQuanYi Zen Hei"/>
        <family val="2"/>
      </rPr>
      <t xml:space="preserve">）に差し替える</t>
    </r>
  </si>
  <si>
    <t xml:space="preserve">UZUZ</t>
  </si>
  <si>
    <t xml:space="preserve">a8mat=45BOB5+…+33T0+…</t>
  </si>
  <si>
    <r>
      <rPr>
        <sz val="10"/>
        <rFont val="WenQuanYi Zen Hei"/>
        <family val="2"/>
      </rPr>
      <t xml:space="preserve">なし（</t>
    </r>
    <r>
      <rPr>
        <sz val="10"/>
        <rFont val="Meiryo UI"/>
        <family val="0"/>
        <charset val="1"/>
      </rPr>
      <t xml:space="preserve">787</t>
    </r>
    <r>
      <rPr>
        <sz val="10"/>
        <rFont val="WenQuanYi Zen Hei"/>
        <family val="2"/>
      </rPr>
      <t xml:space="preserve">は画像リンク）</t>
    </r>
  </si>
  <si>
    <t xml:space="preserve">787</t>
  </si>
  <si>
    <r>
      <rPr>
        <sz val="10"/>
        <rFont val="WenQuanYi Zen Hei"/>
        <family val="2"/>
      </rPr>
      <t xml:space="preserve">サイト</t>
    </r>
    <r>
      <rPr>
        <sz val="10"/>
        <rFont val="Meiryo UI"/>
        <family val="0"/>
        <charset val="1"/>
      </rPr>
      <t xml:space="preserve">002</t>
    </r>
    <r>
      <rPr>
        <sz val="10"/>
        <rFont val="WenQuanYi Zen Hei"/>
        <family val="2"/>
      </rPr>
      <t xml:space="preserve">で発行し直す</t>
    </r>
  </si>
  <si>
    <r>
      <rPr>
        <sz val="10"/>
        <rFont val="Meiryo UI"/>
        <family val="0"/>
        <charset val="1"/>
      </rPr>
      <t xml:space="preserve">type</t>
    </r>
    <r>
      <rPr>
        <sz val="10"/>
        <rFont val="WenQuanYi Zen Hei"/>
        <family val="2"/>
      </rPr>
      <t xml:space="preserve">転職・</t>
    </r>
    <r>
      <rPr>
        <sz val="10"/>
        <rFont val="Meiryo UI"/>
        <family val="0"/>
        <charset val="1"/>
      </rPr>
      <t xml:space="preserve">type</t>
    </r>
    <r>
      <rPr>
        <sz val="10"/>
        <rFont val="WenQuanYi Zen Hei"/>
        <family val="2"/>
      </rPr>
      <t xml:space="preserve">女性</t>
    </r>
  </si>
  <si>
    <r>
      <rPr>
        <sz val="10"/>
        <rFont val="WenQuanYi Zen Hei"/>
        <family val="2"/>
      </rPr>
      <t xml:space="preserve">ボタン（</t>
    </r>
    <r>
      <rPr>
        <sz val="10"/>
        <rFont val="Meiryo UI"/>
        <family val="0"/>
        <charset val="1"/>
      </rPr>
      <t xml:space="preserve">2915</t>
    </r>
    <r>
      <rPr>
        <sz val="10"/>
        <rFont val="WenQuanYi Zen Hei"/>
        <family val="2"/>
      </rPr>
      <t xml:space="preserve">・</t>
    </r>
    <r>
      <rPr>
        <sz val="10"/>
        <rFont val="Meiryo UI"/>
        <family val="0"/>
        <charset val="1"/>
      </rPr>
      <t xml:space="preserve">2949</t>
    </r>
    <r>
      <rPr>
        <sz val="10"/>
        <rFont val="WenQuanYi Zen Hei"/>
        <family val="2"/>
      </rPr>
      <t xml:space="preserve">）</t>
    </r>
  </si>
  <si>
    <t xml:space="preserve">なしの疑い</t>
  </si>
  <si>
    <r>
      <rPr>
        <sz val="10"/>
        <rFont val="Meiryo UI"/>
        <family val="0"/>
        <charset val="1"/>
      </rPr>
      <t xml:space="preserve">2915</t>
    </r>
    <r>
      <rPr>
        <sz val="10"/>
        <rFont val="WenQuanYi Zen Hei"/>
        <family val="2"/>
      </rPr>
      <t xml:space="preserve">・</t>
    </r>
    <r>
      <rPr>
        <sz val="10"/>
        <rFont val="Meiryo UI"/>
        <family val="0"/>
        <charset val="1"/>
      </rPr>
      <t xml:space="preserve">2949</t>
    </r>
  </si>
  <si>
    <t xml:space="preserve">表示計測用画像の行がない疑い</t>
  </si>
  <si>
    <t xml:space="preserve">広告以外で見つかった直すこと</t>
  </si>
  <si>
    <t xml:space="preserve">「作業日程」に入っているものは日付を記載。状態を入力。</t>
  </si>
  <si>
    <t xml:space="preserve">内容</t>
  </si>
  <si>
    <t xml:space="preserve">予定</t>
  </si>
  <si>
    <t xml:space="preserve">高</t>
  </si>
  <si>
    <r>
      <rPr>
        <sz val="10"/>
        <rFont val="Meiryo UI"/>
        <family val="0"/>
        <charset val="1"/>
      </rPr>
      <t xml:space="preserve">1107 /aws-saa-difficulty/ </t>
    </r>
    <r>
      <rPr>
        <sz val="10"/>
        <rFont val="WenQuanYi Zen Hei"/>
        <family val="2"/>
      </rPr>
      <t xml:space="preserve">の本文に残っている</t>
    </r>
    <r>
      <rPr>
        <sz val="10"/>
        <rFont val="Meiryo UI"/>
        <family val="0"/>
        <charset val="1"/>
      </rPr>
      <t xml:space="preserve">AI</t>
    </r>
    <r>
      <rPr>
        <sz val="10"/>
        <rFont val="WenQuanYi Zen Hei"/>
        <family val="2"/>
      </rPr>
      <t xml:space="preserve">の作業メモを削除（</t>
    </r>
    <r>
      <rPr>
        <sz val="10"/>
        <rFont val="Meiryo UI"/>
        <family val="0"/>
        <charset val="1"/>
      </rPr>
      <t xml:space="preserve">2111</t>
    </r>
    <r>
      <rPr>
        <sz val="10"/>
        <rFont val="WenQuanYi Zen Hei"/>
        <family val="2"/>
      </rPr>
      <t xml:space="preserve">を</t>
    </r>
    <r>
      <rPr>
        <sz val="10"/>
        <rFont val="Meiryo UI"/>
        <family val="0"/>
        <charset val="1"/>
      </rPr>
      <t xml:space="preserve">1</t>
    </r>
    <r>
      <rPr>
        <sz val="10"/>
        <rFont val="WenQuanYi Zen Hei"/>
        <family val="2"/>
      </rPr>
      <t xml:space="preserve">か所に）</t>
    </r>
  </si>
  <si>
    <t xml:space="preserve">10/13</t>
  </si>
  <si>
    <r>
      <rPr>
        <sz val="10"/>
        <rFont val="Meiryo UI"/>
        <family val="0"/>
        <charset val="1"/>
      </rPr>
      <t xml:space="preserve">1479 </t>
    </r>
    <r>
      <rPr>
        <sz val="10"/>
        <rFont val="WenQuanYi Zen Hei"/>
        <family val="2"/>
      </rPr>
      <t xml:space="preserve">に</t>
    </r>
    <r>
      <rPr>
        <sz val="10"/>
        <rFont val="Meiryo UI"/>
        <family val="0"/>
        <charset val="1"/>
      </rPr>
      <t xml:space="preserve">2026</t>
    </r>
    <r>
      <rPr>
        <sz val="10"/>
        <rFont val="WenQuanYi Zen Hei"/>
        <family val="2"/>
      </rPr>
      <t xml:space="preserve">年度の日程（申込締切 </t>
    </r>
    <r>
      <rPr>
        <sz val="10"/>
        <rFont val="Meiryo UI"/>
        <family val="0"/>
        <charset val="1"/>
      </rPr>
      <t xml:space="preserve">10/24</t>
    </r>
    <r>
      <rPr>
        <sz val="10"/>
        <rFont val="WenQuanYi Zen Hei"/>
        <family val="2"/>
      </rPr>
      <t xml:space="preserve">）を追記</t>
    </r>
  </si>
  <si>
    <r>
      <rPr>
        <sz val="10"/>
        <rFont val="Meiryo UI"/>
        <family val="0"/>
        <charset val="1"/>
      </rPr>
      <t xml:space="preserve">ST</t>
    </r>
    <r>
      <rPr>
        <sz val="10"/>
        <rFont val="WenQuanYi Zen Hei"/>
        <family val="2"/>
      </rPr>
      <t xml:space="preserve">・</t>
    </r>
    <r>
      <rPr>
        <sz val="10"/>
        <rFont val="Meiryo UI"/>
        <family val="0"/>
        <charset val="1"/>
      </rPr>
      <t xml:space="preserve">NW</t>
    </r>
    <r>
      <rPr>
        <sz val="10"/>
        <rFont val="WenQuanYi Zen Hei"/>
        <family val="2"/>
      </rPr>
      <t xml:space="preserve">・</t>
    </r>
    <r>
      <rPr>
        <sz val="10"/>
        <rFont val="Meiryo UI"/>
        <family val="0"/>
        <charset val="1"/>
      </rPr>
      <t xml:space="preserve">SA</t>
    </r>
    <r>
      <rPr>
        <sz val="10"/>
        <rFont val="WenQuanYi Zen Hei"/>
        <family val="2"/>
      </rPr>
      <t xml:space="preserve">（</t>
    </r>
    <r>
      <rPr>
        <sz val="10"/>
        <rFont val="Meiryo UI"/>
        <family val="0"/>
        <charset val="1"/>
      </rPr>
      <t xml:space="preserve">1489</t>
    </r>
    <r>
      <rPr>
        <sz val="10"/>
        <rFont val="WenQuanYi Zen Hei"/>
        <family val="2"/>
      </rPr>
      <t xml:space="preserve">・</t>
    </r>
    <r>
      <rPr>
        <sz val="10"/>
        <rFont val="Meiryo UI"/>
        <family val="0"/>
        <charset val="1"/>
      </rPr>
      <t xml:space="preserve">1449</t>
    </r>
    <r>
      <rPr>
        <sz val="10"/>
        <rFont val="WenQuanYi Zen Hei"/>
        <family val="2"/>
      </rPr>
      <t xml:space="preserve">・</t>
    </r>
    <r>
      <rPr>
        <sz val="10"/>
        <rFont val="Meiryo UI"/>
        <family val="0"/>
        <charset val="1"/>
      </rPr>
      <t xml:space="preserve">1479</t>
    </r>
    <r>
      <rPr>
        <sz val="10"/>
        <rFont val="WenQuanYi Zen Hei"/>
        <family val="2"/>
      </rPr>
      <t xml:space="preserve">）の締切後の更新</t>
    </r>
  </si>
  <si>
    <t xml:space="preserve">10/25</t>
  </si>
  <si>
    <t xml:space="preserve">中</t>
  </si>
  <si>
    <r>
      <rPr>
        <sz val="10"/>
        <rFont val="WenQuanYi Zen Hei"/>
        <family val="2"/>
      </rPr>
      <t xml:space="preserve">別サイト（</t>
    </r>
    <r>
      <rPr>
        <sz val="10"/>
        <rFont val="Meiryo UI"/>
        <family val="0"/>
        <charset val="1"/>
      </rPr>
      <t xml:space="preserve">001</t>
    </r>
    <r>
      <rPr>
        <sz val="10"/>
        <rFont val="WenQuanYi Zen Hei"/>
        <family val="2"/>
      </rPr>
      <t xml:space="preserve">）のコードを差し替え：</t>
    </r>
    <r>
      <rPr>
        <sz val="10"/>
        <rFont val="Meiryo UI"/>
        <family val="0"/>
        <charset val="1"/>
      </rPr>
      <t xml:space="preserve">81</t>
    </r>
    <r>
      <rPr>
        <sz val="10"/>
        <rFont val="WenQuanYi Zen Hei"/>
        <family val="2"/>
      </rPr>
      <t xml:space="preserve">・</t>
    </r>
    <r>
      <rPr>
        <sz val="10"/>
        <rFont val="Meiryo UI"/>
        <family val="0"/>
        <charset val="1"/>
      </rPr>
      <t xml:space="preserve">814 Geekly</t>
    </r>
    <r>
      <rPr>
        <sz val="10"/>
        <rFont val="WenQuanYi Zen Hei"/>
        <family val="2"/>
      </rPr>
      <t xml:space="preserve">、</t>
    </r>
    <r>
      <rPr>
        <sz val="10"/>
        <rFont val="Meiryo UI"/>
        <family val="0"/>
        <charset val="1"/>
      </rPr>
      <t xml:space="preserve">835</t>
    </r>
    <r>
      <rPr>
        <sz val="10"/>
        <rFont val="WenQuanYi Zen Hei"/>
        <family val="2"/>
      </rPr>
      <t xml:space="preserve">・</t>
    </r>
    <r>
      <rPr>
        <sz val="10"/>
        <rFont val="Meiryo UI"/>
        <family val="0"/>
        <charset val="1"/>
      </rPr>
      <t xml:space="preserve">892 TechGO</t>
    </r>
    <r>
      <rPr>
        <sz val="10"/>
        <rFont val="WenQuanYi Zen Hei"/>
        <family val="2"/>
      </rPr>
      <t xml:space="preserve">、</t>
    </r>
    <r>
      <rPr>
        <sz val="10"/>
        <rFont val="Meiryo UI"/>
        <family val="0"/>
        <charset val="1"/>
      </rPr>
      <t xml:space="preserve">787 UZUZ</t>
    </r>
  </si>
  <si>
    <t xml:space="preserve">10/18</t>
  </si>
  <si>
    <r>
      <rPr>
        <sz val="10"/>
        <rFont val="WenQuanYi Zen Hei"/>
        <family val="2"/>
      </rPr>
      <t xml:space="preserve">パック</t>
    </r>
    <r>
      <rPr>
        <sz val="10"/>
        <rFont val="Meiryo UI"/>
        <family val="0"/>
        <charset val="1"/>
      </rPr>
      <t xml:space="preserve">C</t>
    </r>
    <r>
      <rPr>
        <sz val="10"/>
        <rFont val="WenQuanYi Zen Hei"/>
        <family val="2"/>
      </rPr>
      <t xml:space="preserve">・</t>
    </r>
    <r>
      <rPr>
        <sz val="10"/>
        <rFont val="Meiryo UI"/>
        <family val="0"/>
        <charset val="1"/>
      </rPr>
      <t xml:space="preserve">E</t>
    </r>
    <r>
      <rPr>
        <sz val="10"/>
        <rFont val="WenQuanYi Zen Hei"/>
        <family val="2"/>
      </rPr>
      <t xml:space="preserve">の「書類選考なし」「書類選考を挟まない」を外す</t>
    </r>
  </si>
  <si>
    <t xml:space="preserve">10/19</t>
  </si>
  <si>
    <r>
      <rPr>
        <sz val="10"/>
        <rFont val="Meiryo UI"/>
        <family val="0"/>
        <charset val="1"/>
      </rPr>
      <t xml:space="preserve">892 </t>
    </r>
    <r>
      <rPr>
        <sz val="10"/>
        <rFont val="WenQuanYi Zen Hei"/>
        <family val="2"/>
      </rPr>
      <t xml:space="preserve">の「断られた」など、</t>
    </r>
    <r>
      <rPr>
        <sz val="10"/>
        <rFont val="Meiryo UI"/>
        <family val="0"/>
        <charset val="1"/>
      </rPr>
      <t xml:space="preserve">JAC</t>
    </r>
    <r>
      <rPr>
        <sz val="10"/>
        <rFont val="WenQuanYi Zen Hei"/>
        <family val="2"/>
      </rPr>
      <t xml:space="preserve">の禁止事項に当たるか</t>
    </r>
    <r>
      <rPr>
        <sz val="10"/>
        <rFont val="Meiryo UI"/>
        <family val="0"/>
        <charset val="1"/>
      </rPr>
      <t xml:space="preserve">VC</t>
    </r>
    <r>
      <rPr>
        <sz val="10"/>
        <rFont val="WenQuanYi Zen Hei"/>
        <family val="2"/>
      </rPr>
      <t xml:space="preserve">に確認</t>
    </r>
  </si>
  <si>
    <t xml:space="preserve">10/20</t>
  </si>
  <si>
    <r>
      <rPr>
        <sz val="10"/>
        <rFont val="WenQuanYi Zen Hei"/>
        <family val="2"/>
      </rPr>
      <t xml:space="preserve">パック</t>
    </r>
    <r>
      <rPr>
        <sz val="10"/>
        <rFont val="Meiryo UI"/>
        <family val="0"/>
        <charset val="1"/>
      </rPr>
      <t xml:space="preserve">C</t>
    </r>
    <r>
      <rPr>
        <sz val="10"/>
        <rFont val="WenQuanYi Zen Hei"/>
        <family val="2"/>
      </rPr>
      <t xml:space="preserve">（</t>
    </r>
    <r>
      <rPr>
        <sz val="10"/>
        <rFont val="Meiryo UI"/>
        <family val="0"/>
        <charset val="1"/>
      </rPr>
      <t xml:space="preserve">2538/2539</t>
    </r>
    <r>
      <rPr>
        <sz val="10"/>
        <rFont val="WenQuanYi Zen Hei"/>
        <family val="2"/>
      </rPr>
      <t xml:space="preserve">）・</t>
    </r>
    <r>
      <rPr>
        <sz val="10"/>
        <rFont val="Meiryo UI"/>
        <family val="0"/>
        <charset val="1"/>
      </rPr>
      <t xml:space="preserve">E</t>
    </r>
    <r>
      <rPr>
        <sz val="10"/>
        <rFont val="WenQuanYi Zen Hei"/>
        <family val="2"/>
      </rPr>
      <t xml:space="preserve">（</t>
    </r>
    <r>
      <rPr>
        <sz val="10"/>
        <rFont val="Meiryo UI"/>
        <family val="0"/>
        <charset val="1"/>
      </rPr>
      <t xml:space="preserve">2660/2662</t>
    </r>
    <r>
      <rPr>
        <sz val="10"/>
        <rFont val="WenQuanYi Zen Hei"/>
        <family val="2"/>
      </rPr>
      <t xml:space="preserve">）の計測用画像を表の中へ</t>
    </r>
  </si>
  <si>
    <r>
      <rPr>
        <sz val="10"/>
        <rFont val="Meiryo UI"/>
        <family val="0"/>
        <charset val="1"/>
      </rPr>
      <t xml:space="preserve">11/22</t>
    </r>
    <r>
      <rPr>
        <sz val="10"/>
        <rFont val="WenQuanYi Zen Hei"/>
        <family val="2"/>
      </rPr>
      <t xml:space="preserve">（</t>
    </r>
    <r>
      <rPr>
        <sz val="10"/>
        <rFont val="Meiryo UI"/>
        <family val="0"/>
        <charset val="1"/>
      </rPr>
      <t xml:space="preserve">1</t>
    </r>
    <r>
      <rPr>
        <sz val="10"/>
        <rFont val="WenQuanYi Zen Hei"/>
        <family val="2"/>
      </rPr>
      <t xml:space="preserve">か月の判定後）</t>
    </r>
  </si>
  <si>
    <t xml:space="preserve">低</t>
  </si>
  <si>
    <r>
      <rPr>
        <sz val="10"/>
        <rFont val="Meiryo UI"/>
        <family val="0"/>
        <charset val="1"/>
      </rPr>
      <t xml:space="preserve">1449 </t>
    </r>
    <r>
      <rPr>
        <sz val="10"/>
        <rFont val="WenQuanYi Zen Hei"/>
        <family val="2"/>
      </rPr>
      <t xml:space="preserve">の古い記述（「</t>
    </r>
    <r>
      <rPr>
        <sz val="10"/>
        <rFont val="Meiryo UI"/>
        <family val="0"/>
        <charset val="1"/>
      </rPr>
      <t xml:space="preserve">9</t>
    </r>
    <r>
      <rPr>
        <sz val="10"/>
        <rFont val="WenQuanYi Zen Hei"/>
        <family val="2"/>
      </rPr>
      <t xml:space="preserve">月から始めた場合」、シラバス、経過措置の言い切り）</t>
    </r>
  </si>
  <si>
    <t xml:space="preserve">10/21</t>
  </si>
  <si>
    <r>
      <rPr>
        <sz val="10"/>
        <rFont val="Meiryo UI"/>
        <family val="0"/>
        <charset val="1"/>
      </rPr>
      <t xml:space="preserve">1462 </t>
    </r>
    <r>
      <rPr>
        <sz val="10"/>
        <rFont val="WenQuanYi Zen Hei"/>
        <family val="2"/>
      </rPr>
      <t xml:space="preserve">の古い記述（時点、シラバス、後期試験の日程）</t>
    </r>
  </si>
  <si>
    <t xml:space="preserve">10/22</t>
  </si>
  <si>
    <r>
      <rPr>
        <sz val="10"/>
        <rFont val="Meiryo UI"/>
        <family val="0"/>
        <charset val="1"/>
      </rPr>
      <t xml:space="preserve">1827</t>
    </r>
    <r>
      <rPr>
        <sz val="10"/>
        <rFont val="WenQuanYi Zen Hei"/>
        <family val="2"/>
      </rPr>
      <t xml:space="preserve">：</t>
    </r>
    <r>
      <rPr>
        <sz val="10"/>
        <rFont val="Meiryo UI"/>
        <family val="0"/>
        <charset val="1"/>
      </rPr>
      <t xml:space="preserve">2026</t>
    </r>
    <r>
      <rPr>
        <sz val="10"/>
        <rFont val="WenQuanYi Zen Hei"/>
        <family val="2"/>
      </rPr>
      <t xml:space="preserve">年度の日程がない、合格率の計算（</t>
    </r>
    <r>
      <rPr>
        <sz val="10"/>
        <rFont val="Meiryo UI"/>
        <family val="0"/>
        <charset val="1"/>
      </rPr>
      <t xml:space="preserve">1,066÷12,197</t>
    </r>
    <r>
      <rPr>
        <sz val="10"/>
        <rFont val="WenQuanYi Zen Hei"/>
        <family val="2"/>
      </rPr>
      <t xml:space="preserve">は約</t>
    </r>
    <r>
      <rPr>
        <sz val="10"/>
        <rFont val="Meiryo UI"/>
        <family val="0"/>
        <charset val="1"/>
      </rPr>
      <t xml:space="preserve">8.7%</t>
    </r>
    <r>
      <rPr>
        <sz val="10"/>
        <rFont val="WenQuanYi Zen Hei"/>
        <family val="2"/>
      </rPr>
      <t xml:space="preserve">で</t>
    </r>
    <r>
      <rPr>
        <sz val="10"/>
        <rFont val="Meiryo UI"/>
        <family val="0"/>
        <charset val="1"/>
      </rPr>
      <t xml:space="preserve">13.5%</t>
    </r>
    <r>
      <rPr>
        <sz val="10"/>
        <rFont val="WenQuanYi Zen Hei"/>
        <family val="2"/>
      </rPr>
      <t xml:space="preserve">にならない）、経過措置の言い切り、時点</t>
    </r>
  </si>
  <si>
    <t xml:space="preserve">10/24</t>
  </si>
  <si>
    <r>
      <rPr>
        <sz val="10"/>
        <rFont val="Meiryo UI"/>
        <family val="0"/>
        <charset val="1"/>
      </rPr>
      <t xml:space="preserve">1790</t>
    </r>
    <r>
      <rPr>
        <sz val="10"/>
        <rFont val="WenQuanYi Zen Hei"/>
        <family val="2"/>
      </rPr>
      <t xml:space="preserve">：</t>
    </r>
    <r>
      <rPr>
        <sz val="10"/>
        <rFont val="Meiryo UI"/>
        <family val="0"/>
        <charset val="1"/>
      </rPr>
      <t xml:space="preserve">IT</t>
    </r>
    <r>
      <rPr>
        <sz val="10"/>
        <rFont val="WenQuanYi Zen Hei"/>
        <family val="2"/>
      </rPr>
      <t xml:space="preserve">パスポートの分野の対応表が</t>
    </r>
    <r>
      <rPr>
        <sz val="10"/>
        <rFont val="Meiryo UI"/>
        <family val="0"/>
        <charset val="1"/>
      </rPr>
      <t xml:space="preserve">1</t>
    </r>
    <r>
      <rPr>
        <sz val="10"/>
        <rFont val="WenQuanYi Zen Hei"/>
        <family val="2"/>
      </rPr>
      <t xml:space="preserve">対</t>
    </r>
    <r>
      <rPr>
        <sz val="10"/>
        <rFont val="Meiryo UI"/>
        <family val="0"/>
        <charset val="1"/>
      </rPr>
      <t xml:space="preserve">1</t>
    </r>
    <r>
      <rPr>
        <sz val="10"/>
        <rFont val="WenQuanYi Zen Hei"/>
        <family val="2"/>
      </rPr>
      <t xml:space="preserve">に見える、時点の記載がない</t>
    </r>
  </si>
  <si>
    <t xml:space="preserve">10/26</t>
  </si>
  <si>
    <r>
      <rPr>
        <sz val="10"/>
        <rFont val="Meiryo UI"/>
        <family val="0"/>
        <charset val="1"/>
      </rPr>
      <t xml:space="preserve">979</t>
    </r>
    <r>
      <rPr>
        <sz val="10"/>
        <rFont val="WenQuanYi Zen Hei"/>
        <family val="2"/>
      </rPr>
      <t xml:space="preserve">：同じ文が</t>
    </r>
    <r>
      <rPr>
        <sz val="10"/>
        <rFont val="Meiryo UI"/>
        <family val="0"/>
        <charset val="1"/>
      </rPr>
      <t xml:space="preserve">2</t>
    </r>
    <r>
      <rPr>
        <sz val="10"/>
        <rFont val="WenQuanYi Zen Hei"/>
        <family val="2"/>
      </rPr>
      <t xml:space="preserve">回（「転職時のオファー年収は…」）、「</t>
    </r>
    <r>
      <rPr>
        <sz val="10"/>
        <rFont val="Meiryo UI"/>
        <family val="0"/>
        <charset val="1"/>
      </rPr>
      <t xml:space="preserve">2026</t>
    </r>
    <r>
      <rPr>
        <sz val="10"/>
        <rFont val="WenQuanYi Zen Hei"/>
        <family val="2"/>
      </rPr>
      <t xml:space="preserve">年」の「</t>
    </r>
    <r>
      <rPr>
        <sz val="10"/>
        <rFont val="Meiryo UI"/>
        <family val="0"/>
        <charset val="1"/>
      </rPr>
      <t xml:space="preserve">2</t>
    </r>
    <r>
      <rPr>
        <sz val="10"/>
        <rFont val="WenQuanYi Zen Hei"/>
        <family val="2"/>
      </rPr>
      <t xml:space="preserve">」が太字の外</t>
    </r>
  </si>
  <si>
    <t xml:space="preserve">未定</t>
  </si>
  <si>
    <r>
      <rPr>
        <sz val="10"/>
        <rFont val="Meiryo UI"/>
        <family val="0"/>
        <charset val="1"/>
      </rPr>
      <t xml:space="preserve">664</t>
    </r>
    <r>
      <rPr>
        <sz val="10"/>
        <rFont val="WenQuanYi Zen Hei"/>
        <family val="2"/>
      </rPr>
      <t xml:space="preserve">：まとめの太字が二重。</t>
    </r>
    <r>
      <rPr>
        <sz val="10"/>
        <rFont val="Meiryo UI"/>
        <family val="0"/>
        <charset val="1"/>
      </rPr>
      <t xml:space="preserve">1809</t>
    </r>
    <r>
      <rPr>
        <sz val="10"/>
        <rFont val="WenQuanYi Zen Hei"/>
        <family val="2"/>
      </rPr>
      <t xml:space="preserve">・</t>
    </r>
    <r>
      <rPr>
        <sz val="10"/>
        <rFont val="Meiryo UI"/>
        <family val="0"/>
        <charset val="1"/>
      </rPr>
      <t xml:space="preserve">1449 </t>
    </r>
    <r>
      <rPr>
        <sz val="10"/>
        <rFont val="WenQuanYi Zen Hei"/>
        <family val="2"/>
      </rPr>
      <t xml:space="preserve">の最後に空の段落</t>
    </r>
  </si>
  <si>
    <r>
      <rPr>
        <sz val="10"/>
        <rFont val="WenQuanYi Zen Hei"/>
        <family val="2"/>
      </rPr>
      <t xml:space="preserve">画像の </t>
    </r>
    <r>
      <rPr>
        <sz val="10"/>
        <rFont val="Meiryo UI"/>
        <family val="0"/>
        <charset val="1"/>
      </rPr>
      <t xml:space="preserve">alt </t>
    </r>
    <r>
      <rPr>
        <sz val="10"/>
        <rFont val="WenQuanYi Zen Hei"/>
        <family val="2"/>
      </rPr>
      <t xml:space="preserve">が空（</t>
    </r>
    <r>
      <rPr>
        <sz val="10"/>
        <rFont val="Meiryo UI"/>
        <family val="0"/>
        <charset val="1"/>
      </rPr>
      <t xml:space="preserve">1462</t>
    </r>
    <r>
      <rPr>
        <sz val="10"/>
        <rFont val="WenQuanYi Zen Hei"/>
        <family val="2"/>
      </rPr>
      <t xml:space="preserve">・</t>
    </r>
    <r>
      <rPr>
        <sz val="10"/>
        <rFont val="Meiryo UI"/>
        <family val="0"/>
        <charset val="1"/>
      </rPr>
      <t xml:space="preserve">1449</t>
    </r>
    <r>
      <rPr>
        <sz val="10"/>
        <rFont val="WenQuanYi Zen Hei"/>
        <family val="2"/>
      </rPr>
      <t xml:space="preserve">・</t>
    </r>
    <r>
      <rPr>
        <sz val="10"/>
        <rFont val="Meiryo UI"/>
        <family val="0"/>
        <charset val="1"/>
      </rPr>
      <t xml:space="preserve">1143</t>
    </r>
    <r>
      <rPr>
        <sz val="10"/>
        <rFont val="WenQuanYi Zen Hei"/>
        <family val="2"/>
      </rPr>
      <t xml:space="preserve">・</t>
    </r>
    <r>
      <rPr>
        <sz val="10"/>
        <rFont val="Meiryo UI"/>
        <family val="0"/>
        <charset val="1"/>
      </rPr>
      <t xml:space="preserve">1827</t>
    </r>
    <r>
      <rPr>
        <sz val="10"/>
        <rFont val="WenQuanYi Zen Hei"/>
        <family val="2"/>
      </rPr>
      <t xml:space="preserve">・</t>
    </r>
    <r>
      <rPr>
        <sz val="10"/>
        <rFont val="Meiryo UI"/>
        <family val="0"/>
        <charset val="1"/>
      </rPr>
      <t xml:space="preserve">1479</t>
    </r>
    <r>
      <rPr>
        <sz val="10"/>
        <rFont val="WenQuanYi Zen Hei"/>
        <family val="2"/>
      </rPr>
      <t xml:space="preserve">・</t>
    </r>
    <r>
      <rPr>
        <sz val="10"/>
        <rFont val="Meiryo UI"/>
        <family val="0"/>
        <charset val="1"/>
      </rPr>
      <t xml:space="preserve">1790 </t>
    </r>
    <r>
      <rPr>
        <sz val="10"/>
        <rFont val="WenQuanYi Zen Hei"/>
        <family val="2"/>
      </rPr>
      <t xml:space="preserve">ほか）</t>
    </r>
  </si>
  <si>
    <r>
      <rPr>
        <sz val="10"/>
        <rFont val="Meiryo UI"/>
        <family val="0"/>
        <charset val="1"/>
      </rPr>
      <t xml:space="preserve">10/26</t>
    </r>
    <r>
      <rPr>
        <sz val="10"/>
        <rFont val="WenQuanYi Zen Hei"/>
        <family val="2"/>
      </rPr>
      <t xml:space="preserve">〜</t>
    </r>
    <r>
      <rPr>
        <sz val="10"/>
        <rFont val="Meiryo UI"/>
        <family val="0"/>
        <charset val="1"/>
      </rPr>
      <t xml:space="preserve">27</t>
    </r>
  </si>
  <si>
    <r>
      <rPr>
        <sz val="10"/>
        <rFont val="Meiryo UI"/>
        <family val="0"/>
        <charset val="1"/>
      </rPr>
      <t xml:space="preserve">1143 </t>
    </r>
    <r>
      <rPr>
        <sz val="10"/>
        <rFont val="WenQuanYi Zen Hei"/>
        <family val="2"/>
      </rPr>
      <t xml:space="preserve">の「この記事の結論まとめ」が画像</t>
    </r>
    <r>
      <rPr>
        <sz val="10"/>
        <rFont val="Meiryo UI"/>
        <family val="0"/>
        <charset val="1"/>
      </rPr>
      <t xml:space="preserve">1</t>
    </r>
    <r>
      <rPr>
        <sz val="10"/>
        <rFont val="WenQuanYi Zen Hei"/>
        <family val="2"/>
      </rPr>
      <t xml:space="preserve">枚だけ（文字がない）</t>
    </r>
  </si>
  <si>
    <r>
      <rPr>
        <sz val="10"/>
        <rFont val="Meiryo UI"/>
        <family val="0"/>
        <charset val="1"/>
      </rPr>
      <t xml:space="preserve">VC</t>
    </r>
    <r>
      <rPr>
        <sz val="10"/>
        <rFont val="WenQuanYi Zen Hei"/>
        <family val="2"/>
      </rPr>
      <t xml:space="preserve">で</t>
    </r>
    <r>
      <rPr>
        <sz val="10"/>
        <rFont val="Meiryo UI"/>
        <family val="0"/>
        <charset val="1"/>
      </rPr>
      <t xml:space="preserve">9/10</t>
    </r>
    <r>
      <rPr>
        <sz val="10"/>
        <rFont val="WenQuanYi Zen Hei"/>
        <family val="2"/>
      </rPr>
      <t xml:space="preserve">〜</t>
    </r>
    <r>
      <rPr>
        <sz val="10"/>
        <rFont val="Meiryo UI"/>
        <family val="0"/>
        <charset val="1"/>
      </rPr>
      <t xml:space="preserve">10/10</t>
    </r>
    <r>
      <rPr>
        <sz val="10"/>
        <rFont val="WenQuanYi Zen Hei"/>
        <family val="2"/>
      </rPr>
      <t xml:space="preserve">に発生した</t>
    </r>
    <r>
      <rPr>
        <sz val="10"/>
        <rFont val="Meiryo UI"/>
        <family val="0"/>
        <charset val="1"/>
      </rPr>
      <t xml:space="preserve">1</t>
    </r>
    <r>
      <rPr>
        <sz val="10"/>
        <rFont val="WenQuanYi Zen Hei"/>
        <family val="2"/>
      </rPr>
      <t xml:space="preserve">件（成果報酬</t>
    </r>
    <r>
      <rPr>
        <sz val="10"/>
        <rFont val="Meiryo UI"/>
        <family val="0"/>
        <charset val="1"/>
      </rPr>
      <t xml:space="preserve">330</t>
    </r>
    <r>
      <rPr>
        <sz val="10"/>
        <rFont val="WenQuanYi Zen Hei"/>
        <family val="2"/>
      </rPr>
      <t xml:space="preserve">円）がどの案件か確認</t>
    </r>
  </si>
</sst>
</file>

<file path=xl/styles.xml><?xml version="1.0" encoding="utf-8"?>
<styleSheet xmlns="http://schemas.openxmlformats.org/spreadsheetml/2006/main">
  <numFmts count="11">
    <numFmt numFmtId="164" formatCode="General"/>
    <numFmt numFmtId="165" formatCode="m/d"/>
    <numFmt numFmtId="166" formatCode="General"/>
    <numFmt numFmtId="167" formatCode="0"/>
    <numFmt numFmtId="168" formatCode="yyyy/m/d"/>
    <numFmt numFmtId="169" formatCode="#,##0"/>
    <numFmt numFmtId="170" formatCode="0.0"/>
    <numFmt numFmtId="171" formatCode="0.00"/>
    <numFmt numFmtId="172" formatCode="0.00%"/>
    <numFmt numFmtId="173" formatCode="0.0%"/>
    <numFmt numFmtId="174" formatCode="m/d\(AAA\)"/>
  </numFmts>
  <fonts count="18">
    <font>
      <sz val="11"/>
      <color theme="1"/>
      <name val="Calibri"/>
      <family val="2"/>
      <charset val="1"/>
    </font>
    <font>
      <sz val="10"/>
      <name val="Arial"/>
      <family val="0"/>
    </font>
    <font>
      <sz val="10"/>
      <name val="Arial"/>
      <family val="0"/>
    </font>
    <font>
      <sz val="10"/>
      <name val="Arial"/>
      <family val="0"/>
    </font>
    <font>
      <b val="true"/>
      <sz val="14"/>
      <name val="Meiryo UI"/>
      <family val="0"/>
      <charset val="1"/>
    </font>
    <font>
      <b val="true"/>
      <sz val="14"/>
      <name val="WenQuanYi Zen Hei"/>
      <family val="2"/>
    </font>
    <font>
      <sz val="9"/>
      <color rgb="FF666666"/>
      <name val="WenQuanYi Zen Hei"/>
      <family val="2"/>
    </font>
    <font>
      <sz val="9"/>
      <color rgb="FF666666"/>
      <name val="Meiryo UI"/>
      <family val="0"/>
      <charset val="1"/>
    </font>
    <font>
      <b val="true"/>
      <sz val="10"/>
      <name val="WenQuanYi Zen Hei"/>
      <family val="2"/>
    </font>
    <font>
      <sz val="10"/>
      <name val="WenQuanYi Zen Hei"/>
      <family val="2"/>
    </font>
    <font>
      <sz val="10"/>
      <name val="Meiryo UI"/>
      <family val="0"/>
      <charset val="1"/>
    </font>
    <font>
      <b val="true"/>
      <sz val="10"/>
      <name val="Meiryo UI"/>
      <family val="0"/>
      <charset val="1"/>
    </font>
    <font>
      <b val="true"/>
      <sz val="10"/>
      <color rgb="FFFFFFFF"/>
      <name val="WenQuanYi Zen Hei"/>
      <family val="2"/>
    </font>
    <font>
      <b val="true"/>
      <sz val="10"/>
      <color rgb="FFC00000"/>
      <name val="WenQuanYi Zen Hei"/>
      <family val="2"/>
    </font>
    <font>
      <b val="true"/>
      <sz val="10"/>
      <color rgb="FF1F6B3A"/>
      <name val="WenQuanYi Zen Hei"/>
      <family val="2"/>
    </font>
    <font>
      <b val="true"/>
      <sz val="10"/>
      <color rgb="FFFFFFFF"/>
      <name val="Meiryo UI"/>
      <family val="0"/>
      <charset val="1"/>
    </font>
    <font>
      <sz val="9"/>
      <name val="Consolas"/>
      <family val="0"/>
      <charset val="1"/>
    </font>
    <font>
      <sz val="9"/>
      <name val="WenQuanYi Zen Hei"/>
      <family val="2"/>
    </font>
  </fonts>
  <fills count="7">
    <fill>
      <patternFill patternType="none"/>
    </fill>
    <fill>
      <patternFill patternType="gray125"/>
    </fill>
    <fill>
      <patternFill patternType="solid">
        <fgColor rgb="FFFFF2CC"/>
        <bgColor rgb="FFFCE4D6"/>
      </patternFill>
    </fill>
    <fill>
      <patternFill patternType="solid">
        <fgColor rgb="FF4F6D5E"/>
        <bgColor rgb="FF666666"/>
      </patternFill>
    </fill>
    <fill>
      <patternFill patternType="solid">
        <fgColor rgb="FFF8CBAD"/>
        <bgColor rgb="FFFCE4D6"/>
      </patternFill>
    </fill>
    <fill>
      <patternFill patternType="solid">
        <fgColor rgb="FFFCE4D6"/>
        <bgColor rgb="FFFFF2CC"/>
      </patternFill>
    </fill>
    <fill>
      <patternFill patternType="solid">
        <fgColor rgb="FFE2EFDA"/>
        <bgColor rgb="FFEDEDED"/>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9" fillId="2"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2" fillId="3" borderId="1" xfId="0" applyFont="true" applyBorder="true" applyAlignment="true" applyProtection="false">
      <alignment horizontal="center" vertical="top" textRotation="0" wrapText="true" indent="0" shrinkToFit="false"/>
      <protection locked="true" hidden="false"/>
    </xf>
    <xf numFmtId="165" fontId="10"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center" vertical="top" textRotation="0" wrapText="true" indent="0" shrinkToFit="false"/>
      <protection locked="true" hidden="false"/>
    </xf>
    <xf numFmtId="164" fontId="10" fillId="4" borderId="1" xfId="0" applyFont="true" applyBorder="true" applyAlignment="true" applyProtection="false">
      <alignment horizontal="center"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general" vertical="top" textRotation="0" wrapText="true" indent="0" shrinkToFit="false"/>
      <protection locked="true" hidden="false"/>
    </xf>
    <xf numFmtId="164" fontId="10" fillId="2" borderId="1" xfId="0" applyFont="true" applyBorder="true" applyAlignment="true" applyProtection="false">
      <alignment horizontal="general" vertical="top" textRotation="0" wrapText="true" indent="0" shrinkToFit="false"/>
      <protection locked="true" hidden="false"/>
    </xf>
    <xf numFmtId="165" fontId="10" fillId="0" borderId="1" xfId="0" applyFont="true" applyBorder="true" applyAlignment="true" applyProtection="false">
      <alignment horizontal="center" vertical="top" textRotation="0" wrapText="true" indent="0" shrinkToFit="false"/>
      <protection locked="true" hidden="false"/>
    </xf>
    <xf numFmtId="166" fontId="10" fillId="0" borderId="1"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0" fillId="5" borderId="1" xfId="0" applyFont="true" applyBorder="true" applyAlignment="true" applyProtection="false">
      <alignment horizontal="center" vertical="top" textRotation="0" wrapText="true" indent="0" shrinkToFit="false"/>
      <protection locked="true" hidden="false"/>
    </xf>
    <xf numFmtId="164" fontId="10" fillId="0" borderId="1" xfId="0" applyFont="true" applyBorder="true" applyAlignment="true" applyProtection="false">
      <alignment horizontal="center" vertical="top" textRotation="0" wrapText="true" indent="0" shrinkToFit="false"/>
      <protection locked="true" hidden="false"/>
    </xf>
    <xf numFmtId="164" fontId="13" fillId="0" borderId="1" xfId="0" applyFont="true" applyBorder="true" applyAlignment="true" applyProtection="false">
      <alignment horizontal="center" vertical="top" textRotation="0" wrapText="true" indent="0" shrinkToFit="false"/>
      <protection locked="true" hidden="false"/>
    </xf>
    <xf numFmtId="164" fontId="14" fillId="0"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2" fillId="3"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5" fillId="3" borderId="1" xfId="0" applyFont="true" applyBorder="true" applyAlignment="true" applyProtection="false">
      <alignment horizontal="center" vertical="top"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10" fillId="2" borderId="1" xfId="0" applyFont="true" applyBorder="true" applyAlignment="false" applyProtection="false">
      <alignment horizontal="general" vertical="bottom" textRotation="0" wrapText="false" indent="0" shrinkToFit="false"/>
      <protection locked="true" hidden="false"/>
    </xf>
    <xf numFmtId="165" fontId="10" fillId="2"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7" fontId="10"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8" fontId="10" fillId="2" borderId="1" xfId="0" applyFont="true" applyBorder="true" applyAlignment="false" applyProtection="false">
      <alignment horizontal="general" vertical="bottom" textRotation="0" wrapText="false" indent="0" shrinkToFit="false"/>
      <protection locked="true" hidden="false"/>
    </xf>
    <xf numFmtId="169" fontId="0" fillId="0" borderId="1"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70" fontId="0" fillId="6" borderId="1" xfId="0" applyFont="false" applyBorder="true" applyAlignment="false" applyProtection="false">
      <alignment horizontal="general" vertical="bottom" textRotation="0" wrapText="false" indent="0" shrinkToFit="false"/>
      <protection locked="true" hidden="false"/>
    </xf>
    <xf numFmtId="171" fontId="0" fillId="6" borderId="1" xfId="0" applyFont="fals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71" fontId="10" fillId="0" borderId="1" xfId="0" applyFont="true" applyBorder="true" applyAlignment="false" applyProtection="false">
      <alignment horizontal="general" vertical="bottom" textRotation="0" wrapText="false" indent="0" shrinkToFit="false"/>
      <protection locked="true" hidden="false"/>
    </xf>
    <xf numFmtId="172" fontId="0" fillId="6" borderId="1" xfId="0" applyFont="false" applyBorder="true" applyAlignment="false" applyProtection="false">
      <alignment horizontal="general" vertical="bottom" textRotation="0" wrapText="false" indent="0" shrinkToFit="false"/>
      <protection locked="true" hidden="false"/>
    </xf>
    <xf numFmtId="173" fontId="10" fillId="0" borderId="1" xfId="0" applyFont="true" applyBorder="true" applyAlignment="false" applyProtection="false">
      <alignment horizontal="general" vertical="bottom" textRotation="0" wrapText="false" indent="0" shrinkToFit="false"/>
      <protection locked="true" hidden="false"/>
    </xf>
    <xf numFmtId="167" fontId="0" fillId="6" borderId="1" xfId="0" applyFont="false" applyBorder="true" applyAlignment="false" applyProtection="false">
      <alignment horizontal="general" vertical="bottom" textRotation="0" wrapText="false" indent="0" shrinkToFit="false"/>
      <protection locked="true" hidden="false"/>
    </xf>
    <xf numFmtId="174" fontId="10" fillId="0" borderId="1" xfId="0" applyFont="true" applyBorder="true" applyAlignment="false" applyProtection="false">
      <alignment horizontal="general" vertical="bottom" textRotation="0" wrapText="fals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name val="Meiryo UI"/>
        <charset val="1"/>
        <family val="0"/>
        <color rgb="FF808080"/>
      </font>
      <fill>
        <patternFill>
          <bgColor rgb="FFEDEDED"/>
        </patternFill>
      </fill>
    </dxf>
    <dxf>
      <fill>
        <patternFill>
          <bgColor rgb="FFEDEDED"/>
        </patternFill>
      </fill>
    </dxf>
  </dxfs>
  <colors>
    <indexedColors>
      <rgbColor rgb="FF000000"/>
      <rgbColor rgb="FFFFFFFF"/>
      <rgbColor rgb="FFC00000"/>
      <rgbColor rgb="FF00FF00"/>
      <rgbColor rgb="FF0000FF"/>
      <rgbColor rgb="FFFFFF00"/>
      <rgbColor rgb="FFFF00FF"/>
      <rgbColor rgb="FF00FFFF"/>
      <rgbColor rgb="FF800000"/>
      <rgbColor rgb="FF1F6B3A"/>
      <rgbColor rgb="FF000080"/>
      <rgbColor rgb="FF808000"/>
      <rgbColor rgb="FF800080"/>
      <rgbColor rgb="FF008080"/>
      <rgbColor rgb="FFBFBFBF"/>
      <rgbColor rgb="FF808080"/>
      <rgbColor rgb="FF9999FF"/>
      <rgbColor rgb="FF993366"/>
      <rgbColor rgb="FFFFF2CC"/>
      <rgbColor rgb="FFEDEDED"/>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CE4D6"/>
      <rgbColor rgb="FF99CCFF"/>
      <rgbColor rgb="FFFF99CC"/>
      <rgbColor rgb="FFCC99FF"/>
      <rgbColor rgb="FFF8CBAD"/>
      <rgbColor rgb="FF3366FF"/>
      <rgbColor rgb="FF33CCCC"/>
      <rgbColor rgb="FF99CC00"/>
      <rgbColor rgb="FFFFCC00"/>
      <rgbColor rgb="FFFF9900"/>
      <rgbColor rgb="FFFF6600"/>
      <rgbColor rgb="FF666666"/>
      <rgbColor rgb="FF969696"/>
      <rgbColor rgb="FF003366"/>
      <rgbColor rgb="FF4F6D5E"/>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90"/>
  </cols>
  <sheetData>
    <row r="1" customFormat="false" ht="19.4"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t="s">
        <v>3</v>
      </c>
    </row>
    <row r="5" customFormat="false" ht="15" hidden="false" customHeight="false" outlineLevel="0" collapsed="false">
      <c r="A5" s="3" t="s">
        <v>4</v>
      </c>
      <c r="B5" s="5" t="s">
        <v>5</v>
      </c>
    </row>
    <row r="6" customFormat="false" ht="39.55" hidden="false" customHeight="false" outlineLevel="0" collapsed="false">
      <c r="A6" s="6" t="s">
        <v>6</v>
      </c>
      <c r="B6" s="7" t="s">
        <v>7</v>
      </c>
    </row>
    <row r="7" customFormat="false" ht="15" hidden="false" customHeight="false" outlineLevel="0" collapsed="false">
      <c r="A7" s="3"/>
      <c r="B7" s="4"/>
    </row>
    <row r="8" customFormat="false" ht="15" hidden="false" customHeight="false" outlineLevel="0" collapsed="false">
      <c r="A8" s="3" t="s">
        <v>8</v>
      </c>
      <c r="B8" s="4"/>
    </row>
    <row r="9" customFormat="false" ht="26.85" hidden="false" customHeight="false" outlineLevel="0" collapsed="false">
      <c r="A9" s="3" t="s">
        <v>9</v>
      </c>
      <c r="B9" s="4" t="s">
        <v>10</v>
      </c>
    </row>
    <row r="10" customFormat="false" ht="15" hidden="false" customHeight="false" outlineLevel="0" collapsed="false">
      <c r="A10" s="3" t="s">
        <v>11</v>
      </c>
      <c r="B10" s="7" t="s">
        <v>12</v>
      </c>
    </row>
    <row r="11" customFormat="false" ht="15" hidden="false" customHeight="false" outlineLevel="0" collapsed="false">
      <c r="A11" s="6" t="s">
        <v>13</v>
      </c>
      <c r="B11" s="7" t="s">
        <v>14</v>
      </c>
    </row>
    <row r="12" customFormat="false" ht="15" hidden="false" customHeight="false" outlineLevel="0" collapsed="false">
      <c r="A12" s="6" t="s">
        <v>15</v>
      </c>
      <c r="B12" s="7" t="s">
        <v>16</v>
      </c>
    </row>
    <row r="13" customFormat="false" ht="15" hidden="false" customHeight="false" outlineLevel="0" collapsed="false">
      <c r="A13" s="6" t="s">
        <v>17</v>
      </c>
      <c r="B13" s="4" t="s">
        <v>18</v>
      </c>
    </row>
    <row r="14" customFormat="false" ht="15" hidden="false" customHeight="false" outlineLevel="0" collapsed="false">
      <c r="A14" s="6" t="s">
        <v>19</v>
      </c>
      <c r="B14" s="4" t="s">
        <v>20</v>
      </c>
    </row>
    <row r="15" customFormat="false" ht="15" hidden="false" customHeight="false" outlineLevel="0" collapsed="false">
      <c r="A15" s="6" t="s">
        <v>21</v>
      </c>
      <c r="B15" s="7" t="s">
        <v>22</v>
      </c>
    </row>
    <row r="16" customFormat="false" ht="15" hidden="false" customHeight="false" outlineLevel="0" collapsed="false">
      <c r="A16" s="6" t="s">
        <v>23</v>
      </c>
      <c r="B16" s="7" t="s">
        <v>24</v>
      </c>
    </row>
    <row r="17" customFormat="false" ht="15" hidden="false" customHeight="false" outlineLevel="0" collapsed="false">
      <c r="A17" s="3" t="s">
        <v>25</v>
      </c>
      <c r="B17" s="4" t="s">
        <v>26</v>
      </c>
    </row>
    <row r="18" customFormat="false" ht="15" hidden="false" customHeight="false" outlineLevel="0" collapsed="false">
      <c r="A18" s="3" t="s">
        <v>27</v>
      </c>
      <c r="B18" s="7" t="s">
        <v>28</v>
      </c>
    </row>
    <row r="19" customFormat="false" ht="26.85" hidden="false" customHeight="false" outlineLevel="0" collapsed="false">
      <c r="A19" s="3" t="s">
        <v>29</v>
      </c>
      <c r="B19" s="7" t="s">
        <v>30</v>
      </c>
    </row>
    <row r="20" customFormat="false" ht="15" hidden="false" customHeight="false" outlineLevel="0" collapsed="false">
      <c r="A20" s="3" t="s">
        <v>31</v>
      </c>
      <c r="B20" s="7" t="s">
        <v>32</v>
      </c>
    </row>
    <row r="21" customFormat="false" ht="15" hidden="false" customHeight="false" outlineLevel="0" collapsed="false">
      <c r="A21" s="3" t="s">
        <v>33</v>
      </c>
      <c r="B21" s="4" t="s">
        <v>34</v>
      </c>
    </row>
    <row r="22" customFormat="false" ht="15" hidden="false" customHeight="false" outlineLevel="0" collapsed="false">
      <c r="A22" s="3" t="s">
        <v>35</v>
      </c>
      <c r="B22" s="4" t="s">
        <v>36</v>
      </c>
    </row>
    <row r="23" customFormat="false" ht="15" hidden="false" customHeight="false" outlineLevel="0" collapsed="false">
      <c r="A23" s="3"/>
      <c r="B23" s="4"/>
    </row>
    <row r="24" customFormat="false" ht="26.85" hidden="false" customHeight="false" outlineLevel="0" collapsed="false">
      <c r="A24" s="3" t="s">
        <v>37</v>
      </c>
      <c r="B24" s="7" t="s">
        <v>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5"/>
    <col collapsed="false" customWidth="true" hidden="false" outlineLevel="0" max="4" min="3" style="0" width="8"/>
    <col collapsed="false" customWidth="true" hidden="false" outlineLevel="0" max="5" min="5" style="0" width="58"/>
    <col collapsed="false" customWidth="true" hidden="false" outlineLevel="0" max="6" min="6" style="0" width="18"/>
    <col collapsed="false" customWidth="true" hidden="false" outlineLevel="0" max="7" min="7" style="0" width="10"/>
    <col collapsed="false" customWidth="true" hidden="false" outlineLevel="0" max="8" min="8" style="0" width="30"/>
    <col collapsed="false" customWidth="true" hidden="false" outlineLevel="0" max="10" min="10" style="0" width="9"/>
    <col collapsed="false" customWidth="true" hidden="false" outlineLevel="0" max="12" min="11" style="0" width="10"/>
    <col collapsed="false" customWidth="true" hidden="false" outlineLevel="0" max="13" min="13" style="0" width="8"/>
  </cols>
  <sheetData>
    <row r="1" customFormat="false" ht="19.4" hidden="false" customHeight="false" outlineLevel="0" collapsed="false">
      <c r="A1" s="8" t="s">
        <v>39</v>
      </c>
    </row>
    <row r="2" customFormat="false" ht="15" hidden="false" customHeight="false" outlineLevel="0" collapsed="false">
      <c r="A2" s="2" t="s">
        <v>40</v>
      </c>
    </row>
    <row r="4" customFormat="false" ht="15" hidden="false" customHeight="false" outlineLevel="0" collapsed="false">
      <c r="A4" s="9" t="s">
        <v>41</v>
      </c>
      <c r="B4" s="9" t="s">
        <v>42</v>
      </c>
      <c r="C4" s="9" t="s">
        <v>43</v>
      </c>
      <c r="D4" s="9" t="s">
        <v>44</v>
      </c>
      <c r="E4" s="9" t="s">
        <v>45</v>
      </c>
      <c r="F4" s="9" t="s">
        <v>46</v>
      </c>
      <c r="G4" s="9" t="s">
        <v>47</v>
      </c>
      <c r="H4" s="9" t="s">
        <v>48</v>
      </c>
      <c r="J4" s="9" t="s">
        <v>41</v>
      </c>
      <c r="K4" s="9" t="s">
        <v>49</v>
      </c>
      <c r="L4" s="9" t="s">
        <v>50</v>
      </c>
      <c r="M4" s="9" t="s">
        <v>51</v>
      </c>
    </row>
    <row r="5" customFormat="false" ht="26.85" hidden="false" customHeight="false" outlineLevel="0" collapsed="false">
      <c r="A5" s="10" t="n">
        <v>46308</v>
      </c>
      <c r="B5" s="11" t="str">
        <f aca="false">MID("日月火水木金土",WEEKDAY(A5),1)</f>
        <v>火</v>
      </c>
      <c r="C5" s="12" t="s">
        <v>52</v>
      </c>
      <c r="D5" s="11" t="n">
        <v>30</v>
      </c>
      <c r="E5" s="13" t="s">
        <v>53</v>
      </c>
      <c r="F5" s="13" t="s">
        <v>54</v>
      </c>
      <c r="G5" s="14" t="s">
        <v>55</v>
      </c>
      <c r="H5" s="15"/>
      <c r="J5" s="16" t="n">
        <v>46308</v>
      </c>
      <c r="K5" s="17" t="n">
        <f aca="false">SUMIF($A$5:$A$53,J5,$D$5:$D$53)</f>
        <v>90</v>
      </c>
      <c r="L5" s="17" t="n">
        <f aca="false">IF(WEEKDAY(J5,2)&gt;=6,120,90)</f>
        <v>90</v>
      </c>
      <c r="M5" s="17" t="str">
        <f aca="false">IF(K5&gt;L5,"超過","OK")</f>
        <v>OK</v>
      </c>
    </row>
    <row r="6" customFormat="false" ht="26.85" hidden="false" customHeight="false" outlineLevel="0" collapsed="false">
      <c r="A6" s="10" t="n">
        <v>46308</v>
      </c>
      <c r="B6" s="11" t="str">
        <f aca="false">MID("日月火水木金土",WEEKDAY(A6),1)</f>
        <v>火</v>
      </c>
      <c r="C6" s="12" t="s">
        <v>52</v>
      </c>
      <c r="D6" s="11" t="n">
        <v>20</v>
      </c>
      <c r="E6" s="13" t="s">
        <v>56</v>
      </c>
      <c r="F6" s="18" t="s">
        <v>57</v>
      </c>
      <c r="G6" s="14" t="s">
        <v>55</v>
      </c>
      <c r="H6" s="15"/>
      <c r="J6" s="16" t="n">
        <v>46309</v>
      </c>
      <c r="K6" s="17" t="n">
        <f aca="false">SUMIF($A$5:$A$53,J6,$D$5:$D$53)</f>
        <v>85</v>
      </c>
      <c r="L6" s="17" t="n">
        <f aca="false">IF(WEEKDAY(J6,2)&gt;=6,120,90)</f>
        <v>90</v>
      </c>
      <c r="M6" s="17" t="str">
        <f aca="false">IF(K6&gt;L6,"超過","OK")</f>
        <v>OK</v>
      </c>
    </row>
    <row r="7" customFormat="false" ht="26.85" hidden="false" customHeight="false" outlineLevel="0" collapsed="false">
      <c r="A7" s="10" t="n">
        <v>46308</v>
      </c>
      <c r="B7" s="11" t="str">
        <f aca="false">MID("日月火水木金土",WEEKDAY(A7),1)</f>
        <v>火</v>
      </c>
      <c r="C7" s="19" t="s">
        <v>58</v>
      </c>
      <c r="D7" s="11" t="n">
        <v>25</v>
      </c>
      <c r="E7" s="13" t="s">
        <v>59</v>
      </c>
      <c r="F7" s="18" t="s">
        <v>31</v>
      </c>
      <c r="G7" s="14" t="s">
        <v>55</v>
      </c>
      <c r="H7" s="15"/>
      <c r="J7" s="16" t="n">
        <v>46310</v>
      </c>
      <c r="K7" s="17" t="n">
        <f aca="false">SUMIF($A$5:$A$53,J7,$D$5:$D$53)</f>
        <v>90</v>
      </c>
      <c r="L7" s="17" t="n">
        <f aca="false">IF(WEEKDAY(J7,2)&gt;=6,120,90)</f>
        <v>90</v>
      </c>
      <c r="M7" s="17" t="str">
        <f aca="false">IF(K7&gt;L7,"超過","OK")</f>
        <v>OK</v>
      </c>
    </row>
    <row r="8" customFormat="false" ht="15" hidden="false" customHeight="false" outlineLevel="0" collapsed="false">
      <c r="A8" s="10" t="n">
        <v>46308</v>
      </c>
      <c r="B8" s="11" t="str">
        <f aca="false">MID("日月火水木金土",WEEKDAY(A8),1)</f>
        <v>火</v>
      </c>
      <c r="C8" s="11"/>
      <c r="D8" s="11" t="n">
        <v>15</v>
      </c>
      <c r="E8" s="18" t="s">
        <v>60</v>
      </c>
      <c r="F8" s="18"/>
      <c r="G8" s="14" t="s">
        <v>55</v>
      </c>
      <c r="H8" s="15"/>
      <c r="J8" s="16" t="n">
        <v>46311</v>
      </c>
      <c r="K8" s="17" t="n">
        <f aca="false">SUMIF($A$5:$A$53,J8,$D$5:$D$53)</f>
        <v>90</v>
      </c>
      <c r="L8" s="17" t="n">
        <f aca="false">IF(WEEKDAY(J8,2)&gt;=6,120,90)</f>
        <v>90</v>
      </c>
      <c r="M8" s="17" t="str">
        <f aca="false">IF(K8&gt;L8,"超過","OK")</f>
        <v>OK</v>
      </c>
    </row>
    <row r="9" customFormat="false" ht="26.85" hidden="false" customHeight="false" outlineLevel="0" collapsed="false">
      <c r="A9" s="10" t="n">
        <v>46309</v>
      </c>
      <c r="B9" s="11" t="str">
        <f aca="false">MID("日月火水木金土",WEEKDAY(A9),1)</f>
        <v>水</v>
      </c>
      <c r="C9" s="19" t="s">
        <v>58</v>
      </c>
      <c r="D9" s="11" t="n">
        <v>15</v>
      </c>
      <c r="E9" s="18" t="s">
        <v>61</v>
      </c>
      <c r="F9" s="13" t="s">
        <v>62</v>
      </c>
      <c r="G9" s="14" t="s">
        <v>55</v>
      </c>
      <c r="H9" s="15"/>
      <c r="J9" s="16" t="n">
        <v>46312</v>
      </c>
      <c r="K9" s="17" t="n">
        <f aca="false">SUMIF($A$5:$A$53,J9,$D$5:$D$53)</f>
        <v>120</v>
      </c>
      <c r="L9" s="17" t="n">
        <f aca="false">IF(WEEKDAY(J9,2)&gt;=6,120,90)</f>
        <v>120</v>
      </c>
      <c r="M9" s="17" t="str">
        <f aca="false">IF(K9&gt;L9,"超過","OK")</f>
        <v>OK</v>
      </c>
    </row>
    <row r="10" customFormat="false" ht="26.85" hidden="false" customHeight="false" outlineLevel="0" collapsed="false">
      <c r="A10" s="10" t="n">
        <v>46309</v>
      </c>
      <c r="B10" s="11" t="str">
        <f aca="false">MID("日月火水木金土",WEEKDAY(A10),1)</f>
        <v>水</v>
      </c>
      <c r="C10" s="19" t="s">
        <v>58</v>
      </c>
      <c r="D10" s="11" t="n">
        <v>30</v>
      </c>
      <c r="E10" s="13" t="s">
        <v>63</v>
      </c>
      <c r="F10" s="18" t="s">
        <v>11</v>
      </c>
      <c r="G10" s="14" t="s">
        <v>55</v>
      </c>
      <c r="H10" s="15"/>
      <c r="J10" s="16" t="n">
        <v>46313</v>
      </c>
      <c r="K10" s="17" t="n">
        <f aca="false">SUMIF($A$5:$A$53,J10,$D$5:$D$53)</f>
        <v>120</v>
      </c>
      <c r="L10" s="17" t="n">
        <f aca="false">IF(WEEKDAY(J10,2)&gt;=6,120,90)</f>
        <v>120</v>
      </c>
      <c r="M10" s="17" t="str">
        <f aca="false">IF(K10&gt;L10,"超過","OK")</f>
        <v>OK</v>
      </c>
    </row>
    <row r="11" customFormat="false" ht="15" hidden="false" customHeight="false" outlineLevel="0" collapsed="false">
      <c r="A11" s="10" t="n">
        <v>46309</v>
      </c>
      <c r="B11" s="11" t="str">
        <f aca="false">MID("日月火水木金土",WEEKDAY(A11),1)</f>
        <v>水</v>
      </c>
      <c r="C11" s="19" t="s">
        <v>58</v>
      </c>
      <c r="D11" s="11" t="n">
        <v>20</v>
      </c>
      <c r="E11" s="13" t="s">
        <v>64</v>
      </c>
      <c r="F11" s="18" t="s">
        <v>11</v>
      </c>
      <c r="G11" s="14" t="s">
        <v>55</v>
      </c>
      <c r="H11" s="15"/>
      <c r="J11" s="16" t="n">
        <v>46314</v>
      </c>
      <c r="K11" s="17" t="n">
        <f aca="false">SUMIF($A$5:$A$53,J11,$D$5:$D$53)</f>
        <v>90</v>
      </c>
      <c r="L11" s="17" t="n">
        <f aca="false">IF(WEEKDAY(J11,2)&gt;=6,120,90)</f>
        <v>90</v>
      </c>
      <c r="M11" s="17" t="str">
        <f aca="false">IF(K11&gt;L11,"超過","OK")</f>
        <v>OK</v>
      </c>
    </row>
    <row r="12" customFormat="false" ht="15" hidden="false" customHeight="false" outlineLevel="0" collapsed="false">
      <c r="A12" s="10" t="n">
        <v>46309</v>
      </c>
      <c r="B12" s="11" t="str">
        <f aca="false">MID("日月火水木金土",WEEKDAY(A12),1)</f>
        <v>水</v>
      </c>
      <c r="C12" s="19" t="s">
        <v>58</v>
      </c>
      <c r="D12" s="11" t="n">
        <v>20</v>
      </c>
      <c r="E12" s="13" t="s">
        <v>65</v>
      </c>
      <c r="F12" s="18" t="s">
        <v>11</v>
      </c>
      <c r="G12" s="14" t="s">
        <v>55</v>
      </c>
      <c r="H12" s="15"/>
      <c r="J12" s="16" t="n">
        <v>46315</v>
      </c>
      <c r="K12" s="17" t="n">
        <f aca="false">SUMIF($A$5:$A$53,J12,$D$5:$D$53)</f>
        <v>90</v>
      </c>
      <c r="L12" s="17" t="n">
        <f aca="false">IF(WEEKDAY(J12,2)&gt;=6,120,90)</f>
        <v>90</v>
      </c>
      <c r="M12" s="17" t="str">
        <f aca="false">IF(K12&gt;L12,"超過","OK")</f>
        <v>OK</v>
      </c>
    </row>
    <row r="13" customFormat="false" ht="15" hidden="false" customHeight="false" outlineLevel="0" collapsed="false">
      <c r="A13" s="10" t="n">
        <v>46310</v>
      </c>
      <c r="B13" s="11" t="str">
        <f aca="false">MID("日月火水木金土",WEEKDAY(A13),1)</f>
        <v>木</v>
      </c>
      <c r="C13" s="19" t="s">
        <v>58</v>
      </c>
      <c r="D13" s="11" t="n">
        <v>20</v>
      </c>
      <c r="E13" s="13" t="s">
        <v>66</v>
      </c>
      <c r="F13" s="18" t="s">
        <v>11</v>
      </c>
      <c r="G13" s="14" t="s">
        <v>55</v>
      </c>
      <c r="H13" s="15"/>
      <c r="J13" s="16" t="n">
        <v>46316</v>
      </c>
      <c r="K13" s="17" t="n">
        <f aca="false">SUMIF($A$5:$A$53,J13,$D$5:$D$53)</f>
        <v>90</v>
      </c>
      <c r="L13" s="17" t="n">
        <f aca="false">IF(WEEKDAY(J13,2)&gt;=6,120,90)</f>
        <v>90</v>
      </c>
      <c r="M13" s="17" t="str">
        <f aca="false">IF(K13&gt;L13,"超過","OK")</f>
        <v>OK</v>
      </c>
    </row>
    <row r="14" customFormat="false" ht="15" hidden="false" customHeight="false" outlineLevel="0" collapsed="false">
      <c r="A14" s="10" t="n">
        <v>46310</v>
      </c>
      <c r="B14" s="11" t="str">
        <f aca="false">MID("日月火水木金土",WEEKDAY(A14),1)</f>
        <v>木</v>
      </c>
      <c r="C14" s="19" t="s">
        <v>58</v>
      </c>
      <c r="D14" s="11" t="n">
        <v>20</v>
      </c>
      <c r="E14" s="13" t="s">
        <v>67</v>
      </c>
      <c r="F14" s="18" t="s">
        <v>11</v>
      </c>
      <c r="G14" s="14" t="s">
        <v>55</v>
      </c>
      <c r="H14" s="15"/>
      <c r="J14" s="16" t="n">
        <v>46317</v>
      </c>
      <c r="K14" s="17" t="n">
        <f aca="false">SUMIF($A$5:$A$53,J14,$D$5:$D$53)</f>
        <v>90</v>
      </c>
      <c r="L14" s="17" t="n">
        <f aca="false">IF(WEEKDAY(J14,2)&gt;=6,120,90)</f>
        <v>90</v>
      </c>
      <c r="M14" s="17" t="str">
        <f aca="false">IF(K14&gt;L14,"超過","OK")</f>
        <v>OK</v>
      </c>
    </row>
    <row r="15" customFormat="false" ht="15" hidden="false" customHeight="false" outlineLevel="0" collapsed="false">
      <c r="A15" s="10" t="n">
        <v>46310</v>
      </c>
      <c r="B15" s="11" t="str">
        <f aca="false">MID("日月火水木金土",WEEKDAY(A15),1)</f>
        <v>木</v>
      </c>
      <c r="C15" s="19" t="s">
        <v>58</v>
      </c>
      <c r="D15" s="11" t="n">
        <v>20</v>
      </c>
      <c r="E15" s="13" t="s">
        <v>68</v>
      </c>
      <c r="F15" s="18" t="s">
        <v>11</v>
      </c>
      <c r="G15" s="14" t="s">
        <v>55</v>
      </c>
      <c r="H15" s="15"/>
      <c r="J15" s="16" t="n">
        <v>46318</v>
      </c>
      <c r="K15" s="17" t="n">
        <f aca="false">SUMIF($A$5:$A$53,J15,$D$5:$D$53)</f>
        <v>90</v>
      </c>
      <c r="L15" s="17" t="n">
        <f aca="false">IF(WEEKDAY(J15,2)&gt;=6,120,90)</f>
        <v>90</v>
      </c>
      <c r="M15" s="17" t="str">
        <f aca="false">IF(K15&gt;L15,"超過","OK")</f>
        <v>OK</v>
      </c>
    </row>
    <row r="16" customFormat="false" ht="15" hidden="false" customHeight="false" outlineLevel="0" collapsed="false">
      <c r="A16" s="10" t="n">
        <v>46310</v>
      </c>
      <c r="B16" s="11" t="str">
        <f aca="false">MID("日月火水木金土",WEEKDAY(A16),1)</f>
        <v>木</v>
      </c>
      <c r="C16" s="19" t="s">
        <v>58</v>
      </c>
      <c r="D16" s="11" t="n">
        <v>20</v>
      </c>
      <c r="E16" s="13" t="s">
        <v>69</v>
      </c>
      <c r="F16" s="18" t="s">
        <v>11</v>
      </c>
      <c r="G16" s="14" t="s">
        <v>55</v>
      </c>
      <c r="H16" s="15"/>
      <c r="J16" s="16" t="n">
        <v>46319</v>
      </c>
      <c r="K16" s="17" t="n">
        <f aca="false">SUMIF($A$5:$A$53,J16,$D$5:$D$53)</f>
        <v>120</v>
      </c>
      <c r="L16" s="17" t="n">
        <f aca="false">IF(WEEKDAY(J16,2)&gt;=6,120,90)</f>
        <v>120</v>
      </c>
      <c r="M16" s="17" t="str">
        <f aca="false">IF(K16&gt;L16,"超過","OK")</f>
        <v>OK</v>
      </c>
    </row>
    <row r="17" customFormat="false" ht="15" hidden="false" customHeight="false" outlineLevel="0" collapsed="false">
      <c r="A17" s="10" t="n">
        <v>46310</v>
      </c>
      <c r="B17" s="11" t="str">
        <f aca="false">MID("日月火水木金土",WEEKDAY(A17),1)</f>
        <v>木</v>
      </c>
      <c r="C17" s="11"/>
      <c r="D17" s="11" t="n">
        <v>10</v>
      </c>
      <c r="E17" s="18" t="s">
        <v>60</v>
      </c>
      <c r="F17" s="18"/>
      <c r="G17" s="14" t="s">
        <v>55</v>
      </c>
      <c r="H17" s="15"/>
      <c r="J17" s="16" t="n">
        <v>46320</v>
      </c>
      <c r="K17" s="17" t="n">
        <f aca="false">SUMIF($A$5:$A$53,J17,$D$5:$D$53)</f>
        <v>120</v>
      </c>
      <c r="L17" s="17" t="n">
        <f aca="false">IF(WEEKDAY(J17,2)&gt;=6,120,90)</f>
        <v>120</v>
      </c>
      <c r="M17" s="17" t="str">
        <f aca="false">IF(K17&gt;L17,"超過","OK")</f>
        <v>OK</v>
      </c>
    </row>
    <row r="18" customFormat="false" ht="15" hidden="false" customHeight="false" outlineLevel="0" collapsed="false">
      <c r="A18" s="10" t="n">
        <v>46311</v>
      </c>
      <c r="B18" s="11" t="str">
        <f aca="false">MID("日月火水木金土",WEEKDAY(A18),1)</f>
        <v>金</v>
      </c>
      <c r="C18" s="19" t="s">
        <v>58</v>
      </c>
      <c r="D18" s="11" t="n">
        <v>20</v>
      </c>
      <c r="E18" s="13" t="s">
        <v>70</v>
      </c>
      <c r="F18" s="18" t="s">
        <v>11</v>
      </c>
      <c r="G18" s="14" t="s">
        <v>55</v>
      </c>
      <c r="H18" s="15"/>
      <c r="J18" s="16" t="n">
        <v>46321</v>
      </c>
      <c r="K18" s="17" t="n">
        <f aca="false">SUMIF($A$5:$A$53,J18,$D$5:$D$53)</f>
        <v>90</v>
      </c>
      <c r="L18" s="17" t="n">
        <f aca="false">IF(WEEKDAY(J18,2)&gt;=6,120,90)</f>
        <v>90</v>
      </c>
      <c r="M18" s="17" t="str">
        <f aca="false">IF(K18&gt;L18,"超過","OK")</f>
        <v>OK</v>
      </c>
    </row>
    <row r="19" customFormat="false" ht="15" hidden="false" customHeight="false" outlineLevel="0" collapsed="false">
      <c r="A19" s="10" t="n">
        <v>46311</v>
      </c>
      <c r="B19" s="11" t="str">
        <f aca="false">MID("日月火水木金土",WEEKDAY(A19),1)</f>
        <v>金</v>
      </c>
      <c r="C19" s="19" t="s">
        <v>58</v>
      </c>
      <c r="D19" s="11" t="n">
        <v>15</v>
      </c>
      <c r="E19" s="13" t="s">
        <v>71</v>
      </c>
      <c r="F19" s="18" t="s">
        <v>11</v>
      </c>
      <c r="G19" s="14" t="s">
        <v>55</v>
      </c>
      <c r="H19" s="15"/>
      <c r="J19" s="16" t="n">
        <v>46322</v>
      </c>
      <c r="K19" s="17" t="n">
        <f aca="false">SUMIF($A$5:$A$53,J19,$D$5:$D$53)</f>
        <v>90</v>
      </c>
      <c r="L19" s="17" t="n">
        <f aca="false">IF(WEEKDAY(J19,2)&gt;=6,120,90)</f>
        <v>90</v>
      </c>
      <c r="M19" s="17" t="str">
        <f aca="false">IF(K19&gt;L19,"超過","OK")</f>
        <v>OK</v>
      </c>
    </row>
    <row r="20" customFormat="false" ht="26.85" hidden="false" customHeight="false" outlineLevel="0" collapsed="false">
      <c r="A20" s="10" t="n">
        <v>46311</v>
      </c>
      <c r="B20" s="11" t="str">
        <f aca="false">MID("日月火水木金土",WEEKDAY(A20),1)</f>
        <v>金</v>
      </c>
      <c r="C20" s="19" t="s">
        <v>58</v>
      </c>
      <c r="D20" s="11" t="n">
        <v>30</v>
      </c>
      <c r="E20" s="13" t="s">
        <v>72</v>
      </c>
      <c r="F20" s="18" t="s">
        <v>11</v>
      </c>
      <c r="G20" s="14" t="s">
        <v>55</v>
      </c>
      <c r="H20" s="15"/>
      <c r="J20" s="16" t="n">
        <v>46323</v>
      </c>
      <c r="K20" s="17" t="n">
        <f aca="false">SUMIF($A$5:$A$53,J20,$D$5:$D$53)</f>
        <v>90</v>
      </c>
      <c r="L20" s="17" t="n">
        <f aca="false">IF(WEEKDAY(J20,2)&gt;=6,120,90)</f>
        <v>90</v>
      </c>
      <c r="M20" s="17" t="str">
        <f aca="false">IF(K20&gt;L20,"超過","OK")</f>
        <v>OK</v>
      </c>
    </row>
    <row r="21" customFormat="false" ht="15" hidden="false" customHeight="false" outlineLevel="0" collapsed="false">
      <c r="A21" s="10" t="n">
        <v>46311</v>
      </c>
      <c r="B21" s="11" t="str">
        <f aca="false">MID("日月火水木金土",WEEKDAY(A21),1)</f>
        <v>金</v>
      </c>
      <c r="C21" s="19" t="s">
        <v>58</v>
      </c>
      <c r="D21" s="11" t="n">
        <v>25</v>
      </c>
      <c r="E21" s="13" t="s">
        <v>73</v>
      </c>
      <c r="F21" s="18" t="s">
        <v>11</v>
      </c>
      <c r="G21" s="14" t="s">
        <v>55</v>
      </c>
      <c r="H21" s="15"/>
      <c r="J21" s="16" t="n">
        <v>46327</v>
      </c>
      <c r="K21" s="17" t="n">
        <f aca="false">SUMIF($A$5:$A$53,J21,$D$5:$D$53)</f>
        <v>120</v>
      </c>
      <c r="L21" s="17" t="n">
        <f aca="false">IF(WEEKDAY(J21,2)&gt;=6,120,90)</f>
        <v>120</v>
      </c>
      <c r="M21" s="17" t="str">
        <f aca="false">IF(K21&gt;L21,"超過","OK")</f>
        <v>OK</v>
      </c>
    </row>
    <row r="22" customFormat="false" ht="26.1" hidden="false" customHeight="false" outlineLevel="0" collapsed="false">
      <c r="A22" s="10" t="n">
        <v>46312</v>
      </c>
      <c r="B22" s="11" t="str">
        <f aca="false">MID("日月火水木金土",WEEKDAY(A22),1)</f>
        <v>土</v>
      </c>
      <c r="C22" s="19" t="s">
        <v>58</v>
      </c>
      <c r="D22" s="11" t="n">
        <v>10</v>
      </c>
      <c r="E22" s="18" t="s">
        <v>74</v>
      </c>
      <c r="F22" s="13" t="s">
        <v>75</v>
      </c>
      <c r="G22" s="14" t="s">
        <v>55</v>
      </c>
      <c r="H22" s="15"/>
      <c r="J22" s="16" t="n">
        <v>46334</v>
      </c>
      <c r="K22" s="17" t="n">
        <f aca="false">SUMIF($A$5:$A$53,J22,$D$5:$D$53)</f>
        <v>15</v>
      </c>
      <c r="L22" s="17" t="n">
        <f aca="false">IF(WEEKDAY(J22,2)&gt;=6,120,90)</f>
        <v>120</v>
      </c>
      <c r="M22" s="17" t="str">
        <f aca="false">IF(K22&gt;L22,"超過","OK")</f>
        <v>OK</v>
      </c>
    </row>
    <row r="23" customFormat="false" ht="15" hidden="false" customHeight="false" outlineLevel="0" collapsed="false">
      <c r="A23" s="10" t="n">
        <v>46312</v>
      </c>
      <c r="B23" s="11" t="str">
        <f aca="false">MID("日月火水木金土",WEEKDAY(A23),1)</f>
        <v>土</v>
      </c>
      <c r="C23" s="19" t="s">
        <v>58</v>
      </c>
      <c r="D23" s="11" t="n">
        <v>5</v>
      </c>
      <c r="E23" s="18" t="s">
        <v>76</v>
      </c>
      <c r="F23" s="18"/>
      <c r="G23" s="14" t="s">
        <v>55</v>
      </c>
      <c r="H23" s="15"/>
      <c r="J23" s="16" t="n">
        <v>46341</v>
      </c>
      <c r="K23" s="17" t="n">
        <f aca="false">SUMIF($A$5:$A$53,J23,$D$5:$D$53)</f>
        <v>15</v>
      </c>
      <c r="L23" s="17" t="n">
        <f aca="false">IF(WEEKDAY(J23,2)&gt;=6,120,90)</f>
        <v>120</v>
      </c>
      <c r="M23" s="17" t="str">
        <f aca="false">IF(K23&gt;L23,"超過","OK")</f>
        <v>OK</v>
      </c>
    </row>
    <row r="24" customFormat="false" ht="26.85" hidden="false" customHeight="false" outlineLevel="0" collapsed="false">
      <c r="A24" s="10" t="n">
        <v>46312</v>
      </c>
      <c r="B24" s="11" t="str">
        <f aca="false">MID("日月火水木金土",WEEKDAY(A24),1)</f>
        <v>土</v>
      </c>
      <c r="C24" s="19" t="s">
        <v>58</v>
      </c>
      <c r="D24" s="11" t="n">
        <v>20</v>
      </c>
      <c r="E24" s="18" t="s">
        <v>77</v>
      </c>
      <c r="F24" s="18" t="s">
        <v>78</v>
      </c>
      <c r="G24" s="14" t="s">
        <v>55</v>
      </c>
      <c r="H24" s="15"/>
      <c r="J24" s="16" t="n">
        <v>46347</v>
      </c>
      <c r="K24" s="17" t="n">
        <f aca="false">SUMIF($A$5:$A$53,J24,$D$5:$D$53)</f>
        <v>60</v>
      </c>
      <c r="L24" s="17" t="n">
        <f aca="false">IF(WEEKDAY(J24,2)&gt;=6,120,90)</f>
        <v>120</v>
      </c>
      <c r="M24" s="17" t="str">
        <f aca="false">IF(K24&gt;L24,"超過","OK")</f>
        <v>OK</v>
      </c>
    </row>
    <row r="25" customFormat="false" ht="26.85" hidden="false" customHeight="false" outlineLevel="0" collapsed="false">
      <c r="A25" s="10" t="n">
        <v>46312</v>
      </c>
      <c r="B25" s="11" t="str">
        <f aca="false">MID("日月火水木金土",WEEKDAY(A25),1)</f>
        <v>土</v>
      </c>
      <c r="C25" s="19" t="s">
        <v>58</v>
      </c>
      <c r="D25" s="11" t="n">
        <v>60</v>
      </c>
      <c r="E25" s="18" t="s">
        <v>79</v>
      </c>
      <c r="F25" s="18" t="s">
        <v>57</v>
      </c>
      <c r="G25" s="14" t="s">
        <v>55</v>
      </c>
      <c r="H25" s="15"/>
      <c r="J25" s="16" t="n">
        <v>46348</v>
      </c>
      <c r="K25" s="17" t="n">
        <f aca="false">SUMIF($A$5:$A$53,J25,$D$5:$D$53)</f>
        <v>90</v>
      </c>
      <c r="L25" s="17" t="n">
        <f aca="false">IF(WEEKDAY(J25,2)&gt;=6,120,90)</f>
        <v>120</v>
      </c>
      <c r="M25" s="17" t="str">
        <f aca="false">IF(K25&gt;L25,"超過","OK")</f>
        <v>OK</v>
      </c>
    </row>
    <row r="26" customFormat="false" ht="26.85" hidden="false" customHeight="false" outlineLevel="0" collapsed="false">
      <c r="A26" s="10" t="n">
        <v>46312</v>
      </c>
      <c r="B26" s="11" t="str">
        <f aca="false">MID("日月火水木金土",WEEKDAY(A26),1)</f>
        <v>土</v>
      </c>
      <c r="C26" s="19" t="s">
        <v>58</v>
      </c>
      <c r="D26" s="11" t="n">
        <v>25</v>
      </c>
      <c r="E26" s="18" t="s">
        <v>80</v>
      </c>
      <c r="F26" s="18" t="s">
        <v>81</v>
      </c>
      <c r="G26" s="14" t="s">
        <v>55</v>
      </c>
      <c r="H26" s="15"/>
      <c r="J26" s="2" t="s">
        <v>82</v>
      </c>
    </row>
    <row r="27" customFormat="false" ht="26.85" hidden="false" customHeight="false" outlineLevel="0" collapsed="false">
      <c r="A27" s="10" t="n">
        <v>46313</v>
      </c>
      <c r="B27" s="11" t="str">
        <f aca="false">MID("日月火水木金土",WEEKDAY(A27),1)</f>
        <v>日</v>
      </c>
      <c r="C27" s="20" t="s">
        <v>83</v>
      </c>
      <c r="D27" s="11" t="n">
        <v>15</v>
      </c>
      <c r="E27" s="13" t="s">
        <v>84</v>
      </c>
      <c r="F27" s="18" t="s">
        <v>33</v>
      </c>
      <c r="G27" s="14" t="s">
        <v>55</v>
      </c>
      <c r="H27" s="15"/>
    </row>
    <row r="28" customFormat="false" ht="15" hidden="false" customHeight="false" outlineLevel="0" collapsed="false">
      <c r="A28" s="10" t="n">
        <v>46313</v>
      </c>
      <c r="B28" s="11" t="str">
        <f aca="false">MID("日月火水木金土",WEEKDAY(A28),1)</f>
        <v>日</v>
      </c>
      <c r="C28" s="20" t="s">
        <v>83</v>
      </c>
      <c r="D28" s="11" t="n">
        <v>30</v>
      </c>
      <c r="E28" s="13" t="s">
        <v>85</v>
      </c>
      <c r="F28" s="18" t="s">
        <v>78</v>
      </c>
      <c r="G28" s="14" t="s">
        <v>55</v>
      </c>
      <c r="H28" s="15"/>
    </row>
    <row r="29" customFormat="false" ht="15" hidden="false" customHeight="false" outlineLevel="0" collapsed="false">
      <c r="A29" s="10" t="n">
        <v>46313</v>
      </c>
      <c r="B29" s="11" t="str">
        <f aca="false">MID("日月火水木金土",WEEKDAY(A29),1)</f>
        <v>日</v>
      </c>
      <c r="C29" s="20" t="s">
        <v>83</v>
      </c>
      <c r="D29" s="11" t="n">
        <v>15</v>
      </c>
      <c r="E29" s="13" t="s">
        <v>86</v>
      </c>
      <c r="F29" s="18" t="s">
        <v>78</v>
      </c>
      <c r="G29" s="14" t="s">
        <v>55</v>
      </c>
      <c r="H29" s="15"/>
    </row>
    <row r="30" customFormat="false" ht="26.85" hidden="false" customHeight="false" outlineLevel="0" collapsed="false">
      <c r="A30" s="10" t="n">
        <v>46313</v>
      </c>
      <c r="B30" s="11" t="str">
        <f aca="false">MID("日月火水木金土",WEEKDAY(A30),1)</f>
        <v>日</v>
      </c>
      <c r="C30" s="20" t="s">
        <v>83</v>
      </c>
      <c r="D30" s="11" t="n">
        <v>10</v>
      </c>
      <c r="E30" s="13" t="s">
        <v>87</v>
      </c>
      <c r="F30" s="18" t="s">
        <v>35</v>
      </c>
      <c r="G30" s="14" t="s">
        <v>55</v>
      </c>
      <c r="H30" s="15"/>
    </row>
    <row r="31" customFormat="false" ht="15" hidden="false" customHeight="false" outlineLevel="0" collapsed="false">
      <c r="A31" s="10" t="n">
        <v>46313</v>
      </c>
      <c r="B31" s="11" t="str">
        <f aca="false">MID("日月火水木金土",WEEKDAY(A31),1)</f>
        <v>日</v>
      </c>
      <c r="C31" s="20" t="s">
        <v>83</v>
      </c>
      <c r="D31" s="11" t="n">
        <v>10</v>
      </c>
      <c r="E31" s="18" t="s">
        <v>88</v>
      </c>
      <c r="F31" s="18" t="s">
        <v>33</v>
      </c>
      <c r="G31" s="14" t="s">
        <v>55</v>
      </c>
      <c r="H31" s="15"/>
    </row>
    <row r="32" customFormat="false" ht="26.85" hidden="false" customHeight="false" outlineLevel="0" collapsed="false">
      <c r="A32" s="10" t="n">
        <v>46313</v>
      </c>
      <c r="B32" s="11" t="str">
        <f aca="false">MID("日月火水木金土",WEEKDAY(A32),1)</f>
        <v>日</v>
      </c>
      <c r="C32" s="20" t="s">
        <v>83</v>
      </c>
      <c r="D32" s="11" t="n">
        <v>40</v>
      </c>
      <c r="E32" s="18" t="s">
        <v>89</v>
      </c>
      <c r="F32" s="18"/>
      <c r="G32" s="14" t="s">
        <v>55</v>
      </c>
      <c r="H32" s="15"/>
    </row>
    <row r="33" customFormat="false" ht="15" hidden="false" customHeight="false" outlineLevel="0" collapsed="false">
      <c r="A33" s="10" t="n">
        <v>46314</v>
      </c>
      <c r="B33" s="11" t="str">
        <f aca="false">MID("日月火水木金土",WEEKDAY(A33),1)</f>
        <v>月</v>
      </c>
      <c r="C33" s="20" t="s">
        <v>83</v>
      </c>
      <c r="D33" s="11" t="n">
        <v>45</v>
      </c>
      <c r="E33" s="18" t="s">
        <v>90</v>
      </c>
      <c r="F33" s="18"/>
      <c r="G33" s="14" t="s">
        <v>55</v>
      </c>
      <c r="H33" s="15"/>
    </row>
    <row r="34" customFormat="false" ht="26.85" hidden="false" customHeight="false" outlineLevel="0" collapsed="false">
      <c r="A34" s="10" t="n">
        <v>46314</v>
      </c>
      <c r="B34" s="11" t="str">
        <f aca="false">MID("日月火水木金土",WEEKDAY(A34),1)</f>
        <v>月</v>
      </c>
      <c r="C34" s="20" t="s">
        <v>83</v>
      </c>
      <c r="D34" s="11" t="n">
        <v>45</v>
      </c>
      <c r="E34" s="18" t="s">
        <v>91</v>
      </c>
      <c r="F34" s="18" t="s">
        <v>25</v>
      </c>
      <c r="G34" s="14" t="s">
        <v>55</v>
      </c>
      <c r="H34" s="15"/>
    </row>
    <row r="35" customFormat="false" ht="26.85" hidden="false" customHeight="false" outlineLevel="0" collapsed="false">
      <c r="A35" s="10" t="n">
        <v>46315</v>
      </c>
      <c r="B35" s="11" t="str">
        <f aca="false">MID("日月火水木金土",WEEKDAY(A35),1)</f>
        <v>火</v>
      </c>
      <c r="C35" s="20" t="s">
        <v>83</v>
      </c>
      <c r="D35" s="11" t="n">
        <v>60</v>
      </c>
      <c r="E35" s="13" t="s">
        <v>92</v>
      </c>
      <c r="F35" s="18" t="s">
        <v>35</v>
      </c>
      <c r="G35" s="14" t="s">
        <v>55</v>
      </c>
      <c r="H35" s="15"/>
    </row>
    <row r="36" customFormat="false" ht="26.85" hidden="false" customHeight="false" outlineLevel="0" collapsed="false">
      <c r="A36" s="10" t="n">
        <v>46315</v>
      </c>
      <c r="B36" s="11" t="str">
        <f aca="false">MID("日月火水木金土",WEEKDAY(A36),1)</f>
        <v>火</v>
      </c>
      <c r="C36" s="20" t="s">
        <v>83</v>
      </c>
      <c r="D36" s="11" t="n">
        <v>30</v>
      </c>
      <c r="E36" s="18" t="s">
        <v>93</v>
      </c>
      <c r="F36" s="18" t="s">
        <v>35</v>
      </c>
      <c r="G36" s="14" t="s">
        <v>55</v>
      </c>
      <c r="H36" s="15"/>
    </row>
    <row r="37" customFormat="false" ht="26.85" hidden="false" customHeight="false" outlineLevel="0" collapsed="false">
      <c r="A37" s="10" t="n">
        <v>46316</v>
      </c>
      <c r="B37" s="11" t="str">
        <f aca="false">MID("日月火水木金土",WEEKDAY(A37),1)</f>
        <v>水</v>
      </c>
      <c r="C37" s="20" t="s">
        <v>94</v>
      </c>
      <c r="D37" s="11" t="n">
        <v>90</v>
      </c>
      <c r="E37" s="13" t="s">
        <v>95</v>
      </c>
      <c r="F37" s="18" t="s">
        <v>35</v>
      </c>
      <c r="G37" s="14" t="s">
        <v>55</v>
      </c>
      <c r="H37" s="15"/>
    </row>
    <row r="38" customFormat="false" ht="26.85" hidden="false" customHeight="false" outlineLevel="0" collapsed="false">
      <c r="A38" s="10" t="n">
        <v>46317</v>
      </c>
      <c r="B38" s="11" t="str">
        <f aca="false">MID("日月火水木金土",WEEKDAY(A38),1)</f>
        <v>木</v>
      </c>
      <c r="C38" s="20" t="s">
        <v>94</v>
      </c>
      <c r="D38" s="11" t="n">
        <v>90</v>
      </c>
      <c r="E38" s="13" t="s">
        <v>96</v>
      </c>
      <c r="F38" s="18" t="s">
        <v>35</v>
      </c>
      <c r="G38" s="14" t="s">
        <v>55</v>
      </c>
      <c r="H38" s="15"/>
    </row>
    <row r="39" customFormat="false" ht="26.85" hidden="false" customHeight="false" outlineLevel="0" collapsed="false">
      <c r="A39" s="10" t="n">
        <v>46318</v>
      </c>
      <c r="B39" s="11" t="str">
        <f aca="false">MID("日月火水木金土",WEEKDAY(A39),1)</f>
        <v>金</v>
      </c>
      <c r="C39" s="11"/>
      <c r="D39" s="11" t="n">
        <v>90</v>
      </c>
      <c r="E39" s="18" t="s">
        <v>97</v>
      </c>
      <c r="F39" s="18"/>
      <c r="G39" s="14" t="s">
        <v>55</v>
      </c>
      <c r="H39" s="15"/>
    </row>
    <row r="40" customFormat="false" ht="26.85" hidden="false" customHeight="false" outlineLevel="0" collapsed="false">
      <c r="A40" s="10" t="n">
        <v>46319</v>
      </c>
      <c r="B40" s="11" t="str">
        <f aca="false">MID("日月火水木金土",WEEKDAY(A40),1)</f>
        <v>土</v>
      </c>
      <c r="C40" s="20" t="s">
        <v>94</v>
      </c>
      <c r="D40" s="11" t="n">
        <v>120</v>
      </c>
      <c r="E40" s="13" t="s">
        <v>98</v>
      </c>
      <c r="F40" s="18" t="s">
        <v>35</v>
      </c>
      <c r="G40" s="14" t="s">
        <v>55</v>
      </c>
      <c r="H40" s="15"/>
    </row>
    <row r="41" customFormat="false" ht="26.85" hidden="false" customHeight="false" outlineLevel="0" collapsed="false">
      <c r="A41" s="10" t="n">
        <v>46320</v>
      </c>
      <c r="B41" s="11" t="str">
        <f aca="false">MID("日月火水木金土",WEEKDAY(A41),1)</f>
        <v>日</v>
      </c>
      <c r="C41" s="19" t="s">
        <v>58</v>
      </c>
      <c r="D41" s="11" t="n">
        <v>90</v>
      </c>
      <c r="E41" s="18" t="s">
        <v>99</v>
      </c>
      <c r="F41" s="18"/>
      <c r="G41" s="14" t="s">
        <v>55</v>
      </c>
      <c r="H41" s="15"/>
    </row>
    <row r="42" customFormat="false" ht="15" hidden="false" customHeight="false" outlineLevel="0" collapsed="false">
      <c r="A42" s="10" t="n">
        <v>46320</v>
      </c>
      <c r="B42" s="11" t="str">
        <f aca="false">MID("日月火水木金土",WEEKDAY(A42),1)</f>
        <v>日</v>
      </c>
      <c r="C42" s="19" t="s">
        <v>58</v>
      </c>
      <c r="D42" s="11" t="n">
        <v>30</v>
      </c>
      <c r="E42" s="18" t="s">
        <v>100</v>
      </c>
      <c r="F42" s="18" t="s">
        <v>31</v>
      </c>
      <c r="G42" s="14" t="s">
        <v>55</v>
      </c>
      <c r="H42" s="15"/>
    </row>
    <row r="43" customFormat="false" ht="15" hidden="false" customHeight="false" outlineLevel="0" collapsed="false">
      <c r="A43" s="10" t="n">
        <v>46321</v>
      </c>
      <c r="B43" s="11" t="str">
        <f aca="false">MID("日月火水木金土",WEEKDAY(A43),1)</f>
        <v>月</v>
      </c>
      <c r="C43" s="20" t="s">
        <v>94</v>
      </c>
      <c r="D43" s="11" t="n">
        <v>30</v>
      </c>
      <c r="E43" s="13" t="s">
        <v>101</v>
      </c>
      <c r="F43" s="18" t="s">
        <v>35</v>
      </c>
      <c r="G43" s="14" t="s">
        <v>55</v>
      </c>
      <c r="H43" s="15"/>
    </row>
    <row r="44" customFormat="false" ht="15" hidden="false" customHeight="false" outlineLevel="0" collapsed="false">
      <c r="A44" s="10" t="n">
        <v>46321</v>
      </c>
      <c r="B44" s="11" t="str">
        <f aca="false">MID("日月火水木金土",WEEKDAY(A44),1)</f>
        <v>月</v>
      </c>
      <c r="C44" s="20" t="s">
        <v>94</v>
      </c>
      <c r="D44" s="11" t="n">
        <v>60</v>
      </c>
      <c r="E44" s="18" t="s">
        <v>102</v>
      </c>
      <c r="F44" s="18" t="s">
        <v>35</v>
      </c>
      <c r="G44" s="14" t="s">
        <v>55</v>
      </c>
      <c r="H44" s="15"/>
    </row>
    <row r="45" customFormat="false" ht="15" hidden="false" customHeight="false" outlineLevel="0" collapsed="false">
      <c r="A45" s="10" t="n">
        <v>46322</v>
      </c>
      <c r="B45" s="11" t="str">
        <f aca="false">MID("日月火水木金土",WEEKDAY(A45),1)</f>
        <v>火</v>
      </c>
      <c r="C45" s="20" t="s">
        <v>94</v>
      </c>
      <c r="D45" s="11" t="n">
        <v>60</v>
      </c>
      <c r="E45" s="18" t="s">
        <v>103</v>
      </c>
      <c r="F45" s="18" t="s">
        <v>35</v>
      </c>
      <c r="G45" s="14" t="s">
        <v>55</v>
      </c>
      <c r="H45" s="15"/>
    </row>
    <row r="46" customFormat="false" ht="15" hidden="false" customHeight="false" outlineLevel="0" collapsed="false">
      <c r="A46" s="10" t="n">
        <v>46322</v>
      </c>
      <c r="B46" s="11" t="str">
        <f aca="false">MID("日月火水木金土",WEEKDAY(A46),1)</f>
        <v>火</v>
      </c>
      <c r="C46" s="11"/>
      <c r="D46" s="11" t="n">
        <v>30</v>
      </c>
      <c r="E46" s="18" t="s">
        <v>60</v>
      </c>
      <c r="F46" s="18"/>
      <c r="G46" s="14" t="s">
        <v>55</v>
      </c>
      <c r="H46" s="15"/>
    </row>
    <row r="47" customFormat="false" ht="15" hidden="false" customHeight="false" outlineLevel="0" collapsed="false">
      <c r="A47" s="10" t="n">
        <v>46323</v>
      </c>
      <c r="B47" s="11" t="str">
        <f aca="false">MID("日月火水木金土",WEEKDAY(A47),1)</f>
        <v>水</v>
      </c>
      <c r="C47" s="11"/>
      <c r="D47" s="11" t="n">
        <v>90</v>
      </c>
      <c r="E47" s="18" t="s">
        <v>104</v>
      </c>
      <c r="F47" s="18"/>
      <c r="G47" s="14" t="s">
        <v>55</v>
      </c>
      <c r="H47" s="15"/>
    </row>
    <row r="48" customFormat="false" ht="15" hidden="false" customHeight="false" outlineLevel="0" collapsed="false">
      <c r="A48" s="10" t="n">
        <v>46327</v>
      </c>
      <c r="B48" s="11" t="str">
        <f aca="false">MID("日月火水木金土",WEEKDAY(A48),1)</f>
        <v>日</v>
      </c>
      <c r="C48" s="19" t="s">
        <v>58</v>
      </c>
      <c r="D48" s="11" t="n">
        <v>30</v>
      </c>
      <c r="E48" s="18" t="s">
        <v>105</v>
      </c>
      <c r="F48" s="18" t="s">
        <v>31</v>
      </c>
      <c r="G48" s="14" t="s">
        <v>55</v>
      </c>
      <c r="H48" s="15"/>
    </row>
    <row r="49" customFormat="false" ht="15" hidden="false" customHeight="false" outlineLevel="0" collapsed="false">
      <c r="A49" s="10" t="n">
        <v>46327</v>
      </c>
      <c r="B49" s="11" t="str">
        <f aca="false">MID("日月火水木金土",WEEKDAY(A49),1)</f>
        <v>日</v>
      </c>
      <c r="C49" s="19" t="s">
        <v>58</v>
      </c>
      <c r="D49" s="11" t="n">
        <v>90</v>
      </c>
      <c r="E49" s="18" t="s">
        <v>106</v>
      </c>
      <c r="F49" s="18" t="s">
        <v>31</v>
      </c>
      <c r="G49" s="14" t="s">
        <v>55</v>
      </c>
      <c r="H49" s="15"/>
    </row>
    <row r="50" customFormat="false" ht="15" hidden="false" customHeight="false" outlineLevel="0" collapsed="false">
      <c r="A50" s="10" t="n">
        <v>46334</v>
      </c>
      <c r="B50" s="11" t="str">
        <f aca="false">MID("日月火水木金土",WEEKDAY(A50),1)</f>
        <v>日</v>
      </c>
      <c r="C50" s="19" t="s">
        <v>58</v>
      </c>
      <c r="D50" s="11" t="n">
        <v>15</v>
      </c>
      <c r="E50" s="18" t="s">
        <v>100</v>
      </c>
      <c r="F50" s="18" t="s">
        <v>31</v>
      </c>
      <c r="G50" s="14" t="s">
        <v>55</v>
      </c>
      <c r="H50" s="15"/>
    </row>
    <row r="51" customFormat="false" ht="15" hidden="false" customHeight="false" outlineLevel="0" collapsed="false">
      <c r="A51" s="10" t="n">
        <v>46341</v>
      </c>
      <c r="B51" s="11" t="str">
        <f aca="false">MID("日月火水木金土",WEEKDAY(A51),1)</f>
        <v>日</v>
      </c>
      <c r="C51" s="19" t="s">
        <v>58</v>
      </c>
      <c r="D51" s="11" t="n">
        <v>15</v>
      </c>
      <c r="E51" s="18" t="s">
        <v>100</v>
      </c>
      <c r="F51" s="18" t="s">
        <v>31</v>
      </c>
      <c r="G51" s="14" t="s">
        <v>55</v>
      </c>
      <c r="H51" s="15"/>
    </row>
    <row r="52" customFormat="false" ht="26.85" hidden="false" customHeight="false" outlineLevel="0" collapsed="false">
      <c r="A52" s="10" t="n">
        <v>46347</v>
      </c>
      <c r="B52" s="11" t="str">
        <f aca="false">MID("日月火水木金土",WEEKDAY(A52),1)</f>
        <v>土</v>
      </c>
      <c r="C52" s="19" t="s">
        <v>58</v>
      </c>
      <c r="D52" s="11" t="n">
        <v>60</v>
      </c>
      <c r="E52" s="18" t="s">
        <v>107</v>
      </c>
      <c r="F52" s="18" t="s">
        <v>31</v>
      </c>
      <c r="G52" s="14" t="s">
        <v>55</v>
      </c>
      <c r="H52" s="15"/>
    </row>
    <row r="53" customFormat="false" ht="26.85" hidden="false" customHeight="false" outlineLevel="0" collapsed="false">
      <c r="A53" s="10" t="n">
        <v>46348</v>
      </c>
      <c r="B53" s="11" t="str">
        <f aca="false">MID("日月火水木金土",WEEKDAY(A53),1)</f>
        <v>日</v>
      </c>
      <c r="C53" s="20" t="s">
        <v>83</v>
      </c>
      <c r="D53" s="11" t="n">
        <v>90</v>
      </c>
      <c r="E53" s="18" t="s">
        <v>108</v>
      </c>
      <c r="F53" s="18"/>
      <c r="G53" s="14" t="s">
        <v>55</v>
      </c>
      <c r="H53" s="15"/>
    </row>
  </sheetData>
  <conditionalFormatting sqref="A5:H53">
    <cfRule type="expression" priority="2" aboveAverage="0" equalAverage="0" bottom="0" percent="0" rank="0" text="" dxfId="0">
      <formula>$G5="済"</formula>
    </cfRule>
  </conditionalFormatting>
  <dataValidations count="1">
    <dataValidation allowBlank="true" errorStyle="stop" operator="between" showDropDown="false" showErrorMessage="false" showInputMessage="false" sqref="G5:G53" type="list">
      <formula1>"未着手,作業中,済,延期"</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9"/>
    <col collapsed="false" customWidth="true" hidden="false" outlineLevel="0" max="3" min="3" style="0" width="8"/>
    <col collapsed="false" customWidth="true" hidden="false" outlineLevel="0" max="4" min="4" style="0" width="46"/>
    <col collapsed="false" customWidth="true" hidden="false" outlineLevel="0" max="5" min="5" style="0" width="22"/>
    <col collapsed="false" customWidth="true" hidden="false" outlineLevel="0" max="6" min="6" style="0" width="14"/>
    <col collapsed="false" customWidth="true" hidden="false" outlineLevel="0" max="7" min="7" style="0" width="60"/>
    <col collapsed="false" customWidth="true" hidden="false" outlineLevel="0" max="8" min="8" style="0" width="8"/>
  </cols>
  <sheetData>
    <row r="1" customFormat="false" ht="19.4" hidden="false" customHeight="false" outlineLevel="0" collapsed="false">
      <c r="A1" s="1" t="s">
        <v>109</v>
      </c>
    </row>
    <row r="2" customFormat="false" ht="15" hidden="false" customHeight="false" outlineLevel="0" collapsed="false">
      <c r="A2" s="2" t="s">
        <v>110</v>
      </c>
    </row>
    <row r="4" customFormat="false" ht="26.85" hidden="false" customHeight="false" outlineLevel="0" collapsed="false">
      <c r="A4" s="9" t="s">
        <v>111</v>
      </c>
      <c r="B4" s="9" t="s">
        <v>112</v>
      </c>
      <c r="C4" s="9" t="s">
        <v>113</v>
      </c>
      <c r="D4" s="9" t="s">
        <v>114</v>
      </c>
      <c r="E4" s="9" t="s">
        <v>115</v>
      </c>
      <c r="F4" s="9" t="s">
        <v>116</v>
      </c>
      <c r="G4" s="9" t="s">
        <v>117</v>
      </c>
      <c r="H4" s="9" t="s">
        <v>118</v>
      </c>
    </row>
    <row r="5" customFormat="false" ht="26.1" hidden="false" customHeight="false" outlineLevel="0" collapsed="false">
      <c r="A5" s="13" t="s">
        <v>119</v>
      </c>
      <c r="B5" s="18" t="n">
        <v>680</v>
      </c>
      <c r="C5" s="21" t="s">
        <v>120</v>
      </c>
      <c r="D5" s="18" t="s">
        <v>121</v>
      </c>
      <c r="E5" s="18"/>
      <c r="F5" s="18"/>
      <c r="G5" s="18"/>
      <c r="H5" s="15"/>
    </row>
    <row r="6" customFormat="false" ht="52.2" hidden="false" customHeight="false" outlineLevel="0" collapsed="false">
      <c r="A6" s="13" t="s">
        <v>119</v>
      </c>
      <c r="B6" s="18" t="n">
        <v>680</v>
      </c>
      <c r="C6" s="22" t="s">
        <v>122</v>
      </c>
      <c r="D6" s="13" t="s">
        <v>123</v>
      </c>
      <c r="E6" s="13" t="s">
        <v>124</v>
      </c>
      <c r="F6" s="18" t="s">
        <v>125</v>
      </c>
      <c r="G6" s="13" t="s">
        <v>126</v>
      </c>
      <c r="H6" s="15"/>
    </row>
    <row r="7" customFormat="false" ht="39.55" hidden="false" customHeight="false" outlineLevel="0" collapsed="false">
      <c r="A7" s="13" t="s">
        <v>119</v>
      </c>
      <c r="B7" s="18" t="n">
        <v>680</v>
      </c>
      <c r="C7" s="22" t="s">
        <v>122</v>
      </c>
      <c r="D7" s="13" t="s">
        <v>127</v>
      </c>
      <c r="E7" s="13" t="s">
        <v>128</v>
      </c>
      <c r="F7" s="18" t="s">
        <v>129</v>
      </c>
      <c r="G7" s="18" t="s">
        <v>130</v>
      </c>
      <c r="H7" s="15"/>
    </row>
    <row r="8" customFormat="false" ht="52.2" hidden="false" customHeight="false" outlineLevel="0" collapsed="false">
      <c r="A8" s="13" t="s">
        <v>119</v>
      </c>
      <c r="B8" s="18" t="n">
        <v>680</v>
      </c>
      <c r="C8" s="22" t="s">
        <v>122</v>
      </c>
      <c r="D8" s="13" t="s">
        <v>131</v>
      </c>
      <c r="E8" s="13" t="s">
        <v>132</v>
      </c>
      <c r="F8" s="18" t="s">
        <v>133</v>
      </c>
      <c r="G8" s="18" t="s">
        <v>134</v>
      </c>
      <c r="H8" s="15"/>
    </row>
    <row r="9" customFormat="false" ht="15" hidden="false" customHeight="false" outlineLevel="0" collapsed="false">
      <c r="A9" s="13" t="s">
        <v>119</v>
      </c>
      <c r="B9" s="18" t="n">
        <v>680</v>
      </c>
      <c r="C9" s="21" t="s">
        <v>120</v>
      </c>
      <c r="D9" s="13" t="s">
        <v>135</v>
      </c>
      <c r="E9" s="18"/>
      <c r="F9" s="18"/>
      <c r="G9" s="18"/>
      <c r="H9" s="15"/>
    </row>
    <row r="10" customFormat="false" ht="26.85" hidden="false" customHeight="false" outlineLevel="0" collapsed="false">
      <c r="A10" s="13" t="s">
        <v>136</v>
      </c>
      <c r="B10" s="18" t="n">
        <v>290</v>
      </c>
      <c r="C10" s="22" t="s">
        <v>122</v>
      </c>
      <c r="D10" s="13" t="s">
        <v>137</v>
      </c>
      <c r="E10" s="18" t="s">
        <v>138</v>
      </c>
      <c r="F10" s="18" t="s">
        <v>139</v>
      </c>
      <c r="G10" s="13" t="s">
        <v>140</v>
      </c>
      <c r="H10" s="15"/>
    </row>
    <row r="11" customFormat="false" ht="26.85" hidden="false" customHeight="false" outlineLevel="0" collapsed="false">
      <c r="A11" s="13" t="s">
        <v>136</v>
      </c>
      <c r="B11" s="18" t="n">
        <v>290</v>
      </c>
      <c r="C11" s="22" t="s">
        <v>122</v>
      </c>
      <c r="D11" s="13" t="s">
        <v>141</v>
      </c>
      <c r="E11" s="18" t="s">
        <v>138</v>
      </c>
      <c r="F11" s="18" t="s">
        <v>129</v>
      </c>
      <c r="G11" s="18" t="s">
        <v>142</v>
      </c>
      <c r="H11" s="15"/>
    </row>
    <row r="12" customFormat="false" ht="26.85" hidden="false" customHeight="false" outlineLevel="0" collapsed="false">
      <c r="A12" s="13" t="s">
        <v>136</v>
      </c>
      <c r="B12" s="18" t="n">
        <v>290</v>
      </c>
      <c r="C12" s="11" t="s">
        <v>143</v>
      </c>
      <c r="D12" s="13" t="s">
        <v>144</v>
      </c>
      <c r="E12" s="18" t="s">
        <v>145</v>
      </c>
      <c r="F12" s="18" t="s">
        <v>146</v>
      </c>
      <c r="G12" s="18" t="s">
        <v>147</v>
      </c>
      <c r="H12" s="15"/>
    </row>
    <row r="13" customFormat="false" ht="15" hidden="false" customHeight="false" outlineLevel="0" collapsed="false">
      <c r="A13" s="13" t="s">
        <v>136</v>
      </c>
      <c r="B13" s="18" t="n">
        <v>290</v>
      </c>
      <c r="C13" s="21" t="s">
        <v>120</v>
      </c>
      <c r="D13" s="13" t="s">
        <v>135</v>
      </c>
      <c r="E13" s="18"/>
      <c r="F13" s="18"/>
      <c r="G13" s="18"/>
      <c r="H13" s="15"/>
    </row>
    <row r="14" customFormat="false" ht="15" hidden="false" customHeight="false" outlineLevel="0" collapsed="false">
      <c r="A14" s="13" t="s">
        <v>148</v>
      </c>
      <c r="B14" s="18" t="n">
        <v>180</v>
      </c>
      <c r="C14" s="21" t="s">
        <v>120</v>
      </c>
      <c r="D14" s="18" t="s">
        <v>149</v>
      </c>
      <c r="E14" s="18"/>
      <c r="F14" s="18"/>
      <c r="G14" s="18"/>
      <c r="H14" s="15"/>
    </row>
    <row r="15" customFormat="false" ht="26.85" hidden="false" customHeight="false" outlineLevel="0" collapsed="false">
      <c r="A15" s="13" t="s">
        <v>148</v>
      </c>
      <c r="B15" s="18" t="n">
        <v>180</v>
      </c>
      <c r="C15" s="11" t="s">
        <v>143</v>
      </c>
      <c r="D15" s="13" t="s">
        <v>150</v>
      </c>
      <c r="E15" s="18" t="s">
        <v>145</v>
      </c>
      <c r="F15" s="18" t="s">
        <v>146</v>
      </c>
      <c r="G15" s="13" t="s">
        <v>151</v>
      </c>
      <c r="H15" s="15"/>
    </row>
    <row r="16" customFormat="false" ht="26.85" hidden="false" customHeight="false" outlineLevel="0" collapsed="false">
      <c r="A16" s="13" t="s">
        <v>148</v>
      </c>
      <c r="B16" s="18" t="n">
        <v>180</v>
      </c>
      <c r="C16" s="22" t="s">
        <v>122</v>
      </c>
      <c r="D16" s="13" t="s">
        <v>152</v>
      </c>
      <c r="E16" s="18" t="s">
        <v>138</v>
      </c>
      <c r="F16" s="18" t="s">
        <v>139</v>
      </c>
      <c r="G16" s="13" t="s">
        <v>153</v>
      </c>
      <c r="H16" s="15"/>
    </row>
    <row r="17" customFormat="false" ht="15" hidden="false" customHeight="false" outlineLevel="0" collapsed="false">
      <c r="A17" s="13" t="s">
        <v>148</v>
      </c>
      <c r="B17" s="18" t="n">
        <v>180</v>
      </c>
      <c r="C17" s="21" t="s">
        <v>120</v>
      </c>
      <c r="D17" s="18" t="s">
        <v>154</v>
      </c>
      <c r="E17" s="18"/>
      <c r="F17" s="18"/>
      <c r="G17" s="18"/>
      <c r="H17" s="15"/>
    </row>
    <row r="18" customFormat="false" ht="26.85" hidden="false" customHeight="false" outlineLevel="0" collapsed="false">
      <c r="A18" s="13" t="s">
        <v>155</v>
      </c>
      <c r="B18" s="18" t="n">
        <v>170</v>
      </c>
      <c r="C18" s="21" t="s">
        <v>120</v>
      </c>
      <c r="D18" s="13" t="s">
        <v>156</v>
      </c>
      <c r="E18" s="18"/>
      <c r="F18" s="18"/>
      <c r="G18" s="18"/>
      <c r="H18" s="15"/>
    </row>
    <row r="19" customFormat="false" ht="52.2" hidden="false" customHeight="false" outlineLevel="0" collapsed="false">
      <c r="A19" s="13" t="s">
        <v>155</v>
      </c>
      <c r="B19" s="18" t="n">
        <v>170</v>
      </c>
      <c r="C19" s="22" t="s">
        <v>122</v>
      </c>
      <c r="D19" s="13" t="s">
        <v>157</v>
      </c>
      <c r="E19" s="13" t="s">
        <v>124</v>
      </c>
      <c r="F19" s="18" t="s">
        <v>125</v>
      </c>
      <c r="G19" s="13" t="s">
        <v>158</v>
      </c>
      <c r="H19" s="15"/>
    </row>
    <row r="20" customFormat="false" ht="15" hidden="false" customHeight="false" outlineLevel="0" collapsed="false">
      <c r="A20" s="13" t="s">
        <v>155</v>
      </c>
      <c r="B20" s="18" t="n">
        <v>170</v>
      </c>
      <c r="C20" s="21" t="s">
        <v>120</v>
      </c>
      <c r="D20" s="18" t="s">
        <v>159</v>
      </c>
      <c r="E20" s="18"/>
      <c r="F20" s="18"/>
      <c r="G20" s="18"/>
      <c r="H20" s="15"/>
    </row>
    <row r="21" customFormat="false" ht="26.85" hidden="false" customHeight="false" outlineLevel="0" collapsed="false">
      <c r="A21" s="13" t="s">
        <v>160</v>
      </c>
      <c r="B21" s="18" t="n">
        <v>100</v>
      </c>
      <c r="C21" s="21" t="s">
        <v>120</v>
      </c>
      <c r="D21" s="13" t="s">
        <v>161</v>
      </c>
      <c r="E21" s="18"/>
      <c r="F21" s="18"/>
      <c r="G21" s="18"/>
      <c r="H21" s="15"/>
    </row>
    <row r="22" customFormat="false" ht="26.85" hidden="false" customHeight="false" outlineLevel="0" collapsed="false">
      <c r="A22" s="13" t="s">
        <v>160</v>
      </c>
      <c r="B22" s="18" t="n">
        <v>100</v>
      </c>
      <c r="C22" s="22" t="s">
        <v>122</v>
      </c>
      <c r="D22" s="13" t="s">
        <v>162</v>
      </c>
      <c r="E22" s="18" t="s">
        <v>145</v>
      </c>
      <c r="F22" s="18" t="s">
        <v>146</v>
      </c>
      <c r="G22" s="18" t="s">
        <v>163</v>
      </c>
      <c r="H22" s="15"/>
    </row>
    <row r="23" customFormat="false" ht="15" hidden="false" customHeight="false" outlineLevel="0" collapsed="false">
      <c r="A23" s="13" t="s">
        <v>160</v>
      </c>
      <c r="B23" s="18" t="n">
        <v>100</v>
      </c>
      <c r="C23" s="21" t="s">
        <v>120</v>
      </c>
      <c r="D23" s="18" t="s">
        <v>164</v>
      </c>
      <c r="E23" s="18"/>
      <c r="F23" s="18"/>
      <c r="G23" s="18"/>
      <c r="H23" s="15"/>
    </row>
    <row r="24" customFormat="false" ht="26.1" hidden="false" customHeight="false" outlineLevel="0" collapsed="false">
      <c r="A24" s="13" t="s">
        <v>165</v>
      </c>
      <c r="B24" s="18" t="n">
        <v>90</v>
      </c>
      <c r="C24" s="21" t="s">
        <v>120</v>
      </c>
      <c r="D24" s="13" t="s">
        <v>166</v>
      </c>
      <c r="E24" s="18"/>
      <c r="F24" s="18"/>
      <c r="G24" s="18"/>
      <c r="H24" s="15"/>
    </row>
    <row r="25" customFormat="false" ht="26.85" hidden="false" customHeight="false" outlineLevel="0" collapsed="false">
      <c r="A25" s="13" t="s">
        <v>165</v>
      </c>
      <c r="B25" s="18" t="n">
        <v>90</v>
      </c>
      <c r="C25" s="22" t="s">
        <v>122</v>
      </c>
      <c r="D25" s="13" t="s">
        <v>167</v>
      </c>
      <c r="E25" s="18" t="s">
        <v>145</v>
      </c>
      <c r="F25" s="18" t="s">
        <v>146</v>
      </c>
      <c r="G25" s="13" t="s">
        <v>168</v>
      </c>
      <c r="H25" s="15"/>
    </row>
    <row r="26" customFormat="false" ht="26.85" hidden="false" customHeight="false" outlineLevel="0" collapsed="false">
      <c r="A26" s="13" t="s">
        <v>165</v>
      </c>
      <c r="B26" s="18" t="n">
        <v>90</v>
      </c>
      <c r="C26" s="22" t="s">
        <v>122</v>
      </c>
      <c r="D26" s="13" t="s">
        <v>169</v>
      </c>
      <c r="E26" s="18" t="s">
        <v>138</v>
      </c>
      <c r="F26" s="18" t="s">
        <v>139</v>
      </c>
      <c r="G26" s="18" t="s">
        <v>170</v>
      </c>
      <c r="H26" s="15"/>
    </row>
    <row r="27" customFormat="false" ht="15" hidden="false" customHeight="false" outlineLevel="0" collapsed="false">
      <c r="A27" s="13" t="s">
        <v>165</v>
      </c>
      <c r="B27" s="18" t="n">
        <v>90</v>
      </c>
      <c r="C27" s="21" t="s">
        <v>120</v>
      </c>
      <c r="D27" s="18" t="s">
        <v>164</v>
      </c>
      <c r="E27" s="18"/>
      <c r="F27" s="18"/>
      <c r="G27" s="18"/>
      <c r="H27" s="15"/>
    </row>
    <row r="28" customFormat="false" ht="15" hidden="false" customHeight="false" outlineLevel="0" collapsed="false">
      <c r="A28" s="13" t="s">
        <v>171</v>
      </c>
      <c r="B28" s="18" t="n">
        <v>80</v>
      </c>
      <c r="C28" s="21" t="s">
        <v>120</v>
      </c>
      <c r="D28" s="18" t="s">
        <v>172</v>
      </c>
      <c r="E28" s="18"/>
      <c r="F28" s="18"/>
      <c r="G28" s="18"/>
      <c r="H28" s="15"/>
    </row>
    <row r="29" customFormat="false" ht="39.55" hidden="false" customHeight="false" outlineLevel="0" collapsed="false">
      <c r="A29" s="13" t="s">
        <v>171</v>
      </c>
      <c r="B29" s="18" t="n">
        <v>80</v>
      </c>
      <c r="C29" s="22" t="s">
        <v>122</v>
      </c>
      <c r="D29" s="13" t="s">
        <v>173</v>
      </c>
      <c r="E29" s="18" t="s">
        <v>138</v>
      </c>
      <c r="F29" s="18" t="s">
        <v>139</v>
      </c>
      <c r="G29" s="18" t="s">
        <v>174</v>
      </c>
      <c r="H29" s="15"/>
    </row>
    <row r="30" customFormat="false" ht="26.85" hidden="false" customHeight="false" outlineLevel="0" collapsed="false">
      <c r="A30" s="13" t="s">
        <v>171</v>
      </c>
      <c r="B30" s="18" t="n">
        <v>80</v>
      </c>
      <c r="C30" s="11" t="s">
        <v>143</v>
      </c>
      <c r="D30" s="13" t="s">
        <v>175</v>
      </c>
      <c r="E30" s="18" t="s">
        <v>145</v>
      </c>
      <c r="F30" s="18" t="s">
        <v>146</v>
      </c>
      <c r="G30" s="18" t="s">
        <v>176</v>
      </c>
      <c r="H30" s="15"/>
    </row>
    <row r="31" customFormat="false" ht="15" hidden="false" customHeight="false" outlineLevel="0" collapsed="false">
      <c r="A31" s="13" t="s">
        <v>171</v>
      </c>
      <c r="B31" s="18" t="n">
        <v>80</v>
      </c>
      <c r="C31" s="21" t="s">
        <v>120</v>
      </c>
      <c r="D31" s="13" t="s">
        <v>135</v>
      </c>
      <c r="E31" s="18"/>
      <c r="F31" s="18"/>
      <c r="G31" s="18"/>
      <c r="H31" s="15"/>
    </row>
    <row r="32" customFormat="false" ht="15" hidden="false" customHeight="false" outlineLevel="0" collapsed="false">
      <c r="A32" s="13" t="s">
        <v>177</v>
      </c>
      <c r="B32" s="18" t="n">
        <v>80</v>
      </c>
      <c r="C32" s="21" t="s">
        <v>120</v>
      </c>
      <c r="D32" s="18" t="s">
        <v>149</v>
      </c>
      <c r="E32" s="18"/>
      <c r="F32" s="18"/>
      <c r="G32" s="18"/>
      <c r="H32" s="15"/>
    </row>
    <row r="33" customFormat="false" ht="39.55" hidden="false" customHeight="false" outlineLevel="0" collapsed="false">
      <c r="A33" s="13" t="s">
        <v>177</v>
      </c>
      <c r="B33" s="18" t="n">
        <v>80</v>
      </c>
      <c r="C33" s="22" t="s">
        <v>122</v>
      </c>
      <c r="D33" s="13" t="s">
        <v>178</v>
      </c>
      <c r="E33" s="13" t="s">
        <v>124</v>
      </c>
      <c r="F33" s="18" t="s">
        <v>125</v>
      </c>
      <c r="G33" s="13" t="s">
        <v>179</v>
      </c>
      <c r="H33" s="15"/>
    </row>
    <row r="34" customFormat="false" ht="15" hidden="false" customHeight="false" outlineLevel="0" collapsed="false">
      <c r="A34" s="13" t="s">
        <v>177</v>
      </c>
      <c r="B34" s="18" t="n">
        <v>80</v>
      </c>
      <c r="C34" s="21" t="s">
        <v>120</v>
      </c>
      <c r="D34" s="18" t="s">
        <v>180</v>
      </c>
      <c r="E34" s="18"/>
      <c r="F34" s="18"/>
      <c r="G34" s="18"/>
      <c r="H34" s="15"/>
    </row>
    <row r="35" customFormat="false" ht="26.85" hidden="false" customHeight="false" outlineLevel="0" collapsed="false">
      <c r="A35" s="13" t="s">
        <v>177</v>
      </c>
      <c r="B35" s="18" t="n">
        <v>80</v>
      </c>
      <c r="C35" s="22" t="s">
        <v>122</v>
      </c>
      <c r="D35" s="13" t="s">
        <v>181</v>
      </c>
      <c r="E35" s="18" t="s">
        <v>138</v>
      </c>
      <c r="F35" s="18" t="s">
        <v>139</v>
      </c>
      <c r="G35" s="13" t="s">
        <v>182</v>
      </c>
      <c r="H35" s="15"/>
    </row>
    <row r="36" customFormat="false" ht="26.85" hidden="false" customHeight="false" outlineLevel="0" collapsed="false">
      <c r="A36" s="13" t="s">
        <v>183</v>
      </c>
      <c r="B36" s="18" t="n">
        <v>70</v>
      </c>
      <c r="C36" s="11" t="s">
        <v>143</v>
      </c>
      <c r="D36" s="13" t="s">
        <v>184</v>
      </c>
      <c r="E36" s="18" t="s">
        <v>145</v>
      </c>
      <c r="F36" s="18" t="s">
        <v>146</v>
      </c>
      <c r="G36" s="18" t="s">
        <v>185</v>
      </c>
      <c r="H36" s="15"/>
    </row>
    <row r="37" customFormat="false" ht="15" hidden="false" customHeight="false" outlineLevel="0" collapsed="false">
      <c r="A37" s="13" t="s">
        <v>183</v>
      </c>
      <c r="B37" s="18" t="n">
        <v>70</v>
      </c>
      <c r="C37" s="21" t="s">
        <v>120</v>
      </c>
      <c r="D37" s="18" t="s">
        <v>164</v>
      </c>
      <c r="E37" s="18"/>
      <c r="F37" s="18"/>
      <c r="G37" s="18"/>
      <c r="H37" s="15"/>
    </row>
    <row r="38" customFormat="false" ht="15" hidden="false" customHeight="false" outlineLevel="0" collapsed="false">
      <c r="A38" s="13" t="s">
        <v>186</v>
      </c>
      <c r="B38" s="18" t="n">
        <v>60</v>
      </c>
      <c r="C38" s="21" t="s">
        <v>120</v>
      </c>
      <c r="D38" s="18" t="s">
        <v>187</v>
      </c>
      <c r="E38" s="18"/>
      <c r="F38" s="18"/>
      <c r="G38" s="18"/>
      <c r="H38" s="15"/>
    </row>
    <row r="39" customFormat="false" ht="39.55" hidden="false" customHeight="false" outlineLevel="0" collapsed="false">
      <c r="A39" s="13" t="s">
        <v>186</v>
      </c>
      <c r="B39" s="18" t="n">
        <v>60</v>
      </c>
      <c r="C39" s="21" t="s">
        <v>120</v>
      </c>
      <c r="D39" s="13" t="s">
        <v>188</v>
      </c>
      <c r="E39" s="18"/>
      <c r="F39" s="18"/>
      <c r="G39" s="18"/>
      <c r="H39" s="15"/>
    </row>
    <row r="40" customFormat="false" ht="26.85" hidden="false" customHeight="false" outlineLevel="0" collapsed="false">
      <c r="A40" s="13" t="s">
        <v>186</v>
      </c>
      <c r="B40" s="18" t="n">
        <v>60</v>
      </c>
      <c r="C40" s="21" t="s">
        <v>120</v>
      </c>
      <c r="D40" s="18" t="s">
        <v>189</v>
      </c>
      <c r="E40" s="18"/>
      <c r="F40" s="18"/>
      <c r="G40" s="18"/>
      <c r="H40" s="15"/>
    </row>
    <row r="41" customFormat="false" ht="15" hidden="false" customHeight="false" outlineLevel="0" collapsed="false">
      <c r="A41" s="13" t="s">
        <v>186</v>
      </c>
      <c r="B41" s="18" t="n">
        <v>60</v>
      </c>
      <c r="C41" s="22" t="s">
        <v>122</v>
      </c>
      <c r="D41" s="13" t="s">
        <v>190</v>
      </c>
      <c r="E41" s="18" t="s">
        <v>138</v>
      </c>
      <c r="F41" s="18" t="s">
        <v>139</v>
      </c>
      <c r="G41" s="18" t="s">
        <v>191</v>
      </c>
      <c r="H41" s="15"/>
    </row>
    <row r="42" customFormat="false" ht="26.85" hidden="false" customHeight="false" outlineLevel="0" collapsed="false">
      <c r="A42" s="13" t="s">
        <v>186</v>
      </c>
      <c r="B42" s="18" t="n">
        <v>60</v>
      </c>
      <c r="C42" s="22" t="s">
        <v>122</v>
      </c>
      <c r="D42" s="13" t="s">
        <v>192</v>
      </c>
      <c r="E42" s="18" t="s">
        <v>138</v>
      </c>
      <c r="F42" s="18" t="s">
        <v>139</v>
      </c>
      <c r="G42" s="18" t="s">
        <v>193</v>
      </c>
      <c r="H42" s="15"/>
    </row>
    <row r="43" customFormat="false" ht="39.55" hidden="false" customHeight="false" outlineLevel="0" collapsed="false">
      <c r="A43" s="13" t="s">
        <v>186</v>
      </c>
      <c r="B43" s="18" t="n">
        <v>60</v>
      </c>
      <c r="C43" s="22" t="s">
        <v>122</v>
      </c>
      <c r="D43" s="13" t="s">
        <v>194</v>
      </c>
      <c r="E43" s="18" t="s">
        <v>195</v>
      </c>
      <c r="F43" s="18" t="s">
        <v>196</v>
      </c>
      <c r="G43" s="18" t="s">
        <v>197</v>
      </c>
      <c r="H43" s="15"/>
    </row>
    <row r="45" customFormat="false" ht="15" hidden="false" customHeight="false" outlineLevel="0" collapsed="false">
      <c r="A45" s="3" t="s">
        <v>198</v>
      </c>
    </row>
    <row r="46" customFormat="false" ht="15" hidden="false" customHeight="false" outlineLevel="0" collapsed="false">
      <c r="A46" s="9" t="s">
        <v>111</v>
      </c>
      <c r="B46" s="9" t="s">
        <v>199</v>
      </c>
      <c r="C46" s="9" t="s">
        <v>200</v>
      </c>
      <c r="D46" s="9" t="s">
        <v>201</v>
      </c>
      <c r="E46" s="9"/>
      <c r="F46" s="9"/>
      <c r="G46" s="9"/>
      <c r="H46" s="9"/>
    </row>
    <row r="47" customFormat="false" ht="15" hidden="false" customHeight="false" outlineLevel="0" collapsed="false">
      <c r="A47" s="13" t="s">
        <v>119</v>
      </c>
      <c r="B47" s="13" t="n">
        <v>3</v>
      </c>
      <c r="C47" s="13" t="n">
        <v>1</v>
      </c>
      <c r="D47" s="18" t="s">
        <v>202</v>
      </c>
      <c r="E47" s="18"/>
      <c r="F47" s="18"/>
      <c r="G47" s="18"/>
      <c r="H47" s="18"/>
    </row>
    <row r="48" customFormat="false" ht="15" hidden="false" customHeight="false" outlineLevel="0" collapsed="false">
      <c r="A48" s="13" t="s">
        <v>136</v>
      </c>
      <c r="B48" s="18" t="n">
        <v>1</v>
      </c>
      <c r="C48" s="18" t="n">
        <v>1</v>
      </c>
      <c r="D48" s="18" t="s">
        <v>203</v>
      </c>
      <c r="E48" s="18"/>
      <c r="F48" s="18"/>
      <c r="G48" s="18"/>
      <c r="H48" s="18"/>
    </row>
    <row r="49" customFormat="false" ht="15" hidden="false" customHeight="false" outlineLevel="0" collapsed="false">
      <c r="A49" s="13" t="s">
        <v>148</v>
      </c>
      <c r="B49" s="18" t="n">
        <v>3</v>
      </c>
      <c r="C49" s="18" t="n">
        <v>1</v>
      </c>
      <c r="D49" s="18" t="s">
        <v>204</v>
      </c>
      <c r="E49" s="18"/>
      <c r="F49" s="18"/>
      <c r="G49" s="18"/>
      <c r="H49" s="18"/>
    </row>
    <row r="50" customFormat="false" ht="15" hidden="false" customHeight="false" outlineLevel="0" collapsed="false">
      <c r="A50" s="13" t="s">
        <v>155</v>
      </c>
      <c r="B50" s="18" t="n">
        <v>2</v>
      </c>
      <c r="C50" s="18" t="n">
        <v>1</v>
      </c>
      <c r="D50" s="18" t="s">
        <v>125</v>
      </c>
      <c r="E50" s="18"/>
      <c r="F50" s="18"/>
      <c r="G50" s="18"/>
      <c r="H50" s="18"/>
    </row>
    <row r="51" customFormat="false" ht="15" hidden="false" customHeight="false" outlineLevel="0" collapsed="false">
      <c r="A51" s="13" t="s">
        <v>160</v>
      </c>
      <c r="B51" s="18" t="n">
        <v>2</v>
      </c>
      <c r="C51" s="18" t="n">
        <v>1</v>
      </c>
      <c r="D51" s="18" t="s">
        <v>205</v>
      </c>
      <c r="E51" s="18"/>
      <c r="F51" s="18"/>
      <c r="G51" s="18"/>
      <c r="H51" s="18"/>
    </row>
    <row r="52" customFormat="false" ht="15" hidden="false" customHeight="false" outlineLevel="0" collapsed="false">
      <c r="A52" s="13" t="s">
        <v>165</v>
      </c>
      <c r="B52" s="18" t="n">
        <v>2</v>
      </c>
      <c r="C52" s="18" t="n">
        <v>1</v>
      </c>
      <c r="D52" s="18" t="s">
        <v>204</v>
      </c>
      <c r="E52" s="18"/>
      <c r="F52" s="18"/>
      <c r="G52" s="18"/>
      <c r="H52" s="18"/>
    </row>
    <row r="53" customFormat="false" ht="15" hidden="false" customHeight="false" outlineLevel="0" collapsed="false">
      <c r="A53" s="13" t="s">
        <v>171</v>
      </c>
      <c r="B53" s="18" t="n">
        <v>2</v>
      </c>
      <c r="C53" s="18" t="n">
        <v>1</v>
      </c>
      <c r="D53" s="18" t="s">
        <v>204</v>
      </c>
      <c r="E53" s="18"/>
      <c r="F53" s="18"/>
      <c r="G53" s="18"/>
      <c r="H53" s="18"/>
    </row>
    <row r="54" customFormat="false" ht="15" hidden="false" customHeight="false" outlineLevel="0" collapsed="false">
      <c r="A54" s="13" t="s">
        <v>177</v>
      </c>
      <c r="B54" s="18" t="n">
        <v>2</v>
      </c>
      <c r="C54" s="18" t="n">
        <v>1</v>
      </c>
      <c r="D54" s="18" t="s">
        <v>206</v>
      </c>
      <c r="E54" s="18"/>
      <c r="F54" s="18"/>
      <c r="G54" s="18"/>
      <c r="H54" s="18"/>
    </row>
    <row r="55" customFormat="false" ht="15" hidden="false" customHeight="false" outlineLevel="0" collapsed="false">
      <c r="A55" s="13" t="s">
        <v>183</v>
      </c>
      <c r="B55" s="18" t="n">
        <v>2</v>
      </c>
      <c r="C55" s="18" t="n">
        <v>1</v>
      </c>
      <c r="D55" s="18" t="s">
        <v>205</v>
      </c>
      <c r="E55" s="18"/>
      <c r="F55" s="18"/>
      <c r="G55" s="18"/>
      <c r="H55" s="18"/>
    </row>
    <row r="56" customFormat="false" ht="15" hidden="false" customHeight="false" outlineLevel="0" collapsed="false">
      <c r="A56" s="13" t="s">
        <v>186</v>
      </c>
      <c r="B56" s="18" t="n">
        <v>3</v>
      </c>
      <c r="C56" s="18" t="n">
        <v>1</v>
      </c>
      <c r="D56" s="18" t="s">
        <v>207</v>
      </c>
      <c r="E56" s="18"/>
      <c r="F56" s="18"/>
      <c r="G56" s="18"/>
      <c r="H56" s="18"/>
    </row>
    <row r="57" customFormat="false" ht="15" hidden="false" customHeight="false" outlineLevel="0" collapsed="false">
      <c r="A57" s="23" t="s">
        <v>208</v>
      </c>
      <c r="B57" s="23" t="n">
        <f aca="false">SUM(B47:B56)</f>
        <v>22</v>
      </c>
      <c r="C57" s="23" t="n">
        <f aca="false">SUM(C47:C56)</f>
        <v>10</v>
      </c>
      <c r="D57" s="23"/>
      <c r="E57" s="23"/>
      <c r="F57" s="23"/>
      <c r="G57" s="23"/>
      <c r="H57" s="23"/>
    </row>
  </sheetData>
  <conditionalFormatting sqref="A5:H43">
    <cfRule type="expression" priority="2" aboveAverage="0" equalAverage="0" bottom="0" percent="0" rank="0" text="" dxfId="1">
      <formula>$H5="済"</formula>
    </cfRule>
  </conditionalFormatting>
  <dataValidations count="1">
    <dataValidation allowBlank="true" errorStyle="stop" operator="between" showDropDown="false" showErrorMessage="false" showInputMessage="false" sqref="H5:H43" type="list">
      <formula1>"済"</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60"/>
  </cols>
  <sheetData>
    <row r="1" customFormat="false" ht="19.4" hidden="false" customHeight="false" outlineLevel="0" collapsed="false">
      <c r="A1" s="1" t="s">
        <v>209</v>
      </c>
    </row>
    <row r="2" customFormat="false" ht="15" hidden="false" customHeight="false" outlineLevel="0" collapsed="false">
      <c r="A2" s="24" t="s">
        <v>210</v>
      </c>
    </row>
    <row r="4" customFormat="false" ht="15" hidden="false" customHeight="false" outlineLevel="0" collapsed="false">
      <c r="A4" s="25" t="s">
        <v>211</v>
      </c>
      <c r="B4" s="25" t="s">
        <v>212</v>
      </c>
    </row>
    <row r="5" customFormat="false" ht="15" hidden="false" customHeight="false" outlineLevel="0" collapsed="false">
      <c r="A5" s="2" t="n">
        <v>1</v>
      </c>
      <c r="B5" s="26" t="s">
        <v>213</v>
      </c>
    </row>
    <row r="6" customFormat="false" ht="15" hidden="false" customHeight="false" outlineLevel="0" collapsed="false">
      <c r="A6" s="2" t="n">
        <v>2</v>
      </c>
      <c r="B6" s="26" t="s">
        <v>214</v>
      </c>
    </row>
    <row r="7" customFormat="false" ht="13.4" hidden="false" customHeight="false" outlineLevel="0" collapsed="false">
      <c r="A7" s="2" t="n">
        <v>3</v>
      </c>
      <c r="B7" s="26" t="s">
        <v>215</v>
      </c>
    </row>
    <row r="8" customFormat="false" ht="15" hidden="false" customHeight="false" outlineLevel="0" collapsed="false">
      <c r="A8" s="2" t="n">
        <v>4</v>
      </c>
      <c r="B8" s="26" t="s">
        <v>216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60"/>
  </cols>
  <sheetData>
    <row r="1" customFormat="false" ht="19.4" hidden="false" customHeight="false" outlineLevel="0" collapsed="false">
      <c r="A1" s="1" t="s">
        <v>217</v>
      </c>
    </row>
    <row r="2" customFormat="false" ht="15" hidden="false" customHeight="false" outlineLevel="0" collapsed="false">
      <c r="A2" s="24" t="s">
        <v>218</v>
      </c>
    </row>
    <row r="4" customFormat="false" ht="15" hidden="false" customHeight="false" outlineLevel="0" collapsed="false">
      <c r="A4" s="25" t="s">
        <v>211</v>
      </c>
      <c r="B4" s="25" t="s">
        <v>219</v>
      </c>
    </row>
    <row r="5" customFormat="false" ht="15" hidden="false" customHeight="false" outlineLevel="0" collapsed="false">
      <c r="A5" s="2" t="n">
        <v>1</v>
      </c>
      <c r="B5" s="26" t="s">
        <v>213</v>
      </c>
    </row>
    <row r="6" customFormat="false" ht="15" hidden="false" customHeight="false" outlineLevel="0" collapsed="false">
      <c r="A6" s="2" t="n">
        <v>2</v>
      </c>
      <c r="B6" s="26" t="s">
        <v>220</v>
      </c>
    </row>
    <row r="7" customFormat="false" ht="15" hidden="false" customHeight="false" outlineLevel="0" collapsed="false">
      <c r="A7" s="2" t="n">
        <v>3</v>
      </c>
      <c r="B7" s="26" t="s">
        <v>221</v>
      </c>
    </row>
    <row r="8" customFormat="false" ht="15" hidden="false" customHeight="false" outlineLevel="0" collapsed="false">
      <c r="A8" s="2" t="n">
        <v>4</v>
      </c>
      <c r="B8" s="26" t="s">
        <v>222</v>
      </c>
    </row>
    <row r="9" customFormat="false" ht="15" hidden="false" customHeight="false" outlineLevel="0" collapsed="false">
      <c r="A9" s="2" t="n">
        <v>5</v>
      </c>
      <c r="B9" s="26" t="s">
        <v>223</v>
      </c>
    </row>
    <row r="10" customFormat="false" ht="15" hidden="false" customHeight="false" outlineLevel="0" collapsed="false">
      <c r="A10" s="2" t="n">
        <v>6</v>
      </c>
      <c r="B10" s="26" t="s">
        <v>224</v>
      </c>
    </row>
    <row r="11" customFormat="false" ht="15" hidden="false" customHeight="false" outlineLevel="0" collapsed="false">
      <c r="A11" s="2" t="n">
        <v>7</v>
      </c>
      <c r="B11" s="26" t="s">
        <v>225</v>
      </c>
    </row>
    <row r="12" customFormat="false" ht="15" hidden="false" customHeight="false" outlineLevel="0" collapsed="false">
      <c r="A12" s="2" t="n">
        <v>8</v>
      </c>
      <c r="B12" s="26" t="s">
        <v>226</v>
      </c>
    </row>
    <row r="13" customFormat="false" ht="15" hidden="false" customHeight="false" outlineLevel="0" collapsed="false">
      <c r="A13" s="2" t="n">
        <v>9</v>
      </c>
      <c r="B13" s="26" t="s">
        <v>227</v>
      </c>
    </row>
    <row r="14" customFormat="false" ht="15" hidden="false" customHeight="false" outlineLevel="0" collapsed="false">
      <c r="A14" s="2" t="n">
        <v>10</v>
      </c>
      <c r="B14" s="26" t="s">
        <v>228</v>
      </c>
    </row>
    <row r="15" customFormat="false" ht="15" hidden="false" customHeight="false" outlineLevel="0" collapsed="false">
      <c r="A15" s="2" t="n">
        <v>11</v>
      </c>
      <c r="B15" s="26" t="s">
        <v>229</v>
      </c>
    </row>
    <row r="16" customFormat="false" ht="15" hidden="false" customHeight="false" outlineLevel="0" collapsed="false">
      <c r="A16" s="2" t="n">
        <v>12</v>
      </c>
      <c r="B16" s="26" t="s">
        <v>230</v>
      </c>
    </row>
    <row r="17" customFormat="false" ht="15" hidden="false" customHeight="false" outlineLevel="0" collapsed="false">
      <c r="A17" s="2" t="n">
        <v>13</v>
      </c>
      <c r="B17" s="26" t="s">
        <v>231</v>
      </c>
    </row>
    <row r="18" customFormat="false" ht="15" hidden="false" customHeight="false" outlineLevel="0" collapsed="false">
      <c r="A18" s="2" t="n">
        <v>14</v>
      </c>
      <c r="B18" s="26" t="s">
        <v>232</v>
      </c>
    </row>
    <row r="19" customFormat="false" ht="15" hidden="false" customHeight="false" outlineLevel="0" collapsed="false">
      <c r="A19" s="2" t="n">
        <v>15</v>
      </c>
      <c r="B19" s="26" t="s">
        <v>233</v>
      </c>
    </row>
    <row r="20" customFormat="false" ht="15" hidden="false" customHeight="false" outlineLevel="0" collapsed="false">
      <c r="A20" s="2" t="n">
        <v>16</v>
      </c>
      <c r="B20" s="26" t="s">
        <v>234</v>
      </c>
    </row>
    <row r="21" customFormat="false" ht="15" hidden="false" customHeight="false" outlineLevel="0" collapsed="false">
      <c r="A21" s="2" t="n">
        <v>17</v>
      </c>
      <c r="B21" s="26" t="s">
        <v>235</v>
      </c>
    </row>
    <row r="22" customFormat="false" ht="15" hidden="false" customHeight="false" outlineLevel="0" collapsed="false">
      <c r="A22" s="2" t="n">
        <v>18</v>
      </c>
      <c r="B22" s="26" t="s">
        <v>236</v>
      </c>
    </row>
    <row r="23" customFormat="false" ht="15" hidden="false" customHeight="false" outlineLevel="0" collapsed="false">
      <c r="A23" s="2" t="n">
        <v>19</v>
      </c>
      <c r="B23" s="26" t="s">
        <v>237</v>
      </c>
    </row>
    <row r="24" customFormat="false" ht="15" hidden="false" customHeight="false" outlineLevel="0" collapsed="false">
      <c r="A24" s="2" t="n">
        <v>20</v>
      </c>
      <c r="B24" s="26" t="s">
        <v>238</v>
      </c>
    </row>
    <row r="25" customFormat="false" ht="15" hidden="false" customHeight="false" outlineLevel="0" collapsed="false">
      <c r="A25" s="2" t="n">
        <v>21</v>
      </c>
      <c r="B25" s="26" t="s">
        <v>239</v>
      </c>
    </row>
    <row r="26" customFormat="false" ht="15" hidden="false" customHeight="false" outlineLevel="0" collapsed="false">
      <c r="A26" s="2" t="n">
        <v>22</v>
      </c>
      <c r="B26" s="26" t="s">
        <v>240</v>
      </c>
    </row>
    <row r="27" customFormat="false" ht="15" hidden="false" customHeight="false" outlineLevel="0" collapsed="false">
      <c r="A27" s="2" t="n">
        <v>23</v>
      </c>
      <c r="B27" s="26" t="s">
        <v>241</v>
      </c>
    </row>
    <row r="28" customFormat="false" ht="15" hidden="false" customHeight="false" outlineLevel="0" collapsed="false">
      <c r="A28" s="2" t="n">
        <v>24</v>
      </c>
      <c r="B28" s="26" t="s">
        <v>242</v>
      </c>
    </row>
    <row r="29" customFormat="false" ht="15" hidden="false" customHeight="false" outlineLevel="0" collapsed="false">
      <c r="A29" s="2" t="n">
        <v>25</v>
      </c>
      <c r="B29" s="26" t="s">
        <v>243</v>
      </c>
    </row>
    <row r="30" customFormat="false" ht="15" hidden="false" customHeight="false" outlineLevel="0" collapsed="false">
      <c r="A30" s="2" t="n">
        <v>26</v>
      </c>
      <c r="B30" s="26" t="s">
        <v>244</v>
      </c>
    </row>
    <row r="31" customFormat="false" ht="15" hidden="false" customHeight="false" outlineLevel="0" collapsed="false">
      <c r="A31" s="2" t="n">
        <v>27</v>
      </c>
      <c r="B31" s="26" t="s">
        <v>245</v>
      </c>
    </row>
    <row r="32" customFormat="false" ht="15" hidden="false" customHeight="false" outlineLevel="0" collapsed="false">
      <c r="A32" s="2" t="n">
        <v>28</v>
      </c>
      <c r="B32" s="26" t="s">
        <v>246</v>
      </c>
    </row>
    <row r="33" customFormat="false" ht="15" hidden="false" customHeight="false" outlineLevel="0" collapsed="false">
      <c r="A33" s="2" t="n">
        <v>29</v>
      </c>
      <c r="B33" s="26" t="s">
        <v>247</v>
      </c>
    </row>
    <row r="34" customFormat="false" ht="15" hidden="false" customHeight="false" outlineLevel="0" collapsed="false">
      <c r="A34" s="2" t="n">
        <v>30</v>
      </c>
      <c r="B34" s="26" t="s">
        <v>248</v>
      </c>
    </row>
    <row r="35" customFormat="false" ht="15" hidden="false" customHeight="false" outlineLevel="0" collapsed="false">
      <c r="A35" s="2" t="n">
        <v>31</v>
      </c>
      <c r="B35" s="26" t="s">
        <v>249</v>
      </c>
    </row>
    <row r="36" customFormat="false" ht="15" hidden="false" customHeight="false" outlineLevel="0" collapsed="false">
      <c r="A36" s="2" t="n">
        <v>32</v>
      </c>
      <c r="B36" s="26" t="s">
        <v>250</v>
      </c>
    </row>
    <row r="37" customFormat="false" ht="15" hidden="false" customHeight="false" outlineLevel="0" collapsed="false">
      <c r="A37" s="2" t="n">
        <v>33</v>
      </c>
      <c r="B37" s="26" t="s">
        <v>251</v>
      </c>
    </row>
    <row r="38" customFormat="false" ht="15" hidden="false" customHeight="false" outlineLevel="0" collapsed="false">
      <c r="A38" s="2" t="n">
        <v>34</v>
      </c>
      <c r="B38" s="26" t="s">
        <v>252</v>
      </c>
    </row>
    <row r="39" customFormat="false" ht="15" hidden="false" customHeight="false" outlineLevel="0" collapsed="false">
      <c r="A39" s="2" t="n">
        <v>35</v>
      </c>
      <c r="B39" s="26" t="s">
        <v>253</v>
      </c>
    </row>
    <row r="40" customFormat="false" ht="15" hidden="false" customHeight="false" outlineLevel="0" collapsed="false">
      <c r="A40" s="2" t="n">
        <v>36</v>
      </c>
      <c r="B40" s="26" t="s">
        <v>254</v>
      </c>
    </row>
    <row r="41" customFormat="false" ht="15" hidden="false" customHeight="false" outlineLevel="0" collapsed="false">
      <c r="A41" s="2" t="n">
        <v>37</v>
      </c>
      <c r="B41" s="26" t="s">
        <v>255</v>
      </c>
    </row>
    <row r="42" customFormat="false" ht="15" hidden="false" customHeight="false" outlineLevel="0" collapsed="false">
      <c r="A42" s="2" t="n">
        <v>38</v>
      </c>
      <c r="B42" s="26" t="s">
        <v>256</v>
      </c>
    </row>
    <row r="43" customFormat="false" ht="15" hidden="false" customHeight="false" outlineLevel="0" collapsed="false">
      <c r="A43" s="2" t="n">
        <v>39</v>
      </c>
      <c r="B43" s="26" t="s">
        <v>257</v>
      </c>
    </row>
    <row r="44" customFormat="false" ht="15" hidden="false" customHeight="false" outlineLevel="0" collapsed="false">
      <c r="A44" s="2" t="n">
        <v>40</v>
      </c>
      <c r="B44" s="26" t="s">
        <v>258</v>
      </c>
    </row>
    <row r="45" customFormat="false" ht="15" hidden="false" customHeight="false" outlineLevel="0" collapsed="false">
      <c r="A45" s="2" t="n">
        <v>41</v>
      </c>
      <c r="B45" s="26" t="s">
        <v>259</v>
      </c>
    </row>
    <row r="46" customFormat="false" ht="15" hidden="false" customHeight="false" outlineLevel="0" collapsed="false">
      <c r="A46" s="2" t="n">
        <v>42</v>
      </c>
      <c r="B46" s="26"/>
    </row>
    <row r="47" customFormat="false" ht="15" hidden="false" customHeight="false" outlineLevel="0" collapsed="false">
      <c r="A47" s="2" t="n">
        <v>43</v>
      </c>
      <c r="B47" s="26" t="s">
        <v>260</v>
      </c>
    </row>
    <row r="48" customFormat="false" ht="15" hidden="false" customHeight="false" outlineLevel="0" collapsed="false">
      <c r="A48" s="2" t="n">
        <v>44</v>
      </c>
      <c r="B48" s="26" t="s">
        <v>261</v>
      </c>
    </row>
    <row r="49" customFormat="false" ht="15" hidden="false" customHeight="false" outlineLevel="0" collapsed="false">
      <c r="A49" s="2" t="n">
        <v>45</v>
      </c>
      <c r="B49" s="26" t="s">
        <v>262</v>
      </c>
    </row>
    <row r="50" customFormat="false" ht="15" hidden="false" customHeight="false" outlineLevel="0" collapsed="false">
      <c r="A50" s="2" t="n">
        <v>46</v>
      </c>
      <c r="B50" s="26" t="s">
        <v>263</v>
      </c>
    </row>
    <row r="51" customFormat="false" ht="15" hidden="false" customHeight="false" outlineLevel="0" collapsed="false">
      <c r="A51" s="2" t="n">
        <v>47</v>
      </c>
      <c r="B51" s="26" t="s">
        <v>264</v>
      </c>
    </row>
    <row r="52" customFormat="false" ht="15" hidden="false" customHeight="false" outlineLevel="0" collapsed="false">
      <c r="A52" s="2" t="n">
        <v>48</v>
      </c>
      <c r="B52" s="26" t="s">
        <v>265</v>
      </c>
    </row>
    <row r="53" customFormat="false" ht="15" hidden="false" customHeight="false" outlineLevel="0" collapsed="false">
      <c r="A53" s="2" t="n">
        <v>49</v>
      </c>
      <c r="B53" s="26" t="s">
        <v>266</v>
      </c>
    </row>
    <row r="54" customFormat="false" ht="15" hidden="false" customHeight="false" outlineLevel="0" collapsed="false">
      <c r="A54" s="2" t="n">
        <v>50</v>
      </c>
      <c r="B54" s="26" t="s">
        <v>267</v>
      </c>
    </row>
    <row r="55" customFormat="false" ht="15" hidden="false" customHeight="false" outlineLevel="0" collapsed="false">
      <c r="A55" s="2" t="n">
        <v>51</v>
      </c>
      <c r="B55" s="26" t="s">
        <v>268</v>
      </c>
    </row>
    <row r="56" customFormat="false" ht="15" hidden="false" customHeight="false" outlineLevel="0" collapsed="false">
      <c r="A56" s="2" t="n">
        <v>52</v>
      </c>
      <c r="B56" s="26" t="s">
        <v>269</v>
      </c>
    </row>
    <row r="57" customFormat="false" ht="15" hidden="false" customHeight="false" outlineLevel="0" collapsed="false">
      <c r="A57" s="2" t="n">
        <v>53</v>
      </c>
      <c r="B57" s="26" t="s">
        <v>270</v>
      </c>
    </row>
    <row r="58" customFormat="false" ht="15" hidden="false" customHeight="false" outlineLevel="0" collapsed="false">
      <c r="A58" s="2" t="n">
        <v>54</v>
      </c>
      <c r="B58" s="26" t="s">
        <v>271</v>
      </c>
    </row>
    <row r="59" customFormat="false" ht="15" hidden="false" customHeight="false" outlineLevel="0" collapsed="false">
      <c r="A59" s="2" t="n">
        <v>55</v>
      </c>
      <c r="B59" s="26" t="s">
        <v>272</v>
      </c>
    </row>
    <row r="60" customFormat="false" ht="15" hidden="false" customHeight="false" outlineLevel="0" collapsed="false">
      <c r="A60" s="2" t="n">
        <v>56</v>
      </c>
      <c r="B60" s="26" t="s">
        <v>273</v>
      </c>
    </row>
    <row r="61" customFormat="false" ht="15" hidden="false" customHeight="false" outlineLevel="0" collapsed="false">
      <c r="A61" s="2" t="n">
        <v>57</v>
      </c>
      <c r="B61" s="26" t="s">
        <v>274</v>
      </c>
    </row>
    <row r="62" customFormat="false" ht="15" hidden="false" customHeight="false" outlineLevel="0" collapsed="false">
      <c r="A62" s="2" t="n">
        <v>58</v>
      </c>
      <c r="B62" s="26" t="s">
        <v>275</v>
      </c>
    </row>
    <row r="63" customFormat="false" ht="15" hidden="false" customHeight="false" outlineLevel="0" collapsed="false">
      <c r="A63" s="2" t="n">
        <v>59</v>
      </c>
      <c r="B63" s="26" t="s">
        <v>276</v>
      </c>
    </row>
    <row r="64" customFormat="false" ht="15" hidden="false" customHeight="false" outlineLevel="0" collapsed="false">
      <c r="A64" s="2" t="n">
        <v>60</v>
      </c>
      <c r="B64" s="27" t="s">
        <v>277</v>
      </c>
    </row>
    <row r="65" customFormat="false" ht="15" hidden="false" customHeight="false" outlineLevel="0" collapsed="false">
      <c r="A65" s="2" t="n">
        <v>61</v>
      </c>
      <c r="B65" s="27" t="s">
        <v>278</v>
      </c>
    </row>
    <row r="66" customFormat="false" ht="15" hidden="false" customHeight="false" outlineLevel="0" collapsed="false">
      <c r="A66" s="2" t="n">
        <v>62</v>
      </c>
      <c r="B66" s="27" t="s">
        <v>279</v>
      </c>
    </row>
    <row r="67" customFormat="false" ht="15" hidden="false" customHeight="false" outlineLevel="0" collapsed="false">
      <c r="A67" s="2" t="n">
        <v>63</v>
      </c>
      <c r="B67" s="26" t="s">
        <v>272</v>
      </c>
    </row>
    <row r="68" customFormat="false" ht="15" hidden="false" customHeight="false" outlineLevel="0" collapsed="false">
      <c r="A68" s="2" t="n">
        <v>64</v>
      </c>
      <c r="B68" s="26" t="s">
        <v>280</v>
      </c>
    </row>
    <row r="69" customFormat="false" ht="15" hidden="false" customHeight="false" outlineLevel="0" collapsed="false">
      <c r="A69" s="2" t="n">
        <v>65</v>
      </c>
      <c r="B69" s="26" t="s">
        <v>281</v>
      </c>
    </row>
    <row r="70" customFormat="false" ht="15" hidden="false" customHeight="false" outlineLevel="0" collapsed="false">
      <c r="A70" s="2" t="n">
        <v>66</v>
      </c>
      <c r="B70" s="26" t="s">
        <v>282</v>
      </c>
    </row>
    <row r="71" customFormat="false" ht="15" hidden="false" customHeight="false" outlineLevel="0" collapsed="false">
      <c r="A71" s="2" t="n">
        <v>67</v>
      </c>
      <c r="B71" s="26" t="s">
        <v>272</v>
      </c>
    </row>
    <row r="72" customFormat="false" ht="15" hidden="false" customHeight="false" outlineLevel="0" collapsed="false">
      <c r="A72" s="2" t="n">
        <v>68</v>
      </c>
      <c r="B72" s="26" t="s">
        <v>283</v>
      </c>
    </row>
    <row r="73" customFormat="false" ht="15" hidden="false" customHeight="false" outlineLevel="0" collapsed="false">
      <c r="A73" s="2" t="n">
        <v>69</v>
      </c>
      <c r="B73" s="26" t="s">
        <v>284</v>
      </c>
    </row>
    <row r="74" customFormat="false" ht="15" hidden="false" customHeight="false" outlineLevel="0" collapsed="false">
      <c r="A74" s="2" t="n">
        <v>70</v>
      </c>
      <c r="B74" s="26" t="s">
        <v>267</v>
      </c>
    </row>
    <row r="75" customFormat="false" ht="15" hidden="false" customHeight="false" outlineLevel="0" collapsed="false">
      <c r="A75" s="2" t="n">
        <v>71</v>
      </c>
      <c r="B75" s="26" t="s">
        <v>285</v>
      </c>
    </row>
    <row r="76" customFormat="false" ht="15" hidden="false" customHeight="false" outlineLevel="0" collapsed="false">
      <c r="A76" s="2" t="n">
        <v>72</v>
      </c>
      <c r="B76" s="26" t="s">
        <v>286</v>
      </c>
    </row>
    <row r="77" customFormat="false" ht="15" hidden="false" customHeight="false" outlineLevel="0" collapsed="false">
      <c r="A77" s="2" t="n">
        <v>73</v>
      </c>
      <c r="B77" s="26" t="s">
        <v>287</v>
      </c>
    </row>
    <row r="78" customFormat="false" ht="15" hidden="false" customHeight="false" outlineLevel="0" collapsed="false">
      <c r="A78" s="2" t="n">
        <v>74</v>
      </c>
      <c r="B78" s="26" t="s">
        <v>271</v>
      </c>
    </row>
    <row r="79" customFormat="false" ht="15" hidden="false" customHeight="false" outlineLevel="0" collapsed="false">
      <c r="A79" s="2" t="n">
        <v>75</v>
      </c>
      <c r="B79" s="26" t="s">
        <v>272</v>
      </c>
    </row>
    <row r="80" customFormat="false" ht="15" hidden="false" customHeight="false" outlineLevel="0" collapsed="false">
      <c r="A80" s="2" t="n">
        <v>76</v>
      </c>
      <c r="B80" s="26" t="s">
        <v>288</v>
      </c>
    </row>
    <row r="81" customFormat="false" ht="15" hidden="false" customHeight="false" outlineLevel="0" collapsed="false">
      <c r="A81" s="2" t="n">
        <v>77</v>
      </c>
      <c r="B81" s="26" t="s">
        <v>274</v>
      </c>
    </row>
    <row r="82" customFormat="false" ht="15" hidden="false" customHeight="false" outlineLevel="0" collapsed="false">
      <c r="A82" s="2" t="n">
        <v>78</v>
      </c>
      <c r="B82" s="26" t="s">
        <v>289</v>
      </c>
    </row>
    <row r="83" customFormat="false" ht="15" hidden="false" customHeight="false" outlineLevel="0" collapsed="false">
      <c r="A83" s="2" t="n">
        <v>79</v>
      </c>
      <c r="B83" s="26" t="s">
        <v>290</v>
      </c>
    </row>
    <row r="84" customFormat="false" ht="15" hidden="false" customHeight="false" outlineLevel="0" collapsed="false">
      <c r="A84" s="2" t="n">
        <v>80</v>
      </c>
      <c r="B84" s="27" t="s">
        <v>291</v>
      </c>
    </row>
    <row r="85" customFormat="false" ht="15" hidden="false" customHeight="false" outlineLevel="0" collapsed="false">
      <c r="A85" s="2" t="n">
        <v>81</v>
      </c>
      <c r="B85" s="27" t="s">
        <v>292</v>
      </c>
    </row>
    <row r="86" customFormat="false" ht="15" hidden="false" customHeight="false" outlineLevel="0" collapsed="false">
      <c r="A86" s="2" t="n">
        <v>82</v>
      </c>
      <c r="B86" s="26" t="s">
        <v>293</v>
      </c>
    </row>
    <row r="87" customFormat="false" ht="15" hidden="false" customHeight="false" outlineLevel="0" collapsed="false">
      <c r="A87" s="2" t="n">
        <v>83</v>
      </c>
      <c r="B87" s="26" t="s">
        <v>272</v>
      </c>
    </row>
    <row r="88" customFormat="false" ht="15" hidden="false" customHeight="false" outlineLevel="0" collapsed="false">
      <c r="A88" s="2" t="n">
        <v>84</v>
      </c>
      <c r="B88" s="26" t="s">
        <v>280</v>
      </c>
    </row>
    <row r="89" customFormat="false" ht="15" hidden="false" customHeight="false" outlineLevel="0" collapsed="false">
      <c r="A89" s="2" t="n">
        <v>85</v>
      </c>
      <c r="B89" s="26" t="s">
        <v>294</v>
      </c>
    </row>
    <row r="90" customFormat="false" ht="15" hidden="false" customHeight="false" outlineLevel="0" collapsed="false">
      <c r="A90" s="2" t="n">
        <v>86</v>
      </c>
      <c r="B90" s="26" t="s">
        <v>295</v>
      </c>
    </row>
    <row r="91" customFormat="false" ht="15" hidden="false" customHeight="false" outlineLevel="0" collapsed="false">
      <c r="A91" s="2" t="n">
        <v>87</v>
      </c>
      <c r="B91" s="26" t="s">
        <v>272</v>
      </c>
    </row>
    <row r="92" customFormat="false" ht="15" hidden="false" customHeight="false" outlineLevel="0" collapsed="false">
      <c r="A92" s="2" t="n">
        <v>88</v>
      </c>
      <c r="B92" s="26" t="s">
        <v>283</v>
      </c>
    </row>
    <row r="93" customFormat="false" ht="15" hidden="false" customHeight="false" outlineLevel="0" collapsed="false">
      <c r="A93" s="2" t="n">
        <v>89</v>
      </c>
      <c r="B93" s="26" t="s">
        <v>296</v>
      </c>
    </row>
    <row r="94" customFormat="false" ht="15" hidden="false" customHeight="false" outlineLevel="0" collapsed="false">
      <c r="A94" s="2" t="n">
        <v>90</v>
      </c>
      <c r="B94" s="26" t="s">
        <v>297</v>
      </c>
    </row>
    <row r="95" customFormat="false" ht="15" hidden="false" customHeight="false" outlineLevel="0" collapsed="false">
      <c r="A95" s="2" t="n">
        <v>91</v>
      </c>
      <c r="B95" s="26" t="s">
        <v>298</v>
      </c>
    </row>
    <row r="96" customFormat="false" ht="15" hidden="false" customHeight="false" outlineLevel="0" collapsed="false">
      <c r="A96" s="2" t="n">
        <v>92</v>
      </c>
      <c r="B96" s="26" t="s">
        <v>216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60"/>
  </cols>
  <sheetData>
    <row r="1" customFormat="false" ht="19.4" hidden="false" customHeight="false" outlineLevel="0" collapsed="false">
      <c r="A1" s="8" t="s">
        <v>299</v>
      </c>
    </row>
    <row r="2" customFormat="false" ht="15" hidden="false" customHeight="false" outlineLevel="0" collapsed="false">
      <c r="A2" s="24" t="s">
        <v>300</v>
      </c>
    </row>
    <row r="4" customFormat="false" ht="15" hidden="false" customHeight="false" outlineLevel="0" collapsed="false">
      <c r="A4" s="25" t="s">
        <v>211</v>
      </c>
      <c r="B4" s="25" t="s">
        <v>219</v>
      </c>
    </row>
    <row r="5" customFormat="false" ht="15" hidden="false" customHeight="false" outlineLevel="0" collapsed="false">
      <c r="A5" s="2" t="n">
        <v>1</v>
      </c>
      <c r="B5" s="26" t="s">
        <v>213</v>
      </c>
    </row>
    <row r="6" customFormat="false" ht="15" hidden="false" customHeight="false" outlineLevel="0" collapsed="false">
      <c r="A6" s="2" t="n">
        <v>2</v>
      </c>
      <c r="B6" s="26" t="s">
        <v>301</v>
      </c>
    </row>
    <row r="7" customFormat="false" ht="15" hidden="false" customHeight="false" outlineLevel="0" collapsed="false">
      <c r="A7" s="2" t="n">
        <v>3</v>
      </c>
      <c r="B7" s="26" t="s">
        <v>221</v>
      </c>
    </row>
    <row r="8" customFormat="false" ht="15" hidden="false" customHeight="false" outlineLevel="0" collapsed="false">
      <c r="A8" s="2" t="n">
        <v>4</v>
      </c>
      <c r="B8" s="26" t="s">
        <v>302</v>
      </c>
    </row>
    <row r="9" customFormat="false" ht="15" hidden="false" customHeight="false" outlineLevel="0" collapsed="false">
      <c r="A9" s="2" t="n">
        <v>5</v>
      </c>
      <c r="B9" s="26" t="s">
        <v>222</v>
      </c>
    </row>
    <row r="10" customFormat="false" ht="15" hidden="false" customHeight="false" outlineLevel="0" collapsed="false">
      <c r="A10" s="2" t="n">
        <v>6</v>
      </c>
      <c r="B10" s="26" t="s">
        <v>223</v>
      </c>
    </row>
    <row r="11" customFormat="false" ht="15" hidden="false" customHeight="false" outlineLevel="0" collapsed="false">
      <c r="A11" s="2" t="n">
        <v>7</v>
      </c>
      <c r="B11" s="26" t="s">
        <v>224</v>
      </c>
    </row>
    <row r="12" customFormat="false" ht="15" hidden="false" customHeight="false" outlineLevel="0" collapsed="false">
      <c r="A12" s="2" t="n">
        <v>8</v>
      </c>
      <c r="B12" s="26" t="s">
        <v>225</v>
      </c>
    </row>
    <row r="13" customFormat="false" ht="15" hidden="false" customHeight="false" outlineLevel="0" collapsed="false">
      <c r="A13" s="2" t="n">
        <v>9</v>
      </c>
      <c r="B13" s="26" t="s">
        <v>226</v>
      </c>
    </row>
    <row r="14" customFormat="false" ht="15" hidden="false" customHeight="false" outlineLevel="0" collapsed="false">
      <c r="A14" s="2" t="n">
        <v>10</v>
      </c>
      <c r="B14" s="26" t="s">
        <v>227</v>
      </c>
    </row>
    <row r="15" customFormat="false" ht="15" hidden="false" customHeight="false" outlineLevel="0" collapsed="false">
      <c r="A15" s="2" t="n">
        <v>11</v>
      </c>
      <c r="B15" s="26" t="s">
        <v>228</v>
      </c>
    </row>
    <row r="16" customFormat="false" ht="15" hidden="false" customHeight="false" outlineLevel="0" collapsed="false">
      <c r="A16" s="2" t="n">
        <v>12</v>
      </c>
      <c r="B16" s="26" t="s">
        <v>229</v>
      </c>
    </row>
    <row r="17" customFormat="false" ht="15" hidden="false" customHeight="false" outlineLevel="0" collapsed="false">
      <c r="A17" s="2" t="n">
        <v>13</v>
      </c>
      <c r="B17" s="26" t="s">
        <v>230</v>
      </c>
    </row>
    <row r="18" customFormat="false" ht="15" hidden="false" customHeight="false" outlineLevel="0" collapsed="false">
      <c r="A18" s="2" t="n">
        <v>14</v>
      </c>
      <c r="B18" s="26" t="s">
        <v>231</v>
      </c>
    </row>
    <row r="19" customFormat="false" ht="15" hidden="false" customHeight="false" outlineLevel="0" collapsed="false">
      <c r="A19" s="2" t="n">
        <v>15</v>
      </c>
      <c r="B19" s="26" t="s">
        <v>232</v>
      </c>
    </row>
    <row r="20" customFormat="false" ht="15" hidden="false" customHeight="false" outlineLevel="0" collapsed="false">
      <c r="A20" s="2" t="n">
        <v>16</v>
      </c>
      <c r="B20" s="26" t="s">
        <v>233</v>
      </c>
    </row>
    <row r="21" customFormat="false" ht="15" hidden="false" customHeight="false" outlineLevel="0" collapsed="false">
      <c r="A21" s="2" t="n">
        <v>17</v>
      </c>
      <c r="B21" s="26" t="s">
        <v>234</v>
      </c>
    </row>
    <row r="22" customFormat="false" ht="15" hidden="false" customHeight="false" outlineLevel="0" collapsed="false">
      <c r="A22" s="2" t="n">
        <v>18</v>
      </c>
      <c r="B22" s="26" t="s">
        <v>235</v>
      </c>
    </row>
    <row r="23" customFormat="false" ht="15" hidden="false" customHeight="false" outlineLevel="0" collapsed="false">
      <c r="A23" s="2" t="n">
        <v>19</v>
      </c>
      <c r="B23" s="26" t="s">
        <v>236</v>
      </c>
    </row>
    <row r="24" customFormat="false" ht="15" hidden="false" customHeight="false" outlineLevel="0" collapsed="false">
      <c r="A24" s="2" t="n">
        <v>20</v>
      </c>
      <c r="B24" s="26" t="s">
        <v>237</v>
      </c>
    </row>
    <row r="25" customFormat="false" ht="15" hidden="false" customHeight="false" outlineLevel="0" collapsed="false">
      <c r="A25" s="2" t="n">
        <v>21</v>
      </c>
      <c r="B25" s="26" t="s">
        <v>238</v>
      </c>
    </row>
    <row r="26" customFormat="false" ht="15" hidden="false" customHeight="false" outlineLevel="0" collapsed="false">
      <c r="A26" s="2" t="n">
        <v>22</v>
      </c>
      <c r="B26" s="26" t="s">
        <v>239</v>
      </c>
    </row>
    <row r="27" customFormat="false" ht="15" hidden="false" customHeight="false" outlineLevel="0" collapsed="false">
      <c r="A27" s="2" t="n">
        <v>23</v>
      </c>
      <c r="B27" s="26" t="s">
        <v>240</v>
      </c>
    </row>
    <row r="28" customFormat="false" ht="15" hidden="false" customHeight="false" outlineLevel="0" collapsed="false">
      <c r="A28" s="2" t="n">
        <v>24</v>
      </c>
      <c r="B28" s="26" t="s">
        <v>241</v>
      </c>
    </row>
    <row r="29" customFormat="false" ht="15" hidden="false" customHeight="false" outlineLevel="0" collapsed="false">
      <c r="A29" s="2" t="n">
        <v>25</v>
      </c>
      <c r="B29" s="26" t="s">
        <v>242</v>
      </c>
    </row>
    <row r="30" customFormat="false" ht="15" hidden="false" customHeight="false" outlineLevel="0" collapsed="false">
      <c r="A30" s="2" t="n">
        <v>26</v>
      </c>
      <c r="B30" s="26" t="s">
        <v>243</v>
      </c>
    </row>
    <row r="31" customFormat="false" ht="15" hidden="false" customHeight="false" outlineLevel="0" collapsed="false">
      <c r="A31" s="2" t="n">
        <v>27</v>
      </c>
      <c r="B31" s="26" t="s">
        <v>244</v>
      </c>
    </row>
    <row r="32" customFormat="false" ht="15" hidden="false" customHeight="false" outlineLevel="0" collapsed="false">
      <c r="A32" s="2" t="n">
        <v>28</v>
      </c>
      <c r="B32" s="26" t="s">
        <v>245</v>
      </c>
    </row>
    <row r="33" customFormat="false" ht="15" hidden="false" customHeight="false" outlineLevel="0" collapsed="false">
      <c r="A33" s="2" t="n">
        <v>29</v>
      </c>
      <c r="B33" s="26" t="s">
        <v>246</v>
      </c>
    </row>
    <row r="34" customFormat="false" ht="15" hidden="false" customHeight="false" outlineLevel="0" collapsed="false">
      <c r="A34" s="2" t="n">
        <v>30</v>
      </c>
      <c r="B34" s="26" t="s">
        <v>247</v>
      </c>
    </row>
    <row r="35" customFormat="false" ht="15" hidden="false" customHeight="false" outlineLevel="0" collapsed="false">
      <c r="A35" s="2" t="n">
        <v>31</v>
      </c>
      <c r="B35" s="26" t="s">
        <v>248</v>
      </c>
    </row>
    <row r="36" customFormat="false" ht="15" hidden="false" customHeight="false" outlineLevel="0" collapsed="false">
      <c r="A36" s="2" t="n">
        <v>32</v>
      </c>
      <c r="B36" s="26" t="s">
        <v>249</v>
      </c>
    </row>
    <row r="37" customFormat="false" ht="15" hidden="false" customHeight="false" outlineLevel="0" collapsed="false">
      <c r="A37" s="2" t="n">
        <v>33</v>
      </c>
      <c r="B37" s="26" t="s">
        <v>250</v>
      </c>
    </row>
    <row r="38" customFormat="false" ht="15" hidden="false" customHeight="false" outlineLevel="0" collapsed="false">
      <c r="A38" s="2" t="n">
        <v>34</v>
      </c>
      <c r="B38" s="26" t="s">
        <v>251</v>
      </c>
    </row>
    <row r="39" customFormat="false" ht="15" hidden="false" customHeight="false" outlineLevel="0" collapsed="false">
      <c r="A39" s="2" t="n">
        <v>35</v>
      </c>
      <c r="B39" s="26" t="s">
        <v>252</v>
      </c>
    </row>
    <row r="40" customFormat="false" ht="15" hidden="false" customHeight="false" outlineLevel="0" collapsed="false">
      <c r="A40" s="2" t="n">
        <v>36</v>
      </c>
      <c r="B40" s="26" t="s">
        <v>253</v>
      </c>
    </row>
    <row r="41" customFormat="false" ht="15" hidden="false" customHeight="false" outlineLevel="0" collapsed="false">
      <c r="A41" s="2" t="n">
        <v>37</v>
      </c>
      <c r="B41" s="26" t="s">
        <v>254</v>
      </c>
    </row>
    <row r="42" customFormat="false" ht="15" hidden="false" customHeight="false" outlineLevel="0" collapsed="false">
      <c r="A42" s="2" t="n">
        <v>38</v>
      </c>
      <c r="B42" s="26" t="s">
        <v>255</v>
      </c>
    </row>
    <row r="43" customFormat="false" ht="15" hidden="false" customHeight="false" outlineLevel="0" collapsed="false">
      <c r="A43" s="2" t="n">
        <v>39</v>
      </c>
      <c r="B43" s="26" t="s">
        <v>256</v>
      </c>
    </row>
    <row r="44" customFormat="false" ht="15" hidden="false" customHeight="false" outlineLevel="0" collapsed="false">
      <c r="A44" s="2" t="n">
        <v>40</v>
      </c>
      <c r="B44" s="26" t="s">
        <v>257</v>
      </c>
    </row>
    <row r="45" customFormat="false" ht="15" hidden="false" customHeight="false" outlineLevel="0" collapsed="false">
      <c r="A45" s="2" t="n">
        <v>41</v>
      </c>
      <c r="B45" s="26" t="s">
        <v>258</v>
      </c>
    </row>
    <row r="46" customFormat="false" ht="15" hidden="false" customHeight="false" outlineLevel="0" collapsed="false">
      <c r="A46" s="2" t="n">
        <v>42</v>
      </c>
      <c r="B46" s="26" t="s">
        <v>259</v>
      </c>
    </row>
    <row r="47" customFormat="false" ht="15" hidden="false" customHeight="false" outlineLevel="0" collapsed="false">
      <c r="A47" s="2" t="n">
        <v>43</v>
      </c>
      <c r="B47" s="26"/>
    </row>
    <row r="48" customFormat="false" ht="15" hidden="false" customHeight="false" outlineLevel="0" collapsed="false">
      <c r="A48" s="2" t="n">
        <v>44</v>
      </c>
      <c r="B48" s="26" t="s">
        <v>260</v>
      </c>
    </row>
    <row r="49" customFormat="false" ht="15" hidden="false" customHeight="false" outlineLevel="0" collapsed="false">
      <c r="A49" s="2" t="n">
        <v>45</v>
      </c>
      <c r="B49" s="26" t="s">
        <v>261</v>
      </c>
    </row>
    <row r="50" customFormat="false" ht="15" hidden="false" customHeight="false" outlineLevel="0" collapsed="false">
      <c r="A50" s="2" t="n">
        <v>46</v>
      </c>
      <c r="B50" s="26" t="s">
        <v>303</v>
      </c>
    </row>
    <row r="51" customFormat="false" ht="15" hidden="false" customHeight="false" outlineLevel="0" collapsed="false">
      <c r="A51" s="2" t="n">
        <v>47</v>
      </c>
      <c r="B51" s="26" t="s">
        <v>304</v>
      </c>
    </row>
    <row r="52" customFormat="false" ht="15" hidden="false" customHeight="false" outlineLevel="0" collapsed="false">
      <c r="A52" s="2" t="n">
        <v>48</v>
      </c>
      <c r="B52" s="26" t="s">
        <v>264</v>
      </c>
    </row>
    <row r="53" customFormat="false" ht="15" hidden="false" customHeight="false" outlineLevel="0" collapsed="false">
      <c r="A53" s="2" t="n">
        <v>49</v>
      </c>
      <c r="B53" s="26" t="s">
        <v>265</v>
      </c>
    </row>
    <row r="54" customFormat="false" ht="15" hidden="false" customHeight="false" outlineLevel="0" collapsed="false">
      <c r="A54" s="2" t="n">
        <v>50</v>
      </c>
      <c r="B54" s="26" t="s">
        <v>305</v>
      </c>
    </row>
    <row r="55" customFormat="false" ht="15" hidden="false" customHeight="false" outlineLevel="0" collapsed="false">
      <c r="A55" s="2" t="n">
        <v>51</v>
      </c>
      <c r="B55" s="26" t="s">
        <v>267</v>
      </c>
    </row>
    <row r="56" customFormat="false" ht="15" hidden="false" customHeight="false" outlineLevel="0" collapsed="false">
      <c r="A56" s="2" t="n">
        <v>52</v>
      </c>
      <c r="B56" s="26" t="s">
        <v>306</v>
      </c>
    </row>
    <row r="57" customFormat="false" ht="15" hidden="false" customHeight="false" outlineLevel="0" collapsed="false">
      <c r="A57" s="2" t="n">
        <v>53</v>
      </c>
      <c r="B57" s="26" t="s">
        <v>307</v>
      </c>
    </row>
    <row r="58" customFormat="false" ht="15" hidden="false" customHeight="false" outlineLevel="0" collapsed="false">
      <c r="A58" s="2" t="n">
        <v>54</v>
      </c>
      <c r="B58" s="26" t="s">
        <v>287</v>
      </c>
    </row>
    <row r="59" customFormat="false" ht="15" hidden="false" customHeight="false" outlineLevel="0" collapsed="false">
      <c r="A59" s="2" t="n">
        <v>55</v>
      </c>
      <c r="B59" s="26" t="s">
        <v>271</v>
      </c>
    </row>
    <row r="60" customFormat="false" ht="15" hidden="false" customHeight="false" outlineLevel="0" collapsed="false">
      <c r="A60" s="2" t="n">
        <v>56</v>
      </c>
      <c r="B60" s="26" t="s">
        <v>272</v>
      </c>
    </row>
    <row r="61" customFormat="false" ht="15" hidden="false" customHeight="false" outlineLevel="0" collapsed="false">
      <c r="A61" s="2" t="n">
        <v>57</v>
      </c>
      <c r="B61" s="26" t="s">
        <v>308</v>
      </c>
    </row>
    <row r="62" customFormat="false" ht="15" hidden="false" customHeight="false" outlineLevel="0" collapsed="false">
      <c r="A62" s="2" t="n">
        <v>58</v>
      </c>
      <c r="B62" s="26" t="s">
        <v>274</v>
      </c>
    </row>
    <row r="63" customFormat="false" ht="15" hidden="false" customHeight="false" outlineLevel="0" collapsed="false">
      <c r="A63" s="2" t="n">
        <v>59</v>
      </c>
      <c r="B63" s="26" t="s">
        <v>309</v>
      </c>
    </row>
    <row r="64" customFormat="false" ht="15" hidden="false" customHeight="false" outlineLevel="0" collapsed="false">
      <c r="A64" s="2" t="n">
        <v>60</v>
      </c>
      <c r="B64" s="26" t="s">
        <v>310</v>
      </c>
    </row>
    <row r="65" customFormat="false" ht="15" hidden="false" customHeight="false" outlineLevel="0" collapsed="false">
      <c r="A65" s="2" t="n">
        <v>61</v>
      </c>
      <c r="B65" s="27" t="s">
        <v>311</v>
      </c>
    </row>
    <row r="66" customFormat="false" ht="15" hidden="false" customHeight="false" outlineLevel="0" collapsed="false">
      <c r="A66" s="2" t="n">
        <v>62</v>
      </c>
      <c r="B66" s="27" t="s">
        <v>312</v>
      </c>
    </row>
    <row r="67" customFormat="false" ht="15" hidden="false" customHeight="false" outlineLevel="0" collapsed="false">
      <c r="A67" s="2" t="n">
        <v>63</v>
      </c>
      <c r="B67" s="27" t="s">
        <v>313</v>
      </c>
    </row>
    <row r="68" customFormat="false" ht="15" hidden="false" customHeight="false" outlineLevel="0" collapsed="false">
      <c r="A68" s="2" t="n">
        <v>64</v>
      </c>
      <c r="B68" s="26" t="s">
        <v>272</v>
      </c>
    </row>
    <row r="69" customFormat="false" ht="15" hidden="false" customHeight="false" outlineLevel="0" collapsed="false">
      <c r="A69" s="2" t="n">
        <v>65</v>
      </c>
      <c r="B69" s="26" t="s">
        <v>280</v>
      </c>
    </row>
    <row r="70" customFormat="false" ht="15" hidden="false" customHeight="false" outlineLevel="0" collapsed="false">
      <c r="A70" s="2" t="n">
        <v>66</v>
      </c>
      <c r="B70" s="26" t="s">
        <v>314</v>
      </c>
    </row>
    <row r="71" customFormat="false" ht="15" hidden="false" customHeight="false" outlineLevel="0" collapsed="false">
      <c r="A71" s="2" t="n">
        <v>67</v>
      </c>
      <c r="B71" s="26" t="s">
        <v>272</v>
      </c>
    </row>
    <row r="72" customFormat="false" ht="15" hidden="false" customHeight="false" outlineLevel="0" collapsed="false">
      <c r="A72" s="2" t="n">
        <v>68</v>
      </c>
      <c r="B72" s="26" t="s">
        <v>283</v>
      </c>
    </row>
    <row r="73" customFormat="false" ht="15" hidden="false" customHeight="false" outlineLevel="0" collapsed="false">
      <c r="A73" s="2" t="n">
        <v>69</v>
      </c>
      <c r="B73" s="26" t="s">
        <v>315</v>
      </c>
    </row>
    <row r="74" customFormat="false" ht="15" hidden="false" customHeight="false" outlineLevel="0" collapsed="false">
      <c r="A74" s="2" t="n">
        <v>70</v>
      </c>
      <c r="B74" s="26" t="s">
        <v>267</v>
      </c>
    </row>
    <row r="75" customFormat="false" ht="15" hidden="false" customHeight="false" outlineLevel="0" collapsed="false">
      <c r="A75" s="2" t="n">
        <v>71</v>
      </c>
      <c r="B75" s="26" t="s">
        <v>268</v>
      </c>
    </row>
    <row r="76" customFormat="false" ht="15" hidden="false" customHeight="false" outlineLevel="0" collapsed="false">
      <c r="A76" s="2" t="n">
        <v>72</v>
      </c>
      <c r="B76" s="26" t="s">
        <v>269</v>
      </c>
    </row>
    <row r="77" customFormat="false" ht="15" hidden="false" customHeight="false" outlineLevel="0" collapsed="false">
      <c r="A77" s="2" t="n">
        <v>73</v>
      </c>
      <c r="B77" s="26" t="s">
        <v>270</v>
      </c>
    </row>
    <row r="78" customFormat="false" ht="15" hidden="false" customHeight="false" outlineLevel="0" collapsed="false">
      <c r="A78" s="2" t="n">
        <v>74</v>
      </c>
      <c r="B78" s="26" t="s">
        <v>271</v>
      </c>
    </row>
    <row r="79" customFormat="false" ht="15" hidden="false" customHeight="false" outlineLevel="0" collapsed="false">
      <c r="A79" s="2" t="n">
        <v>75</v>
      </c>
      <c r="B79" s="26" t="s">
        <v>272</v>
      </c>
    </row>
    <row r="80" customFormat="false" ht="15" hidden="false" customHeight="false" outlineLevel="0" collapsed="false">
      <c r="A80" s="2" t="n">
        <v>76</v>
      </c>
      <c r="B80" s="26" t="s">
        <v>273</v>
      </c>
    </row>
    <row r="81" customFormat="false" ht="15" hidden="false" customHeight="false" outlineLevel="0" collapsed="false">
      <c r="A81" s="2" t="n">
        <v>77</v>
      </c>
      <c r="B81" s="26" t="s">
        <v>274</v>
      </c>
    </row>
    <row r="82" customFormat="false" ht="15" hidden="false" customHeight="false" outlineLevel="0" collapsed="false">
      <c r="A82" s="2" t="n">
        <v>78</v>
      </c>
      <c r="B82" s="26" t="s">
        <v>275</v>
      </c>
    </row>
    <row r="83" customFormat="false" ht="15" hidden="false" customHeight="false" outlineLevel="0" collapsed="false">
      <c r="A83" s="2" t="n">
        <v>79</v>
      </c>
      <c r="B83" s="26" t="s">
        <v>276</v>
      </c>
    </row>
    <row r="84" customFormat="false" ht="15" hidden="false" customHeight="false" outlineLevel="0" collapsed="false">
      <c r="A84" s="2" t="n">
        <v>80</v>
      </c>
      <c r="B84" s="27" t="s">
        <v>277</v>
      </c>
    </row>
    <row r="85" customFormat="false" ht="15" hidden="false" customHeight="false" outlineLevel="0" collapsed="false">
      <c r="A85" s="2" t="n">
        <v>81</v>
      </c>
      <c r="B85" s="27" t="s">
        <v>278</v>
      </c>
    </row>
    <row r="86" customFormat="false" ht="15" hidden="false" customHeight="false" outlineLevel="0" collapsed="false">
      <c r="A86" s="2" t="n">
        <v>82</v>
      </c>
      <c r="B86" s="27" t="s">
        <v>279</v>
      </c>
    </row>
    <row r="87" customFormat="false" ht="15" hidden="false" customHeight="false" outlineLevel="0" collapsed="false">
      <c r="A87" s="2" t="n">
        <v>83</v>
      </c>
      <c r="B87" s="26" t="s">
        <v>272</v>
      </c>
    </row>
    <row r="88" customFormat="false" ht="15" hidden="false" customHeight="false" outlineLevel="0" collapsed="false">
      <c r="A88" s="2" t="n">
        <v>84</v>
      </c>
      <c r="B88" s="26" t="s">
        <v>280</v>
      </c>
    </row>
    <row r="89" customFormat="false" ht="15" hidden="false" customHeight="false" outlineLevel="0" collapsed="false">
      <c r="A89" s="2" t="n">
        <v>85</v>
      </c>
      <c r="B89" s="26" t="s">
        <v>281</v>
      </c>
    </row>
    <row r="90" customFormat="false" ht="15" hidden="false" customHeight="false" outlineLevel="0" collapsed="false">
      <c r="A90" s="2" t="n">
        <v>86</v>
      </c>
      <c r="B90" s="26" t="s">
        <v>282</v>
      </c>
    </row>
    <row r="91" customFormat="false" ht="15" hidden="false" customHeight="false" outlineLevel="0" collapsed="false">
      <c r="A91" s="2" t="n">
        <v>87</v>
      </c>
      <c r="B91" s="26" t="s">
        <v>272</v>
      </c>
    </row>
    <row r="92" customFormat="false" ht="15" hidden="false" customHeight="false" outlineLevel="0" collapsed="false">
      <c r="A92" s="2" t="n">
        <v>88</v>
      </c>
      <c r="B92" s="26" t="s">
        <v>283</v>
      </c>
    </row>
    <row r="93" customFormat="false" ht="15" hidden="false" customHeight="false" outlineLevel="0" collapsed="false">
      <c r="A93" s="2" t="n">
        <v>89</v>
      </c>
      <c r="B93" s="26" t="s">
        <v>296</v>
      </c>
    </row>
    <row r="94" customFormat="false" ht="15" hidden="false" customHeight="false" outlineLevel="0" collapsed="false">
      <c r="A94" s="2" t="n">
        <v>90</v>
      </c>
      <c r="B94" s="26" t="s">
        <v>316</v>
      </c>
    </row>
    <row r="95" customFormat="false" ht="15" hidden="false" customHeight="false" outlineLevel="0" collapsed="false">
      <c r="A95" s="2" t="n">
        <v>91</v>
      </c>
      <c r="B95" s="26" t="s">
        <v>298</v>
      </c>
    </row>
    <row r="96" customFormat="false" ht="15" hidden="false" customHeight="false" outlineLevel="0" collapsed="false">
      <c r="A96" s="2" t="n">
        <v>92</v>
      </c>
      <c r="B96" s="26" t="s">
        <v>216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60"/>
  </cols>
  <sheetData>
    <row r="1" customFormat="false" ht="19.4" hidden="false" customHeight="false" outlineLevel="0" collapsed="false">
      <c r="A1" s="8" t="s">
        <v>317</v>
      </c>
    </row>
    <row r="2" customFormat="false" ht="15" hidden="false" customHeight="false" outlineLevel="0" collapsed="false">
      <c r="A2" s="24" t="s">
        <v>318</v>
      </c>
    </row>
    <row r="4" customFormat="false" ht="15" hidden="false" customHeight="false" outlineLevel="0" collapsed="false">
      <c r="A4" s="25" t="s">
        <v>211</v>
      </c>
      <c r="B4" s="25" t="s">
        <v>319</v>
      </c>
    </row>
    <row r="5" customFormat="false" ht="15" hidden="false" customHeight="false" outlineLevel="0" collapsed="false">
      <c r="A5" s="2" t="n">
        <v>1</v>
      </c>
      <c r="B5" s="26" t="s">
        <v>213</v>
      </c>
    </row>
    <row r="6" customFormat="false" ht="15" hidden="false" customHeight="false" outlineLevel="0" collapsed="false">
      <c r="A6" s="2" t="n">
        <v>2</v>
      </c>
      <c r="B6" s="26" t="s">
        <v>320</v>
      </c>
    </row>
    <row r="7" customFormat="false" ht="15" hidden="false" customHeight="false" outlineLevel="0" collapsed="false">
      <c r="A7" s="2" t="n">
        <v>3</v>
      </c>
      <c r="B7" s="26" t="s">
        <v>221</v>
      </c>
    </row>
    <row r="8" customFormat="false" ht="15" hidden="false" customHeight="false" outlineLevel="0" collapsed="false">
      <c r="A8" s="2" t="n">
        <v>4</v>
      </c>
      <c r="B8" s="26" t="s">
        <v>302</v>
      </c>
    </row>
    <row r="9" customFormat="false" ht="15" hidden="false" customHeight="false" outlineLevel="0" collapsed="false">
      <c r="A9" s="2" t="n">
        <v>5</v>
      </c>
      <c r="B9" s="26" t="s">
        <v>222</v>
      </c>
    </row>
    <row r="10" customFormat="false" ht="15" hidden="false" customHeight="false" outlineLevel="0" collapsed="false">
      <c r="A10" s="2" t="n">
        <v>6</v>
      </c>
      <c r="B10" s="26" t="s">
        <v>223</v>
      </c>
    </row>
    <row r="11" customFormat="false" ht="15" hidden="false" customHeight="false" outlineLevel="0" collapsed="false">
      <c r="A11" s="2" t="n">
        <v>7</v>
      </c>
      <c r="B11" s="26" t="s">
        <v>224</v>
      </c>
    </row>
    <row r="12" customFormat="false" ht="15" hidden="false" customHeight="false" outlineLevel="0" collapsed="false">
      <c r="A12" s="2" t="n">
        <v>8</v>
      </c>
      <c r="B12" s="26" t="s">
        <v>225</v>
      </c>
    </row>
    <row r="13" customFormat="false" ht="15" hidden="false" customHeight="false" outlineLevel="0" collapsed="false">
      <c r="A13" s="2" t="n">
        <v>9</v>
      </c>
      <c r="B13" s="26" t="s">
        <v>226</v>
      </c>
    </row>
    <row r="14" customFormat="false" ht="15" hidden="false" customHeight="false" outlineLevel="0" collapsed="false">
      <c r="A14" s="2" t="n">
        <v>10</v>
      </c>
      <c r="B14" s="26" t="s">
        <v>227</v>
      </c>
    </row>
    <row r="15" customFormat="false" ht="15" hidden="false" customHeight="false" outlineLevel="0" collapsed="false">
      <c r="A15" s="2" t="n">
        <v>11</v>
      </c>
      <c r="B15" s="26" t="s">
        <v>228</v>
      </c>
    </row>
    <row r="16" customFormat="false" ht="15" hidden="false" customHeight="false" outlineLevel="0" collapsed="false">
      <c r="A16" s="2" t="n">
        <v>12</v>
      </c>
      <c r="B16" s="26" t="s">
        <v>229</v>
      </c>
    </row>
    <row r="17" customFormat="false" ht="15" hidden="false" customHeight="false" outlineLevel="0" collapsed="false">
      <c r="A17" s="2" t="n">
        <v>13</v>
      </c>
      <c r="B17" s="26" t="s">
        <v>230</v>
      </c>
    </row>
    <row r="18" customFormat="false" ht="15" hidden="false" customHeight="false" outlineLevel="0" collapsed="false">
      <c r="A18" s="2" t="n">
        <v>14</v>
      </c>
      <c r="B18" s="26" t="s">
        <v>231</v>
      </c>
    </row>
    <row r="19" customFormat="false" ht="15" hidden="false" customHeight="false" outlineLevel="0" collapsed="false">
      <c r="A19" s="2" t="n">
        <v>15</v>
      </c>
      <c r="B19" s="26" t="s">
        <v>232</v>
      </c>
    </row>
    <row r="20" customFormat="false" ht="15" hidden="false" customHeight="false" outlineLevel="0" collapsed="false">
      <c r="A20" s="2" t="n">
        <v>16</v>
      </c>
      <c r="B20" s="26" t="s">
        <v>233</v>
      </c>
    </row>
    <row r="21" customFormat="false" ht="15" hidden="false" customHeight="false" outlineLevel="0" collapsed="false">
      <c r="A21" s="2" t="n">
        <v>17</v>
      </c>
      <c r="B21" s="26" t="s">
        <v>234</v>
      </c>
    </row>
    <row r="22" customFormat="false" ht="15" hidden="false" customHeight="false" outlineLevel="0" collapsed="false">
      <c r="A22" s="2" t="n">
        <v>18</v>
      </c>
      <c r="B22" s="26" t="s">
        <v>235</v>
      </c>
    </row>
    <row r="23" customFormat="false" ht="15" hidden="false" customHeight="false" outlineLevel="0" collapsed="false">
      <c r="A23" s="2" t="n">
        <v>19</v>
      </c>
      <c r="B23" s="26" t="s">
        <v>236</v>
      </c>
    </row>
    <row r="24" customFormat="false" ht="15" hidden="false" customHeight="false" outlineLevel="0" collapsed="false">
      <c r="A24" s="2" t="n">
        <v>20</v>
      </c>
      <c r="B24" s="26" t="s">
        <v>237</v>
      </c>
    </row>
    <row r="25" customFormat="false" ht="15" hidden="false" customHeight="false" outlineLevel="0" collapsed="false">
      <c r="A25" s="2" t="n">
        <v>21</v>
      </c>
      <c r="B25" s="26" t="s">
        <v>238</v>
      </c>
    </row>
    <row r="26" customFormat="false" ht="15" hidden="false" customHeight="false" outlineLevel="0" collapsed="false">
      <c r="A26" s="2" t="n">
        <v>22</v>
      </c>
      <c r="B26" s="26" t="s">
        <v>239</v>
      </c>
    </row>
    <row r="27" customFormat="false" ht="15" hidden="false" customHeight="false" outlineLevel="0" collapsed="false">
      <c r="A27" s="2" t="n">
        <v>23</v>
      </c>
      <c r="B27" s="26" t="s">
        <v>240</v>
      </c>
    </row>
    <row r="28" customFormat="false" ht="15" hidden="false" customHeight="false" outlineLevel="0" collapsed="false">
      <c r="A28" s="2" t="n">
        <v>24</v>
      </c>
      <c r="B28" s="26" t="s">
        <v>241</v>
      </c>
    </row>
    <row r="29" customFormat="false" ht="15" hidden="false" customHeight="false" outlineLevel="0" collapsed="false">
      <c r="A29" s="2" t="n">
        <v>25</v>
      </c>
      <c r="B29" s="26" t="s">
        <v>242</v>
      </c>
    </row>
    <row r="30" customFormat="false" ht="15" hidden="false" customHeight="false" outlineLevel="0" collapsed="false">
      <c r="A30" s="2" t="n">
        <v>26</v>
      </c>
      <c r="B30" s="26" t="s">
        <v>243</v>
      </c>
    </row>
    <row r="31" customFormat="false" ht="15" hidden="false" customHeight="false" outlineLevel="0" collapsed="false">
      <c r="A31" s="2" t="n">
        <v>27</v>
      </c>
      <c r="B31" s="26" t="s">
        <v>244</v>
      </c>
    </row>
    <row r="32" customFormat="false" ht="15" hidden="false" customHeight="false" outlineLevel="0" collapsed="false">
      <c r="A32" s="2" t="n">
        <v>28</v>
      </c>
      <c r="B32" s="26" t="s">
        <v>245</v>
      </c>
    </row>
    <row r="33" customFormat="false" ht="15" hidden="false" customHeight="false" outlineLevel="0" collapsed="false">
      <c r="A33" s="2" t="n">
        <v>29</v>
      </c>
      <c r="B33" s="26" t="s">
        <v>246</v>
      </c>
    </row>
    <row r="34" customFormat="false" ht="15" hidden="false" customHeight="false" outlineLevel="0" collapsed="false">
      <c r="A34" s="2" t="n">
        <v>30</v>
      </c>
      <c r="B34" s="26" t="s">
        <v>247</v>
      </c>
    </row>
    <row r="35" customFormat="false" ht="15" hidden="false" customHeight="false" outlineLevel="0" collapsed="false">
      <c r="A35" s="2" t="n">
        <v>31</v>
      </c>
      <c r="B35" s="26" t="s">
        <v>248</v>
      </c>
    </row>
    <row r="36" customFormat="false" ht="15" hidden="false" customHeight="false" outlineLevel="0" collapsed="false">
      <c r="A36" s="2" t="n">
        <v>32</v>
      </c>
      <c r="B36" s="26" t="s">
        <v>249</v>
      </c>
    </row>
    <row r="37" customFormat="false" ht="15" hidden="false" customHeight="false" outlineLevel="0" collapsed="false">
      <c r="A37" s="2" t="n">
        <v>33</v>
      </c>
      <c r="B37" s="26" t="s">
        <v>250</v>
      </c>
    </row>
    <row r="38" customFormat="false" ht="15" hidden="false" customHeight="false" outlineLevel="0" collapsed="false">
      <c r="A38" s="2" t="n">
        <v>34</v>
      </c>
      <c r="B38" s="26" t="s">
        <v>251</v>
      </c>
    </row>
    <row r="39" customFormat="false" ht="15" hidden="false" customHeight="false" outlineLevel="0" collapsed="false">
      <c r="A39" s="2" t="n">
        <v>35</v>
      </c>
      <c r="B39" s="26" t="s">
        <v>252</v>
      </c>
    </row>
    <row r="40" customFormat="false" ht="15" hidden="false" customHeight="false" outlineLevel="0" collapsed="false">
      <c r="A40" s="2" t="n">
        <v>36</v>
      </c>
      <c r="B40" s="26" t="s">
        <v>253</v>
      </c>
    </row>
    <row r="41" customFormat="false" ht="15" hidden="false" customHeight="false" outlineLevel="0" collapsed="false">
      <c r="A41" s="2" t="n">
        <v>37</v>
      </c>
      <c r="B41" s="26" t="s">
        <v>254</v>
      </c>
    </row>
    <row r="42" customFormat="false" ht="15" hidden="false" customHeight="false" outlineLevel="0" collapsed="false">
      <c r="A42" s="2" t="n">
        <v>38</v>
      </c>
      <c r="B42" s="26" t="s">
        <v>255</v>
      </c>
    </row>
    <row r="43" customFormat="false" ht="15" hidden="false" customHeight="false" outlineLevel="0" collapsed="false">
      <c r="A43" s="2" t="n">
        <v>39</v>
      </c>
      <c r="B43" s="26" t="s">
        <v>256</v>
      </c>
    </row>
    <row r="44" customFormat="false" ht="15" hidden="false" customHeight="false" outlineLevel="0" collapsed="false">
      <c r="A44" s="2" t="n">
        <v>40</v>
      </c>
      <c r="B44" s="26" t="s">
        <v>257</v>
      </c>
    </row>
    <row r="45" customFormat="false" ht="15" hidden="false" customHeight="false" outlineLevel="0" collapsed="false">
      <c r="A45" s="2" t="n">
        <v>41</v>
      </c>
      <c r="B45" s="26" t="s">
        <v>258</v>
      </c>
    </row>
    <row r="46" customFormat="false" ht="15" hidden="false" customHeight="false" outlineLevel="0" collapsed="false">
      <c r="A46" s="2" t="n">
        <v>42</v>
      </c>
      <c r="B46" s="26" t="s">
        <v>259</v>
      </c>
    </row>
    <row r="47" customFormat="false" ht="15" hidden="false" customHeight="false" outlineLevel="0" collapsed="false">
      <c r="A47" s="2" t="n">
        <v>43</v>
      </c>
      <c r="B47" s="26"/>
    </row>
    <row r="48" customFormat="false" ht="15" hidden="false" customHeight="false" outlineLevel="0" collapsed="false">
      <c r="A48" s="2" t="n">
        <v>44</v>
      </c>
      <c r="B48" s="26" t="s">
        <v>260</v>
      </c>
    </row>
    <row r="49" customFormat="false" ht="15" hidden="false" customHeight="false" outlineLevel="0" collapsed="false">
      <c r="A49" s="2" t="n">
        <v>45</v>
      </c>
      <c r="B49" s="26" t="s">
        <v>321</v>
      </c>
    </row>
    <row r="50" customFormat="false" ht="15" hidden="false" customHeight="false" outlineLevel="0" collapsed="false">
      <c r="A50" s="2" t="n">
        <v>46</v>
      </c>
      <c r="B50" s="26" t="s">
        <v>322</v>
      </c>
    </row>
    <row r="51" customFormat="false" ht="15" hidden="false" customHeight="false" outlineLevel="0" collapsed="false">
      <c r="A51" s="2" t="n">
        <v>47</v>
      </c>
      <c r="B51" s="26" t="s">
        <v>323</v>
      </c>
    </row>
    <row r="52" customFormat="false" ht="15" hidden="false" customHeight="false" outlineLevel="0" collapsed="false">
      <c r="A52" s="2" t="n">
        <v>48</v>
      </c>
      <c r="B52" s="26" t="s">
        <v>264</v>
      </c>
    </row>
    <row r="53" customFormat="false" ht="15" hidden="false" customHeight="false" outlineLevel="0" collapsed="false">
      <c r="A53" s="2" t="n">
        <v>49</v>
      </c>
      <c r="B53" s="26" t="s">
        <v>324</v>
      </c>
    </row>
    <row r="54" customFormat="false" ht="15" hidden="false" customHeight="false" outlineLevel="0" collapsed="false">
      <c r="A54" s="2" t="n">
        <v>50</v>
      </c>
      <c r="B54" s="26" t="s">
        <v>267</v>
      </c>
    </row>
    <row r="55" customFormat="false" ht="15" hidden="false" customHeight="false" outlineLevel="0" collapsed="false">
      <c r="A55" s="2" t="n">
        <v>51</v>
      </c>
      <c r="B55" s="26" t="s">
        <v>325</v>
      </c>
    </row>
    <row r="56" customFormat="false" ht="15" hidden="false" customHeight="false" outlineLevel="0" collapsed="false">
      <c r="A56" s="2" t="n">
        <v>52</v>
      </c>
      <c r="B56" s="26" t="s">
        <v>326</v>
      </c>
    </row>
    <row r="57" customFormat="false" ht="15" hidden="false" customHeight="false" outlineLevel="0" collapsed="false">
      <c r="A57" s="2" t="n">
        <v>53</v>
      </c>
      <c r="B57" s="26" t="s">
        <v>327</v>
      </c>
    </row>
    <row r="58" customFormat="false" ht="15" hidden="false" customHeight="false" outlineLevel="0" collapsed="false">
      <c r="A58" s="2" t="n">
        <v>54</v>
      </c>
      <c r="B58" s="26" t="s">
        <v>271</v>
      </c>
    </row>
    <row r="59" customFormat="false" ht="15" hidden="false" customHeight="false" outlineLevel="0" collapsed="false">
      <c r="A59" s="2" t="n">
        <v>55</v>
      </c>
      <c r="B59" s="26" t="s">
        <v>272</v>
      </c>
    </row>
    <row r="60" customFormat="false" ht="15" hidden="false" customHeight="false" outlineLevel="0" collapsed="false">
      <c r="A60" s="2" t="n">
        <v>56</v>
      </c>
      <c r="B60" s="26" t="s">
        <v>328</v>
      </c>
    </row>
    <row r="61" customFormat="false" ht="15" hidden="false" customHeight="false" outlineLevel="0" collapsed="false">
      <c r="A61" s="2" t="n">
        <v>57</v>
      </c>
      <c r="B61" s="26" t="s">
        <v>274</v>
      </c>
    </row>
    <row r="62" customFormat="false" ht="15" hidden="false" customHeight="false" outlineLevel="0" collapsed="false">
      <c r="A62" s="2" t="n">
        <v>58</v>
      </c>
      <c r="B62" s="26" t="s">
        <v>329</v>
      </c>
    </row>
    <row r="63" customFormat="false" ht="15" hidden="false" customHeight="false" outlineLevel="0" collapsed="false">
      <c r="A63" s="2" t="n">
        <v>59</v>
      </c>
      <c r="B63" s="26" t="s">
        <v>330</v>
      </c>
    </row>
    <row r="64" customFormat="false" ht="15" hidden="false" customHeight="false" outlineLevel="0" collapsed="false">
      <c r="A64" s="2" t="n">
        <v>60</v>
      </c>
      <c r="B64" s="27" t="s">
        <v>331</v>
      </c>
    </row>
    <row r="65" customFormat="false" ht="15" hidden="false" customHeight="false" outlineLevel="0" collapsed="false">
      <c r="A65" s="2" t="n">
        <v>61</v>
      </c>
      <c r="B65" s="26" t="s">
        <v>332</v>
      </c>
    </row>
    <row r="66" customFormat="false" ht="15" hidden="false" customHeight="false" outlineLevel="0" collapsed="false">
      <c r="A66" s="2" t="n">
        <v>62</v>
      </c>
      <c r="B66" s="27" t="s">
        <v>333</v>
      </c>
    </row>
    <row r="67" customFormat="false" ht="15" hidden="false" customHeight="false" outlineLevel="0" collapsed="false">
      <c r="A67" s="2" t="n">
        <v>63</v>
      </c>
      <c r="B67" s="26" t="s">
        <v>272</v>
      </c>
    </row>
    <row r="68" customFormat="false" ht="15" hidden="false" customHeight="false" outlineLevel="0" collapsed="false">
      <c r="A68" s="2" t="n">
        <v>64</v>
      </c>
      <c r="B68" s="26" t="s">
        <v>280</v>
      </c>
    </row>
    <row r="69" customFormat="false" ht="15" hidden="false" customHeight="false" outlineLevel="0" collapsed="false">
      <c r="A69" s="2" t="n">
        <v>65</v>
      </c>
      <c r="B69" s="26" t="s">
        <v>334</v>
      </c>
    </row>
    <row r="70" customFormat="false" ht="15" hidden="false" customHeight="false" outlineLevel="0" collapsed="false">
      <c r="A70" s="2" t="n">
        <v>66</v>
      </c>
      <c r="B70" s="26" t="s">
        <v>335</v>
      </c>
    </row>
    <row r="71" customFormat="false" ht="15" hidden="false" customHeight="false" outlineLevel="0" collapsed="false">
      <c r="A71" s="2" t="n">
        <v>67</v>
      </c>
      <c r="B71" s="26" t="s">
        <v>272</v>
      </c>
    </row>
    <row r="72" customFormat="false" ht="15" hidden="false" customHeight="false" outlineLevel="0" collapsed="false">
      <c r="A72" s="2" t="n">
        <v>68</v>
      </c>
      <c r="B72" s="26" t="s">
        <v>283</v>
      </c>
    </row>
    <row r="73" customFormat="false" ht="15" hidden="false" customHeight="false" outlineLevel="0" collapsed="false">
      <c r="A73" s="2" t="n">
        <v>69</v>
      </c>
      <c r="B73" s="26" t="s">
        <v>296</v>
      </c>
    </row>
    <row r="74" customFormat="false" ht="15" hidden="false" customHeight="false" outlineLevel="0" collapsed="false">
      <c r="A74" s="2" t="n">
        <v>70</v>
      </c>
      <c r="B74" s="26" t="s">
        <v>336</v>
      </c>
    </row>
    <row r="75" customFormat="false" ht="15" hidden="false" customHeight="false" outlineLevel="0" collapsed="false">
      <c r="A75" s="2" t="n">
        <v>71</v>
      </c>
      <c r="B75" s="26" t="s">
        <v>298</v>
      </c>
    </row>
    <row r="76" customFormat="false" ht="15" hidden="false" customHeight="false" outlineLevel="0" collapsed="false">
      <c r="A76" s="2" t="n">
        <v>72</v>
      </c>
      <c r="B76" s="26" t="s">
        <v>216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50"/>
  </cols>
  <sheetData>
    <row r="1" customFormat="false" ht="19.4" hidden="false" customHeight="false" outlineLevel="0" collapsed="false">
      <c r="A1" s="1" t="s">
        <v>337</v>
      </c>
    </row>
    <row r="2" customFormat="false" ht="15" hidden="false" customHeight="false" outlineLevel="0" collapsed="false">
      <c r="A2" s="2" t="s">
        <v>338</v>
      </c>
    </row>
    <row r="4" customFormat="false" ht="15" hidden="false" customHeight="false" outlineLevel="0" collapsed="false">
      <c r="A4" s="25" t="s">
        <v>339</v>
      </c>
      <c r="B4" s="25" t="s">
        <v>340</v>
      </c>
    </row>
    <row r="5" customFormat="false" ht="15" hidden="false" customHeight="false" outlineLevel="0" collapsed="false">
      <c r="A5" s="3" t="s">
        <v>341</v>
      </c>
      <c r="B5" s="26" t="s">
        <v>342</v>
      </c>
    </row>
    <row r="6" customFormat="false" ht="14.15" hidden="false" customHeight="false" outlineLevel="0" collapsed="false">
      <c r="A6" s="6" t="s">
        <v>343</v>
      </c>
      <c r="B6" s="26" t="s">
        <v>344</v>
      </c>
    </row>
    <row r="7" customFormat="false" ht="15" hidden="false" customHeight="false" outlineLevel="0" collapsed="false">
      <c r="A7" s="3"/>
      <c r="B7" s="26"/>
    </row>
    <row r="8" customFormat="false" ht="14.15" hidden="false" customHeight="false" outlineLevel="0" collapsed="false">
      <c r="A8" s="6" t="s">
        <v>345</v>
      </c>
      <c r="B8" s="26" t="s">
        <v>346</v>
      </c>
    </row>
    <row r="9" customFormat="false" ht="14.15" hidden="false" customHeight="false" outlineLevel="0" collapsed="false">
      <c r="A9" s="6" t="s">
        <v>347</v>
      </c>
      <c r="B9" s="26" t="s">
        <v>348</v>
      </c>
    </row>
    <row r="10" customFormat="false" ht="15" hidden="false" customHeight="false" outlineLevel="0" collapsed="false">
      <c r="A10" s="6" t="s">
        <v>349</v>
      </c>
      <c r="B10" s="26" t="s">
        <v>350</v>
      </c>
    </row>
    <row r="11" customFormat="false" ht="15" hidden="false" customHeight="false" outlineLevel="0" collapsed="false">
      <c r="A11" s="3"/>
      <c r="B11" s="26" t="s">
        <v>351</v>
      </c>
    </row>
    <row r="12" customFormat="false" ht="15" hidden="false" customHeight="false" outlineLevel="0" collapsed="false">
      <c r="A12" s="3"/>
      <c r="B12" s="26" t="s">
        <v>352</v>
      </c>
    </row>
    <row r="13" customFormat="false" ht="15" hidden="false" customHeight="false" outlineLevel="0" collapsed="false">
      <c r="A13" s="3"/>
      <c r="B13" s="26" t="s">
        <v>353</v>
      </c>
    </row>
    <row r="15" customFormat="false" ht="15" hidden="false" customHeight="false" outlineLevel="0" collapsed="false">
      <c r="A15" s="2" t="s">
        <v>354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60"/>
  </cols>
  <sheetData>
    <row r="1" customFormat="false" ht="19.4" hidden="false" customHeight="false" outlineLevel="0" collapsed="false">
      <c r="A1" s="1" t="s">
        <v>355</v>
      </c>
    </row>
    <row r="2" customFormat="false" ht="15" hidden="false" customHeight="false" outlineLevel="0" collapsed="false">
      <c r="A2" s="24" t="s">
        <v>356</v>
      </c>
    </row>
    <row r="4" customFormat="false" ht="15" hidden="false" customHeight="false" outlineLevel="0" collapsed="false">
      <c r="A4" s="25" t="s">
        <v>211</v>
      </c>
      <c r="B4" s="25" t="s">
        <v>357</v>
      </c>
    </row>
    <row r="5" customFormat="false" ht="15" hidden="false" customHeight="false" outlineLevel="0" collapsed="false">
      <c r="A5" s="2" t="n">
        <v>1</v>
      </c>
      <c r="B5" s="26" t="s">
        <v>358</v>
      </c>
    </row>
    <row r="6" customFormat="false" ht="15" hidden="false" customHeight="false" outlineLevel="0" collapsed="false">
      <c r="A6" s="2" t="n">
        <v>2</v>
      </c>
      <c r="B6" s="26" t="s">
        <v>359</v>
      </c>
    </row>
    <row r="7" customFormat="false" ht="15" hidden="false" customHeight="false" outlineLevel="0" collapsed="false">
      <c r="A7" s="2" t="n">
        <v>3</v>
      </c>
      <c r="B7" s="26" t="s">
        <v>360</v>
      </c>
    </row>
    <row r="8" customFormat="false" ht="15" hidden="false" customHeight="false" outlineLevel="0" collapsed="false">
      <c r="A8" s="2" t="n">
        <v>4</v>
      </c>
      <c r="B8" s="26"/>
    </row>
    <row r="9" customFormat="false" ht="15" hidden="false" customHeight="false" outlineLevel="0" collapsed="false">
      <c r="A9" s="2" t="n">
        <v>5</v>
      </c>
      <c r="B9" s="26" t="s">
        <v>361</v>
      </c>
    </row>
    <row r="10" customFormat="false" ht="15" hidden="false" customHeight="false" outlineLevel="0" collapsed="false">
      <c r="A10" s="2" t="n">
        <v>6</v>
      </c>
      <c r="B10" s="26" t="s">
        <v>362</v>
      </c>
    </row>
    <row r="11" customFormat="false" ht="15" hidden="false" customHeight="false" outlineLevel="0" collapsed="false">
      <c r="A11" s="2" t="n">
        <v>7</v>
      </c>
      <c r="B11" s="26" t="s">
        <v>363</v>
      </c>
    </row>
    <row r="12" customFormat="false" ht="15" hidden="false" customHeight="false" outlineLevel="0" collapsed="false">
      <c r="A12" s="2" t="n">
        <v>8</v>
      </c>
      <c r="B12" s="26"/>
    </row>
    <row r="13" customFormat="false" ht="15" hidden="false" customHeight="false" outlineLevel="0" collapsed="false">
      <c r="A13" s="2" t="n">
        <v>9</v>
      </c>
      <c r="B13" s="26" t="s">
        <v>364</v>
      </c>
    </row>
    <row r="14" customFormat="false" ht="15" hidden="false" customHeight="false" outlineLevel="0" collapsed="false">
      <c r="A14" s="2" t="n">
        <v>10</v>
      </c>
      <c r="B14" s="26" t="s">
        <v>365</v>
      </c>
    </row>
    <row r="15" customFormat="false" ht="15" hidden="false" customHeight="false" outlineLevel="0" collapsed="false">
      <c r="A15" s="2" t="n">
        <v>11</v>
      </c>
      <c r="B15" s="26" t="s">
        <v>360</v>
      </c>
    </row>
    <row r="16" customFormat="false" ht="15" hidden="false" customHeight="false" outlineLevel="0" collapsed="false">
      <c r="A16" s="2" t="n">
        <v>12</v>
      </c>
      <c r="B16" s="26"/>
    </row>
    <row r="17" customFormat="false" ht="15" hidden="false" customHeight="false" outlineLevel="0" collapsed="false">
      <c r="A17" s="2" t="n">
        <v>13</v>
      </c>
      <c r="B17" s="26" t="s">
        <v>364</v>
      </c>
    </row>
    <row r="18" customFormat="false" ht="15" hidden="false" customHeight="false" outlineLevel="0" collapsed="false">
      <c r="A18" s="2" t="n">
        <v>14</v>
      </c>
      <c r="B18" s="26" t="s">
        <v>366</v>
      </c>
    </row>
    <row r="19" customFormat="false" ht="15" hidden="false" customHeight="false" outlineLevel="0" collapsed="false">
      <c r="A19" s="2" t="n">
        <v>15</v>
      </c>
      <c r="B19" s="26" t="s">
        <v>360</v>
      </c>
    </row>
    <row r="21" customFormat="false" ht="15" hidden="false" customHeight="false" outlineLevel="0" collapsed="false">
      <c r="B21" s="3" t="s">
        <v>367</v>
      </c>
    </row>
    <row r="22" customFormat="false" ht="26.85" hidden="false" customHeight="false" outlineLevel="0" collapsed="false">
      <c r="B22" s="4" t="s">
        <v>368</v>
      </c>
    </row>
    <row r="23" customFormat="false" ht="15" hidden="false" customHeight="false" outlineLevel="0" collapsed="false">
      <c r="B23" s="4" t="s">
        <v>369</v>
      </c>
    </row>
    <row r="24" customFormat="false" ht="15" hidden="false" customHeight="false" outlineLevel="0" collapsed="false">
      <c r="B24" s="4" t="s">
        <v>370</v>
      </c>
    </row>
    <row r="25" customFormat="false" ht="15" hidden="false" customHeight="false" outlineLevel="0" collapsed="false">
      <c r="B25" s="4" t="s">
        <v>371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7"/>
    <col collapsed="false" customWidth="true" hidden="false" outlineLevel="0" max="3" min="3" style="0" width="16"/>
    <col collapsed="false" customWidth="true" hidden="false" outlineLevel="0" max="4" min="4" style="0" width="26"/>
    <col collapsed="false" customWidth="true" hidden="false" outlineLevel="0" max="5" min="5" style="0" width="34"/>
    <col collapsed="false" customWidth="true" hidden="false" outlineLevel="0" max="6" min="6" style="0" width="40"/>
    <col collapsed="false" customWidth="true" hidden="false" outlineLevel="0" max="7" min="7" style="0" width="26"/>
  </cols>
  <sheetData>
    <row r="1" customFormat="false" ht="19.4" hidden="false" customHeight="false" outlineLevel="0" collapsed="false">
      <c r="A1" s="8" t="s">
        <v>372</v>
      </c>
    </row>
    <row r="2" customFormat="false" ht="15" hidden="false" customHeight="false" outlineLevel="0" collapsed="false">
      <c r="A2" s="2" t="s">
        <v>373</v>
      </c>
    </row>
    <row r="4" customFormat="false" ht="15" hidden="false" customHeight="false" outlineLevel="0" collapsed="false">
      <c r="A4" s="9" t="s">
        <v>115</v>
      </c>
      <c r="B4" s="28" t="s">
        <v>374</v>
      </c>
      <c r="C4" s="9" t="s">
        <v>375</v>
      </c>
      <c r="D4" s="9" t="s">
        <v>376</v>
      </c>
      <c r="E4" s="9" t="s">
        <v>377</v>
      </c>
      <c r="F4" s="9" t="s">
        <v>378</v>
      </c>
      <c r="G4" s="9" t="s">
        <v>379</v>
      </c>
    </row>
    <row r="5" customFormat="false" ht="52.2" hidden="false" customHeight="false" outlineLevel="0" collapsed="false">
      <c r="A5" s="18" t="s">
        <v>341</v>
      </c>
      <c r="B5" s="13" t="s">
        <v>380</v>
      </c>
      <c r="C5" s="13" t="s">
        <v>381</v>
      </c>
      <c r="D5" s="18" t="s">
        <v>382</v>
      </c>
      <c r="E5" s="18" t="s">
        <v>383</v>
      </c>
      <c r="F5" s="18" t="s">
        <v>384</v>
      </c>
      <c r="G5" s="13" t="s">
        <v>385</v>
      </c>
    </row>
    <row r="6" customFormat="false" ht="39.55" hidden="false" customHeight="false" outlineLevel="0" collapsed="false">
      <c r="A6" s="13" t="s">
        <v>386</v>
      </c>
      <c r="B6" s="13" t="s">
        <v>380</v>
      </c>
      <c r="C6" s="13" t="s">
        <v>387</v>
      </c>
      <c r="D6" s="13" t="s">
        <v>388</v>
      </c>
      <c r="E6" s="18" t="s">
        <v>389</v>
      </c>
      <c r="F6" s="18" t="s">
        <v>390</v>
      </c>
      <c r="G6" s="13" t="s">
        <v>391</v>
      </c>
    </row>
    <row r="7" customFormat="false" ht="52.2" hidden="false" customHeight="false" outlineLevel="0" collapsed="false">
      <c r="A7" s="13" t="s">
        <v>392</v>
      </c>
      <c r="B7" s="13" t="s">
        <v>393</v>
      </c>
      <c r="C7" s="13" t="s">
        <v>394</v>
      </c>
      <c r="D7" s="18" t="s">
        <v>395</v>
      </c>
      <c r="E7" s="18" t="s">
        <v>396</v>
      </c>
      <c r="F7" s="18" t="s">
        <v>397</v>
      </c>
      <c r="G7" s="18" t="s">
        <v>398</v>
      </c>
    </row>
    <row r="8" customFormat="false" ht="52.2" hidden="false" customHeight="false" outlineLevel="0" collapsed="false">
      <c r="A8" s="18" t="s">
        <v>195</v>
      </c>
      <c r="B8" s="13" t="s">
        <v>380</v>
      </c>
      <c r="C8" s="13" t="s">
        <v>399</v>
      </c>
      <c r="D8" s="13" t="s">
        <v>400</v>
      </c>
      <c r="E8" s="13" t="s">
        <v>401</v>
      </c>
      <c r="F8" s="13" t="s">
        <v>402</v>
      </c>
      <c r="G8" s="18" t="s">
        <v>403</v>
      </c>
    </row>
    <row r="9" customFormat="false" ht="26.85" hidden="false" customHeight="false" outlineLevel="0" collapsed="false">
      <c r="A9" s="13" t="s">
        <v>404</v>
      </c>
      <c r="B9" s="13" t="s">
        <v>380</v>
      </c>
      <c r="C9" s="18" t="s">
        <v>405</v>
      </c>
      <c r="D9" s="13" t="s">
        <v>406</v>
      </c>
      <c r="E9" s="13" t="s">
        <v>407</v>
      </c>
      <c r="F9" s="18" t="s">
        <v>408</v>
      </c>
      <c r="G9" s="18" t="s">
        <v>409</v>
      </c>
    </row>
    <row r="10" customFormat="false" ht="52.2" hidden="false" customHeight="false" outlineLevel="0" collapsed="false">
      <c r="A10" s="18" t="s">
        <v>410</v>
      </c>
      <c r="B10" s="13" t="s">
        <v>393</v>
      </c>
      <c r="C10" s="13" t="s">
        <v>411</v>
      </c>
      <c r="D10" s="18" t="s">
        <v>412</v>
      </c>
      <c r="E10" s="18" t="s">
        <v>413</v>
      </c>
      <c r="F10" s="18" t="s">
        <v>414</v>
      </c>
      <c r="G10" s="13" t="s">
        <v>415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2"/>
    <col collapsed="false" customWidth="true" hidden="false" outlineLevel="0" max="14" min="3" style="0" width="9"/>
    <col collapsed="false" customWidth="true" hidden="false" outlineLevel="0" max="15" min="15" style="0" width="34"/>
  </cols>
  <sheetData>
    <row r="1" customFormat="false" ht="19.4" hidden="false" customHeight="false" outlineLevel="0" collapsed="false">
      <c r="A1" s="8" t="s">
        <v>416</v>
      </c>
    </row>
    <row r="2" customFormat="false" ht="15" hidden="false" customHeight="false" outlineLevel="0" collapsed="false">
      <c r="A2" s="24" t="s">
        <v>417</v>
      </c>
    </row>
    <row r="4" customFormat="false" ht="15" hidden="false" customHeight="false" outlineLevel="0" collapsed="false">
      <c r="A4" s="6" t="s">
        <v>418</v>
      </c>
    </row>
    <row r="5" customFormat="false" ht="15" hidden="false" customHeight="false" outlineLevel="0" collapsed="false">
      <c r="A5" s="27" t="s">
        <v>419</v>
      </c>
    </row>
    <row r="6" customFormat="false" ht="15" hidden="false" customHeight="false" outlineLevel="0" collapsed="false">
      <c r="A6" s="26" t="s">
        <v>420</v>
      </c>
    </row>
    <row r="7" customFormat="false" ht="15" hidden="false" customHeight="false" outlineLevel="0" collapsed="false">
      <c r="A7" s="26" t="s">
        <v>421</v>
      </c>
    </row>
    <row r="8" customFormat="false" ht="15" hidden="false" customHeight="false" outlineLevel="0" collapsed="false">
      <c r="A8" s="26" t="s">
        <v>422</v>
      </c>
    </row>
    <row r="9" customFormat="false" ht="15" hidden="false" customHeight="false" outlineLevel="0" collapsed="false">
      <c r="A9" s="26" t="s">
        <v>423</v>
      </c>
    </row>
    <row r="11" customFormat="false" ht="15" hidden="false" customHeight="false" outlineLevel="0" collapsed="false">
      <c r="A11" s="6" t="s">
        <v>424</v>
      </c>
    </row>
    <row r="13" customFormat="false" ht="15" hidden="false" customHeight="false" outlineLevel="0" collapsed="false">
      <c r="A13" s="6" t="s">
        <v>425</v>
      </c>
    </row>
    <row r="14" customFormat="false" ht="38.05" hidden="false" customHeight="false" outlineLevel="0" collapsed="false">
      <c r="A14" s="9" t="s">
        <v>426</v>
      </c>
      <c r="B14" s="9" t="s">
        <v>41</v>
      </c>
      <c r="C14" s="28" t="s">
        <v>427</v>
      </c>
      <c r="D14" s="9" t="s">
        <v>428</v>
      </c>
      <c r="E14" s="28" t="s">
        <v>429</v>
      </c>
      <c r="F14" s="9" t="s">
        <v>428</v>
      </c>
      <c r="G14" s="28" t="s">
        <v>430</v>
      </c>
      <c r="H14" s="9" t="s">
        <v>428</v>
      </c>
      <c r="I14" s="28" t="s">
        <v>431</v>
      </c>
      <c r="J14" s="9" t="s">
        <v>428</v>
      </c>
      <c r="K14" s="28" t="s">
        <v>432</v>
      </c>
      <c r="L14" s="9" t="s">
        <v>428</v>
      </c>
      <c r="M14" s="28" t="s">
        <v>433</v>
      </c>
      <c r="N14" s="9" t="s">
        <v>428</v>
      </c>
      <c r="O14" s="9" t="s">
        <v>51</v>
      </c>
    </row>
    <row r="15" customFormat="false" ht="15" hidden="false" customHeight="false" outlineLevel="0" collapsed="false">
      <c r="A15" s="29" t="s">
        <v>434</v>
      </c>
      <c r="B15" s="30" t="n">
        <v>46308</v>
      </c>
      <c r="C15" s="29" t="n">
        <v>3</v>
      </c>
      <c r="D15" s="29" t="n">
        <v>1</v>
      </c>
      <c r="E15" s="29" t="n">
        <v>2</v>
      </c>
      <c r="F15" s="29" t="n">
        <v>2</v>
      </c>
      <c r="G15" s="29" t="n">
        <v>2</v>
      </c>
      <c r="H15" s="29" t="n">
        <v>2</v>
      </c>
      <c r="I15" s="29" t="n">
        <v>0</v>
      </c>
      <c r="J15" s="29" t="n">
        <v>0</v>
      </c>
      <c r="K15" s="29" t="n">
        <v>0</v>
      </c>
      <c r="L15" s="29" t="n">
        <v>0</v>
      </c>
      <c r="M15" s="29" t="n">
        <v>3</v>
      </c>
      <c r="N15" s="29" t="n">
        <v>3</v>
      </c>
      <c r="O15" s="31" t="str">
        <f aca="false">IF(A15="","",IF(AND(E15=F15,G15=H15,I15=J15,K15=L15,N15&gt;=M15,F15=H15),IF(C15=D15,"OK","OK（表の数を変えた：意図どおりか確認）"),"要確認：数が合わない"))</f>
        <v>OK（表の数を変えた：意図どおりか確認）</v>
      </c>
    </row>
    <row r="16" customFormat="false" ht="15" hidden="false" customHeight="false" outlineLevel="0" collapsed="false">
      <c r="A16" s="32"/>
      <c r="B16" s="33"/>
      <c r="C16" s="32"/>
      <c r="D16" s="32"/>
      <c r="E16" s="32"/>
      <c r="F16" s="32"/>
      <c r="G16" s="32"/>
      <c r="H16" s="32"/>
      <c r="I16" s="32"/>
      <c r="J16" s="32"/>
      <c r="K16" s="32"/>
      <c r="L16" s="32"/>
      <c r="M16" s="32"/>
      <c r="N16" s="32"/>
      <c r="O16" s="31" t="str">
        <f aca="false">IF(A16="","",IF(AND(E16=F16,G16=H16,I16=J16,K16=L16,N16&gt;=M16,F16=H16),IF(C16=D16,"OK","OK（表の数を変えた：意図どおりか確認）"),"要確認：数が合わない"))</f>
        <v/>
      </c>
    </row>
    <row r="17" customFormat="false" ht="15" hidden="false" customHeight="false" outlineLevel="0" collapsed="false">
      <c r="A17" s="32"/>
      <c r="B17" s="33"/>
      <c r="C17" s="32"/>
      <c r="D17" s="32"/>
      <c r="E17" s="32"/>
      <c r="F17" s="32"/>
      <c r="G17" s="32"/>
      <c r="H17" s="32"/>
      <c r="I17" s="32"/>
      <c r="J17" s="32"/>
      <c r="K17" s="32"/>
      <c r="L17" s="32"/>
      <c r="M17" s="32"/>
      <c r="N17" s="32"/>
      <c r="O17" s="31" t="str">
        <f aca="false">IF(A17="","",IF(AND(E17=F17,G17=H17,I17=J17,K17=L17,N17&gt;=M17,F17=H17),IF(C17=D17,"OK","OK（表の数を変えた：意図どおりか確認）"),"要確認：数が合わない"))</f>
        <v/>
      </c>
    </row>
    <row r="18" customFormat="false" ht="15" hidden="false" customHeight="false" outlineLevel="0" collapsed="false">
      <c r="A18" s="32"/>
      <c r="B18" s="33"/>
      <c r="C18" s="32"/>
      <c r="D18" s="32"/>
      <c r="E18" s="32"/>
      <c r="F18" s="32"/>
      <c r="G18" s="32"/>
      <c r="H18" s="32"/>
      <c r="I18" s="32"/>
      <c r="J18" s="32"/>
      <c r="K18" s="32"/>
      <c r="L18" s="32"/>
      <c r="M18" s="32"/>
      <c r="N18" s="32"/>
      <c r="O18" s="31" t="str">
        <f aca="false">IF(A18="","",IF(AND(E18=F18,G18=H18,I18=J18,K18=L18,N18&gt;=M18,F18=H18),IF(C18=D18,"OK","OK（表の数を変えた：意図どおりか確認）"),"要確認：数が合わない"))</f>
        <v/>
      </c>
    </row>
    <row r="19" customFormat="false" ht="15" hidden="false" customHeight="false" outlineLevel="0" collapsed="false">
      <c r="A19" s="32"/>
      <c r="B19" s="33"/>
      <c r="C19" s="32"/>
      <c r="D19" s="32"/>
      <c r="E19" s="32"/>
      <c r="F19" s="32"/>
      <c r="G19" s="32"/>
      <c r="H19" s="32"/>
      <c r="I19" s="32"/>
      <c r="J19" s="32"/>
      <c r="K19" s="32"/>
      <c r="L19" s="32"/>
      <c r="M19" s="32"/>
      <c r="N19" s="32"/>
      <c r="O19" s="31" t="str">
        <f aca="false">IF(A19="","",IF(AND(E19=F19,G19=H19,I19=J19,K19=L19,N19&gt;=M19,F19=H19),IF(C19=D19,"OK","OK（表の数を変えた：意図どおりか確認）"),"要確認：数が合わない"))</f>
        <v/>
      </c>
    </row>
    <row r="20" customFormat="false" ht="15" hidden="false" customHeight="false" outlineLevel="0" collapsed="false">
      <c r="A20" s="32"/>
      <c r="B20" s="33"/>
      <c r="C20" s="32"/>
      <c r="D20" s="32"/>
      <c r="E20" s="32"/>
      <c r="F20" s="32"/>
      <c r="G20" s="32"/>
      <c r="H20" s="32"/>
      <c r="I20" s="32"/>
      <c r="J20" s="32"/>
      <c r="K20" s="32"/>
      <c r="L20" s="32"/>
      <c r="M20" s="32"/>
      <c r="N20" s="32"/>
      <c r="O20" s="31" t="str">
        <f aca="false">IF(A20="","",IF(AND(E20=F20,G20=H20,I20=J20,K20=L20,N20&gt;=M20,F20=H20),IF(C20=D20,"OK","OK（表の数を変えた：意図どおりか確認）"),"要確認：数が合わない"))</f>
        <v/>
      </c>
    </row>
    <row r="21" customFormat="false" ht="15" hidden="false" customHeight="false" outlineLevel="0" collapsed="false">
      <c r="A21" s="32"/>
      <c r="B21" s="33"/>
      <c r="C21" s="32"/>
      <c r="D21" s="32"/>
      <c r="E21" s="32"/>
      <c r="F21" s="32"/>
      <c r="G21" s="32"/>
      <c r="H21" s="32"/>
      <c r="I21" s="32"/>
      <c r="J21" s="32"/>
      <c r="K21" s="32"/>
      <c r="L21" s="32"/>
      <c r="M21" s="32"/>
      <c r="N21" s="32"/>
      <c r="O21" s="31" t="str">
        <f aca="false">IF(A21="","",IF(AND(E21=F21,G21=H21,I21=J21,K21=L21,N21&gt;=M21,F21=H21),IF(C21=D21,"OK","OK（表の数を変えた：意図どおりか確認）"),"要確認：数が合わない"))</f>
        <v/>
      </c>
    </row>
    <row r="22" customFormat="false" ht="15" hidden="false" customHeight="false" outlineLevel="0" collapsed="false">
      <c r="A22" s="32"/>
      <c r="B22" s="33"/>
      <c r="C22" s="32"/>
      <c r="D22" s="32"/>
      <c r="E22" s="32"/>
      <c r="F22" s="32"/>
      <c r="G22" s="32"/>
      <c r="H22" s="32"/>
      <c r="I22" s="32"/>
      <c r="J22" s="32"/>
      <c r="K22" s="32"/>
      <c r="L22" s="32"/>
      <c r="M22" s="32"/>
      <c r="N22" s="32"/>
      <c r="O22" s="31" t="str">
        <f aca="false">IF(A22="","",IF(AND(E22=F22,G22=H22,I22=J22,K22=L22,N22&gt;=M22,F22=H22),IF(C22=D22,"OK","OK（表の数を変えた：意図どおりか確認）"),"要確認：数が合わない"))</f>
        <v/>
      </c>
    </row>
    <row r="23" customFormat="false" ht="15" hidden="false" customHeight="false" outlineLevel="0" collapsed="false">
      <c r="A23" s="32"/>
      <c r="B23" s="33"/>
      <c r="C23" s="32"/>
      <c r="D23" s="32"/>
      <c r="E23" s="32"/>
      <c r="F23" s="32"/>
      <c r="G23" s="32"/>
      <c r="H23" s="32"/>
      <c r="I23" s="32"/>
      <c r="J23" s="32"/>
      <c r="K23" s="32"/>
      <c r="L23" s="32"/>
      <c r="M23" s="32"/>
      <c r="N23" s="32"/>
      <c r="O23" s="31" t="str">
        <f aca="false">IF(A23="","",IF(AND(E23=F23,G23=H23,I23=J23,K23=L23,N23&gt;=M23,F23=H23),IF(C23=D23,"OK","OK（表の数を変えた：意図どおりか確認）"),"要確認：数が合わない"))</f>
        <v/>
      </c>
    </row>
    <row r="24" customFormat="false" ht="15" hidden="false" customHeight="false" outlineLevel="0" collapsed="false">
      <c r="A24" s="32"/>
      <c r="B24" s="33"/>
      <c r="C24" s="32"/>
      <c r="D24" s="32"/>
      <c r="E24" s="32"/>
      <c r="F24" s="32"/>
      <c r="G24" s="32"/>
      <c r="H24" s="32"/>
      <c r="I24" s="32"/>
      <c r="J24" s="32"/>
      <c r="K24" s="32"/>
      <c r="L24" s="32"/>
      <c r="M24" s="32"/>
      <c r="N24" s="32"/>
      <c r="O24" s="31" t="str">
        <f aca="false">IF(A24="","",IF(AND(E24=F24,G24=H24,I24=J24,K24=L24,N24&gt;=M24,F24=H24),IF(C24=D24,"OK","OK（表の数を変えた：意図どおりか確認）"),"要確認：数が合わない"))</f>
        <v/>
      </c>
    </row>
    <row r="25" customFormat="false" ht="15" hidden="false" customHeight="false" outlineLevel="0" collapsed="false">
      <c r="A25" s="32"/>
      <c r="B25" s="33"/>
      <c r="C25" s="32"/>
      <c r="D25" s="32"/>
      <c r="E25" s="32"/>
      <c r="F25" s="32"/>
      <c r="G25" s="32"/>
      <c r="H25" s="32"/>
      <c r="I25" s="32"/>
      <c r="J25" s="32"/>
      <c r="K25" s="32"/>
      <c r="L25" s="32"/>
      <c r="M25" s="32"/>
      <c r="N25" s="32"/>
      <c r="O25" s="31" t="str">
        <f aca="false">IF(A25="","",IF(AND(E25=F25,G25=H25,I25=J25,K25=L25,N25&gt;=M25,F25=H25),IF(C25=D25,"OK","OK（表の数を変えた：意図どおりか確認）"),"要確認：数が合わない"))</f>
        <v/>
      </c>
    </row>
    <row r="26" customFormat="false" ht="15" hidden="false" customHeight="false" outlineLevel="0" collapsed="false">
      <c r="A26" s="32"/>
      <c r="B26" s="33"/>
      <c r="C26" s="32"/>
      <c r="D26" s="32"/>
      <c r="E26" s="32"/>
      <c r="F26" s="32"/>
      <c r="G26" s="32"/>
      <c r="H26" s="32"/>
      <c r="I26" s="32"/>
      <c r="J26" s="32"/>
      <c r="K26" s="32"/>
      <c r="L26" s="32"/>
      <c r="M26" s="32"/>
      <c r="N26" s="32"/>
      <c r="O26" s="31" t="str">
        <f aca="false">IF(A26="","",IF(AND(E26=F26,G26=H26,I26=J26,K26=L26,N26&gt;=M26,F26=H26),IF(C26=D26,"OK","OK（表の数を変えた：意図どおりか確認）"),"要確認：数が合わない"))</f>
        <v/>
      </c>
    </row>
    <row r="27" customFormat="false" ht="15" hidden="false" customHeight="false" outlineLevel="0" collapsed="false">
      <c r="A27" s="32"/>
      <c r="B27" s="33"/>
      <c r="C27" s="32"/>
      <c r="D27" s="32"/>
      <c r="E27" s="32"/>
      <c r="F27" s="32"/>
      <c r="G27" s="32"/>
      <c r="H27" s="32"/>
      <c r="I27" s="32"/>
      <c r="J27" s="32"/>
      <c r="K27" s="32"/>
      <c r="L27" s="32"/>
      <c r="M27" s="32"/>
      <c r="N27" s="32"/>
      <c r="O27" s="31" t="str">
        <f aca="false">IF(A27="","",IF(AND(E27=F27,G27=H27,I27=J27,K27=L27,N27&gt;=M27,F27=H27),IF(C27=D27,"OK","OK（表の数を変えた：意図どおりか確認）"),"要確認：数が合わない"))</f>
        <v/>
      </c>
    </row>
    <row r="28" customFormat="false" ht="15" hidden="false" customHeight="false" outlineLevel="0" collapsed="false">
      <c r="A28" s="32"/>
      <c r="B28" s="33"/>
      <c r="C28" s="32"/>
      <c r="D28" s="32"/>
      <c r="E28" s="32"/>
      <c r="F28" s="32"/>
      <c r="G28" s="32"/>
      <c r="H28" s="32"/>
      <c r="I28" s="32"/>
      <c r="J28" s="32"/>
      <c r="K28" s="32"/>
      <c r="L28" s="32"/>
      <c r="M28" s="32"/>
      <c r="N28" s="32"/>
      <c r="O28" s="31" t="str">
        <f aca="false">IF(A28="","",IF(AND(E28=F28,G28=H28,I28=J28,K28=L28,N28&gt;=M28,F28=H28),IF(C28=D28,"OK","OK（表の数を変えた：意図どおりか確認）"),"要確認：数が合わない"))</f>
        <v/>
      </c>
    </row>
    <row r="29" customFormat="false" ht="15" hidden="false" customHeight="false" outlineLevel="0" collapsed="false">
      <c r="A29" s="32"/>
      <c r="B29" s="33"/>
      <c r="C29" s="32"/>
      <c r="D29" s="32"/>
      <c r="E29" s="32"/>
      <c r="F29" s="32"/>
      <c r="G29" s="32"/>
      <c r="H29" s="32"/>
      <c r="I29" s="32"/>
      <c r="J29" s="32"/>
      <c r="K29" s="32"/>
      <c r="L29" s="32"/>
      <c r="M29" s="32"/>
      <c r="N29" s="32"/>
      <c r="O29" s="31" t="str">
        <f aca="false">IF(A29="","",IF(AND(E29=F29,G29=H29,I29=J29,K29=L29,N29&gt;=M29,F29=H29),IF(C29=D29,"OK","OK（表の数を変えた：意図どおりか確認）"),"要確認：数が合わない"))</f>
        <v/>
      </c>
    </row>
    <row r="30" customFormat="false" ht="15" hidden="false" customHeight="false" outlineLevel="0" collapsed="false">
      <c r="A30" s="32"/>
      <c r="B30" s="33"/>
      <c r="C30" s="32"/>
      <c r="D30" s="32"/>
      <c r="E30" s="32"/>
      <c r="F30" s="32"/>
      <c r="G30" s="32"/>
      <c r="H30" s="32"/>
      <c r="I30" s="32"/>
      <c r="J30" s="32"/>
      <c r="K30" s="32"/>
      <c r="L30" s="32"/>
      <c r="M30" s="32"/>
      <c r="N30" s="32"/>
      <c r="O30" s="31" t="str">
        <f aca="false">IF(A30="","",IF(AND(E30=F30,G30=H30,I30=J30,K30=L30,N30&gt;=M30,F30=H30),IF(C30=D30,"OK","OK（表の数を変えた：意図どおりか確認）"),"要確認：数が合わない"))</f>
        <v/>
      </c>
    </row>
    <row r="31" customFormat="false" ht="15" hidden="false" customHeight="false" outlineLevel="0" collapsed="false">
      <c r="A31" s="32"/>
      <c r="B31" s="33"/>
      <c r="C31" s="32"/>
      <c r="D31" s="32"/>
      <c r="E31" s="32"/>
      <c r="F31" s="32"/>
      <c r="G31" s="32"/>
      <c r="H31" s="32"/>
      <c r="I31" s="32"/>
      <c r="J31" s="32"/>
      <c r="K31" s="32"/>
      <c r="L31" s="32"/>
      <c r="M31" s="32"/>
      <c r="N31" s="32"/>
      <c r="O31" s="31" t="str">
        <f aca="false">IF(A31="","",IF(AND(E31=F31,G31=H31,I31=J31,K31=L31,N31&gt;=M31,F31=H31),IF(C31=D31,"OK","OK（表の数を変えた：意図どおりか確認）"),"要確認：数が合わない"))</f>
        <v/>
      </c>
    </row>
    <row r="32" customFormat="false" ht="15" hidden="false" customHeight="false" outlineLevel="0" collapsed="false">
      <c r="A32" s="32"/>
      <c r="B32" s="33"/>
      <c r="C32" s="32"/>
      <c r="D32" s="32"/>
      <c r="E32" s="32"/>
      <c r="F32" s="32"/>
      <c r="G32" s="32"/>
      <c r="H32" s="32"/>
      <c r="I32" s="32"/>
      <c r="J32" s="32"/>
      <c r="K32" s="32"/>
      <c r="L32" s="32"/>
      <c r="M32" s="32"/>
      <c r="N32" s="32"/>
      <c r="O32" s="31" t="str">
        <f aca="false">IF(A32="","",IF(AND(E32=F32,G32=H32,I32=J32,K32=L32,N32&gt;=M32,F32=H32),IF(C32=D32,"OK","OK（表の数を変えた：意図どおりか確認）"),"要確認：数が合わない"))</f>
        <v/>
      </c>
    </row>
    <row r="33" customFormat="false" ht="15" hidden="false" customHeight="false" outlineLevel="0" collapsed="false">
      <c r="A33" s="32"/>
      <c r="B33" s="33"/>
      <c r="C33" s="32"/>
      <c r="D33" s="32"/>
      <c r="E33" s="32"/>
      <c r="F33" s="32"/>
      <c r="G33" s="32"/>
      <c r="H33" s="32"/>
      <c r="I33" s="32"/>
      <c r="J33" s="32"/>
      <c r="K33" s="32"/>
      <c r="L33" s="32"/>
      <c r="M33" s="32"/>
      <c r="N33" s="32"/>
      <c r="O33" s="31" t="str">
        <f aca="false">IF(A33="","",IF(AND(E33=F33,G33=H33,I33=J33,K33=L33,N33&gt;=M33,F33=H33),IF(C33=D33,"OK","OK（表の数を変えた：意図どおりか確認）"),"要確認：数が合わない"))</f>
        <v/>
      </c>
    </row>
    <row r="34" customFormat="false" ht="15" hidden="false" customHeight="false" outlineLevel="0" collapsed="false">
      <c r="A34" s="32"/>
      <c r="B34" s="33"/>
      <c r="C34" s="32"/>
      <c r="D34" s="32"/>
      <c r="E34" s="32"/>
      <c r="F34" s="32"/>
      <c r="G34" s="32"/>
      <c r="H34" s="32"/>
      <c r="I34" s="32"/>
      <c r="J34" s="32"/>
      <c r="K34" s="32"/>
      <c r="L34" s="32"/>
      <c r="M34" s="32"/>
      <c r="N34" s="32"/>
      <c r="O34" s="31" t="str">
        <f aca="false">IF(A34="","",IF(AND(E34=F34,G34=H34,I34=J34,K34=L34,N34&gt;=M34,F34=H34),IF(C34=D34,"OK","OK（表の数を変えた：意図どおりか確認）"),"要確認：数が合わない"))</f>
        <v/>
      </c>
    </row>
    <row r="35" customFormat="false" ht="15" hidden="false" customHeight="false" outlineLevel="0" collapsed="false">
      <c r="A35" s="32"/>
      <c r="B35" s="33"/>
      <c r="C35" s="32"/>
      <c r="D35" s="32"/>
      <c r="E35" s="32"/>
      <c r="F35" s="32"/>
      <c r="G35" s="32"/>
      <c r="H35" s="32"/>
      <c r="I35" s="32"/>
      <c r="J35" s="32"/>
      <c r="K35" s="32"/>
      <c r="L35" s="32"/>
      <c r="M35" s="32"/>
      <c r="N35" s="32"/>
      <c r="O35" s="31" t="str">
        <f aca="false">IF(A35="","",IF(AND(E35=F35,G35=H35,I35=J35,K35=L35,N35&gt;=M35,F35=H35),IF(C35=D35,"OK","OK（表の数を変えた：意図どおりか確認）"),"要確認：数が合わない"))</f>
        <v/>
      </c>
    </row>
    <row r="36" customFormat="false" ht="15" hidden="false" customHeight="false" outlineLevel="0" collapsed="false">
      <c r="A36" s="32"/>
      <c r="B36" s="33"/>
      <c r="C36" s="32"/>
      <c r="D36" s="32"/>
      <c r="E36" s="32"/>
      <c r="F36" s="32"/>
      <c r="G36" s="32"/>
      <c r="H36" s="32"/>
      <c r="I36" s="32"/>
      <c r="J36" s="32"/>
      <c r="K36" s="32"/>
      <c r="L36" s="32"/>
      <c r="M36" s="32"/>
      <c r="N36" s="32"/>
      <c r="O36" s="31" t="str">
        <f aca="false">IF(A36="","",IF(AND(E36=F36,G36=H36,I36=J36,K36=L36,N36&gt;=M36,F36=H36),IF(C36=D36,"OK","OK（表の数を変えた：意図どおりか確認）"),"要確認：数が合わない"))</f>
        <v/>
      </c>
    </row>
    <row r="37" customFormat="false" ht="15" hidden="false" customHeight="false" outlineLevel="0" collapsed="false">
      <c r="A37" s="32"/>
      <c r="B37" s="33"/>
      <c r="C37" s="32"/>
      <c r="D37" s="32"/>
      <c r="E37" s="32"/>
      <c r="F37" s="32"/>
      <c r="G37" s="32"/>
      <c r="H37" s="32"/>
      <c r="I37" s="32"/>
      <c r="J37" s="32"/>
      <c r="K37" s="32"/>
      <c r="L37" s="32"/>
      <c r="M37" s="32"/>
      <c r="N37" s="32"/>
      <c r="O37" s="31" t="str">
        <f aca="false">IF(A37="","",IF(AND(E37=F37,G37=H37,I37=J37,K37=L37,N37&gt;=M37,F37=H37),IF(C37=D37,"OK","OK（表の数を変えた：意図どおりか確認）"),"要確認：数が合わない"))</f>
        <v/>
      </c>
    </row>
    <row r="38" customFormat="false" ht="15" hidden="false" customHeight="false" outlineLevel="0" collapsed="false">
      <c r="A38" s="32"/>
      <c r="B38" s="33"/>
      <c r="C38" s="32"/>
      <c r="D38" s="32"/>
      <c r="E38" s="32"/>
      <c r="F38" s="32"/>
      <c r="G38" s="32"/>
      <c r="H38" s="32"/>
      <c r="I38" s="32"/>
      <c r="J38" s="32"/>
      <c r="K38" s="32"/>
      <c r="L38" s="32"/>
      <c r="M38" s="32"/>
      <c r="N38" s="32"/>
      <c r="O38" s="31" t="str">
        <f aca="false">IF(A38="","",IF(AND(E38=F38,G38=H38,I38=J38,K38=L38,N38&gt;=M38,F38=H38),IF(C38=D38,"OK","OK（表の数を変えた：意図どおりか確認）"),"要確認：数が合わない"))</f>
        <v/>
      </c>
    </row>
    <row r="39" customFormat="false" ht="15" hidden="false" customHeight="false" outlineLevel="0" collapsed="false">
      <c r="A39" s="32"/>
      <c r="B39" s="33"/>
      <c r="C39" s="32"/>
      <c r="D39" s="32"/>
      <c r="E39" s="32"/>
      <c r="F39" s="32"/>
      <c r="G39" s="32"/>
      <c r="H39" s="32"/>
      <c r="I39" s="32"/>
      <c r="J39" s="32"/>
      <c r="K39" s="32"/>
      <c r="L39" s="32"/>
      <c r="M39" s="32"/>
      <c r="N39" s="32"/>
      <c r="O39" s="31" t="str">
        <f aca="false">IF(A39="","",IF(AND(E39=F39,G39=H39,I39=J39,K39=L39,N39&gt;=M39,F39=H39),IF(C39=D39,"OK","OK（表の数を変えた：意図どおりか確認）"),"要確認：数が合わない"))</f>
        <v/>
      </c>
    </row>
    <row r="40" customFormat="false" ht="15" hidden="false" customHeight="false" outlineLevel="0" collapsed="false">
      <c r="A40" s="32"/>
      <c r="B40" s="33"/>
      <c r="C40" s="32"/>
      <c r="D40" s="32"/>
      <c r="E40" s="32"/>
      <c r="F40" s="32"/>
      <c r="G40" s="32"/>
      <c r="H40" s="32"/>
      <c r="I40" s="32"/>
      <c r="J40" s="32"/>
      <c r="K40" s="32"/>
      <c r="L40" s="32"/>
      <c r="M40" s="32"/>
      <c r="N40" s="32"/>
      <c r="O40" s="31" t="str">
        <f aca="false">IF(A40="","",IF(AND(E40=F40,G40=H40,I40=J40,K40=L40,N40&gt;=M40,F40=H40),IF(C40=D40,"OK","OK（表の数を変えた：意図どおりか確認）"),"要確認：数が合わない"))</f>
        <v/>
      </c>
    </row>
    <row r="42" customFormat="false" ht="15" hidden="false" customHeight="false" outlineLevel="0" collapsed="false">
      <c r="A42" s="2" t="s">
        <v>435</v>
      </c>
    </row>
    <row r="44" customFormat="false" ht="15" hidden="false" customHeight="false" outlineLevel="0" collapsed="false">
      <c r="A44" s="6" t="s">
        <v>436</v>
      </c>
    </row>
    <row r="45" customFormat="false" ht="15" hidden="false" customHeight="false" outlineLevel="0" collapsed="false">
      <c r="A45" s="34" t="s">
        <v>437</v>
      </c>
    </row>
    <row r="46" customFormat="false" ht="15" hidden="false" customHeight="false" outlineLevel="0" collapsed="false">
      <c r="A46" s="34" t="s">
        <v>438</v>
      </c>
    </row>
    <row r="47" customFormat="false" ht="15" hidden="false" customHeight="false" outlineLevel="0" collapsed="false">
      <c r="A47" s="34" t="s">
        <v>439</v>
      </c>
    </row>
    <row r="48" customFormat="false" ht="15" hidden="false" customHeight="false" outlineLevel="0" collapsed="false">
      <c r="A48" s="34" t="s">
        <v>440</v>
      </c>
    </row>
    <row r="49" customFormat="false" ht="15" hidden="false" customHeight="false" outlineLevel="0" collapsed="false">
      <c r="A49" s="34" t="s">
        <v>441</v>
      </c>
    </row>
    <row r="50" customFormat="false" ht="15" hidden="false" customHeight="false" outlineLevel="0" collapsed="false">
      <c r="A50" s="35" t="s">
        <v>442</v>
      </c>
    </row>
    <row r="51" customFormat="false" ht="15" hidden="false" customHeight="false" outlineLevel="0" collapsed="false">
      <c r="A51" s="35" t="s">
        <v>443</v>
      </c>
    </row>
    <row r="52" customFormat="false" ht="15" hidden="false" customHeight="false" outlineLevel="0" collapsed="false">
      <c r="A52" s="35" t="s">
        <v>444</v>
      </c>
    </row>
    <row r="53" customFormat="false" ht="15" hidden="false" customHeight="false" outlineLevel="0" collapsed="false">
      <c r="A53" s="35" t="s">
        <v>445</v>
      </c>
    </row>
    <row r="54" customFormat="false" ht="15" hidden="false" customHeight="false" outlineLevel="0" collapsed="false">
      <c r="A54" s="35" t="s">
        <v>446</v>
      </c>
    </row>
    <row r="55" customFormat="false" ht="15" hidden="false" customHeight="false" outlineLevel="0" collapsed="false">
      <c r="A55" s="35" t="s">
        <v>447</v>
      </c>
    </row>
    <row r="57" customFormat="false" ht="15" hidden="false" customHeight="false" outlineLevel="0" collapsed="false">
      <c r="A57" s="24" t="s">
        <v>448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0"/>
    <col collapsed="false" customWidth="true" hidden="false" outlineLevel="0" max="3" min="3" style="0" width="16"/>
    <col collapsed="false" customWidth="true" hidden="false" outlineLevel="0" max="4" min="4" style="0" width="24"/>
    <col collapsed="false" customWidth="true" hidden="false" outlineLevel="0" max="5" min="5" style="0" width="60"/>
  </cols>
  <sheetData>
    <row r="1" customFormat="false" ht="19.4" hidden="false" customHeight="false" outlineLevel="0" collapsed="false">
      <c r="A1" s="8" t="s">
        <v>449</v>
      </c>
    </row>
    <row r="2" customFormat="false" ht="15" hidden="false" customHeight="false" outlineLevel="0" collapsed="false">
      <c r="A2" s="24" t="s">
        <v>450</v>
      </c>
    </row>
    <row r="4" customFormat="false" ht="15" hidden="false" customHeight="false" outlineLevel="0" collapsed="false">
      <c r="A4" s="6" t="s">
        <v>451</v>
      </c>
    </row>
    <row r="5" customFormat="false" ht="15" hidden="false" customHeight="false" outlineLevel="0" collapsed="false">
      <c r="A5" s="9" t="s">
        <v>452</v>
      </c>
      <c r="B5" s="28" t="s">
        <v>453</v>
      </c>
      <c r="C5" s="28" t="s">
        <v>454</v>
      </c>
      <c r="D5" s="9" t="s">
        <v>455</v>
      </c>
      <c r="E5" s="9" t="s">
        <v>51</v>
      </c>
    </row>
    <row r="6" customFormat="false" ht="15" hidden="false" customHeight="false" outlineLevel="0" collapsed="false">
      <c r="A6" s="36" t="s">
        <v>341</v>
      </c>
      <c r="B6" s="32" t="s">
        <v>456</v>
      </c>
      <c r="C6" s="37" t="n">
        <f aca="true">IF(B6="","",SUMPRODUCT((FIND(MID(UPPER(B6),ROW(INDIRECT("1:"&amp;LEN(B6))),1),"0123456789ABCDEFGHIJKLMNOPQRSTUVWXYZ")-1)*36^(LEN(B6)-ROW(INDIRECT("1:"&amp;LEN(B6))))))</f>
        <v>437002010</v>
      </c>
      <c r="D6" s="36" t="str">
        <f aca="false">IF(B6="","",MID(TEXT(C6,"000000000"),4,3))</f>
        <v>002</v>
      </c>
      <c r="E6" s="36" t="str">
        <f aca="false">IF(B6="","",IF(D6="002","採用のウラ側（OK）","別サイト → 発行し直す"))</f>
        <v>採用のウラ側（OK）</v>
      </c>
    </row>
    <row r="7" customFormat="false" ht="15" hidden="false" customHeight="false" outlineLevel="0" collapsed="false">
      <c r="A7" s="38" t="s">
        <v>457</v>
      </c>
      <c r="B7" s="32" t="s">
        <v>458</v>
      </c>
      <c r="C7" s="37" t="n">
        <f aca="true">IF(B7="","",SUMPRODUCT((FIND(MID(UPPER(B7),ROW(INDIRECT("1:"&amp;LEN(B7))),1),"0123456789ABCDEFGHIJKLMNOPQRSTUVWXYZ")-1)*36^(LEN(B7)-ROW(INDIRECT("1:"&amp;LEN(B7))))))</f>
        <v>428002010</v>
      </c>
      <c r="D7" s="36" t="str">
        <f aca="false">IF(B7="","",MID(TEXT(C7,"000000000"),4,3))</f>
        <v>002</v>
      </c>
      <c r="E7" s="36" t="str">
        <f aca="false">IF(B7="","",IF(D7="002","採用のウラ側（OK）","別サイト → 発行し直す"))</f>
        <v>採用のウラ側（OK）</v>
      </c>
    </row>
    <row r="8" customFormat="false" ht="15" hidden="false" customHeight="false" outlineLevel="0" collapsed="false">
      <c r="A8" s="38" t="s">
        <v>459</v>
      </c>
      <c r="B8" s="32" t="s">
        <v>460</v>
      </c>
      <c r="C8" s="37" t="n">
        <f aca="true">IF(B8="","",SUMPRODUCT((FIND(MID(UPPER(B8),ROW(INDIRECT("1:"&amp;LEN(B8))),1),"0123456789ABCDEFGHIJKLMNOPQRSTUVWXYZ")-1)*36^(LEN(B8)-ROW(INDIRECT("1:"&amp;LEN(B8))))))</f>
        <v>909002010</v>
      </c>
      <c r="D8" s="36" t="str">
        <f aca="false">IF(B8="","",MID(TEXT(C8,"000000000"),4,3))</f>
        <v>002</v>
      </c>
      <c r="E8" s="36" t="str">
        <f aca="false">IF(B8="","",IF(D8="002","採用のウラ側（OK）","別サイト → 発行し直す"))</f>
        <v>採用のウラ側（OK）</v>
      </c>
    </row>
    <row r="9" customFormat="false" ht="15" hidden="false" customHeight="false" outlineLevel="0" collapsed="false">
      <c r="A9" s="38" t="s">
        <v>461</v>
      </c>
      <c r="B9" s="32" t="s">
        <v>462</v>
      </c>
      <c r="C9" s="37" t="n">
        <f aca="true">IF(B9="","",SUMPRODUCT((FIND(MID(UPPER(B9),ROW(INDIRECT("1:"&amp;LEN(B9))),1),"0123456789ABCDEFGHIJKLMNOPQRSTUVWXYZ")-1)*36^(LEN(B9)-ROW(INDIRECT("1:"&amp;LEN(B9))))))</f>
        <v>906001010</v>
      </c>
      <c r="D9" s="36" t="str">
        <f aca="false">IF(B9="","",MID(TEXT(C9,"000000000"),4,3))</f>
        <v>001</v>
      </c>
      <c r="E9" s="36" t="str">
        <f aca="false">IF(B9="","",IF(D9="002","採用のウラ側（OK）","別サイト → 発行し直す"))</f>
        <v>別サイト → 発行し直す</v>
      </c>
    </row>
    <row r="10" customFormat="false" ht="15" hidden="false" customHeight="false" outlineLevel="0" collapsed="false">
      <c r="A10" s="36"/>
      <c r="B10" s="32"/>
      <c r="C10" s="37" t="str">
        <f aca="true">IF(B10="","",SUMPRODUCT((FIND(MID(UPPER(B10),ROW(INDIRECT("1:"&amp;LEN(B10))),1),"0123456789ABCDEFGHIJKLMNOPQRSTUVWXYZ")-1)*36^(LEN(B10)-ROW(INDIRECT("1:"&amp;LEN(B10))))))</f>
        <v/>
      </c>
      <c r="D10" s="36" t="str">
        <f aca="false">IF(B10="","",MID(TEXT(C10,"000000000"),4,3))</f>
        <v/>
      </c>
      <c r="E10" s="36" t="str">
        <f aca="false">IF(B10="","",IF(D10="002","採用のウラ側（OK）","別サイト → 発行し直す"))</f>
        <v/>
      </c>
    </row>
    <row r="11" customFormat="false" ht="15" hidden="false" customHeight="false" outlineLevel="0" collapsed="false">
      <c r="A11" s="36"/>
      <c r="B11" s="32"/>
      <c r="C11" s="37" t="str">
        <f aca="true">IF(B11="","",SUMPRODUCT((FIND(MID(UPPER(B11),ROW(INDIRECT("1:"&amp;LEN(B11))),1),"0123456789ABCDEFGHIJKLMNOPQRSTUVWXYZ")-1)*36^(LEN(B11)-ROW(INDIRECT("1:"&amp;LEN(B11))))))</f>
        <v/>
      </c>
      <c r="D11" s="36" t="str">
        <f aca="false">IF(B11="","",MID(TEXT(C11,"000000000"),4,3))</f>
        <v/>
      </c>
      <c r="E11" s="36" t="str">
        <f aca="false">IF(B11="","",IF(D11="002","採用のウラ側（OK）","別サイト → 発行し直す"))</f>
        <v/>
      </c>
    </row>
    <row r="12" customFormat="false" ht="15" hidden="false" customHeight="false" outlineLevel="0" collapsed="false">
      <c r="A12" s="36"/>
      <c r="B12" s="32"/>
      <c r="C12" s="37" t="str">
        <f aca="true">IF(B12="","",SUMPRODUCT((FIND(MID(UPPER(B12),ROW(INDIRECT("1:"&amp;LEN(B12))),1),"0123456789ABCDEFGHIJKLMNOPQRSTUVWXYZ")-1)*36^(LEN(B12)-ROW(INDIRECT("1:"&amp;LEN(B12))))))</f>
        <v/>
      </c>
      <c r="D12" s="36" t="str">
        <f aca="false">IF(B12="","",MID(TEXT(C12,"000000000"),4,3))</f>
        <v/>
      </c>
      <c r="E12" s="36" t="str">
        <f aca="false">IF(B12="","",IF(D12="002","採用のウラ側（OK）","別サイト → 発行し直す"))</f>
        <v/>
      </c>
    </row>
    <row r="13" customFormat="false" ht="15" hidden="false" customHeight="false" outlineLevel="0" collapsed="false">
      <c r="A13" s="36"/>
      <c r="B13" s="32"/>
      <c r="C13" s="37" t="str">
        <f aca="true">IF(B13="","",SUMPRODUCT((FIND(MID(UPPER(B13),ROW(INDIRECT("1:"&amp;LEN(B13))),1),"0123456789ABCDEFGHIJKLMNOPQRSTUVWXYZ")-1)*36^(LEN(B13)-ROW(INDIRECT("1:"&amp;LEN(B13))))))</f>
        <v/>
      </c>
      <c r="D13" s="36" t="str">
        <f aca="false">IF(B13="","",MID(TEXT(C13,"000000000"),4,3))</f>
        <v/>
      </c>
      <c r="E13" s="36" t="str">
        <f aca="false">IF(B13="","",IF(D13="002","採用のウラ側（OK）","別サイト → 発行し直す"))</f>
        <v/>
      </c>
    </row>
    <row r="14" customFormat="false" ht="15" hidden="false" customHeight="false" outlineLevel="0" collapsed="false">
      <c r="A14" s="36"/>
      <c r="B14" s="32"/>
      <c r="C14" s="37" t="str">
        <f aca="true">IF(B14="","",SUMPRODUCT((FIND(MID(UPPER(B14),ROW(INDIRECT("1:"&amp;LEN(B14))),1),"0123456789ABCDEFGHIJKLMNOPQRSTUVWXYZ")-1)*36^(LEN(B14)-ROW(INDIRECT("1:"&amp;LEN(B14))))))</f>
        <v/>
      </c>
      <c r="D14" s="36" t="str">
        <f aca="false">IF(B14="","",MID(TEXT(C14,"000000000"),4,3))</f>
        <v/>
      </c>
      <c r="E14" s="36" t="str">
        <f aca="false">IF(B14="","",IF(D14="002","採用のウラ側（OK）","別サイト → 発行し直す"))</f>
        <v/>
      </c>
    </row>
    <row r="15" customFormat="false" ht="15" hidden="false" customHeight="false" outlineLevel="0" collapsed="false">
      <c r="A15" s="36"/>
      <c r="B15" s="32"/>
      <c r="C15" s="37" t="str">
        <f aca="true">IF(B15="","",SUMPRODUCT((FIND(MID(UPPER(B15),ROW(INDIRECT("1:"&amp;LEN(B15))),1),"0123456789ABCDEFGHIJKLMNOPQRSTUVWXYZ")-1)*36^(LEN(B15)-ROW(INDIRECT("1:"&amp;LEN(B15))))))</f>
        <v/>
      </c>
      <c r="D15" s="36" t="str">
        <f aca="false">IF(B15="","",MID(TEXT(C15,"000000000"),4,3))</f>
        <v/>
      </c>
      <c r="E15" s="36" t="str">
        <f aca="false">IF(B15="","",IF(D15="002","採用のウラ側（OK）","別サイト → 発行し直す"))</f>
        <v/>
      </c>
    </row>
    <row r="16" customFormat="false" ht="15" hidden="false" customHeight="false" outlineLevel="0" collapsed="false">
      <c r="A16" s="2" t="s">
        <v>463</v>
      </c>
    </row>
    <row r="18" customFormat="false" ht="15" hidden="false" customHeight="false" outlineLevel="0" collapsed="false">
      <c r="A18" s="6" t="s">
        <v>464</v>
      </c>
    </row>
    <row r="19" customFormat="false" ht="15" hidden="false" customHeight="false" outlineLevel="0" collapsed="false">
      <c r="B19" s="34" t="s">
        <v>465</v>
      </c>
    </row>
    <row r="20" customFormat="false" ht="15" hidden="false" customHeight="false" outlineLevel="0" collapsed="false">
      <c r="B20" s="34" t="s">
        <v>466</v>
      </c>
    </row>
    <row r="21" customFormat="false" ht="15" hidden="false" customHeight="false" outlineLevel="0" collapsed="false">
      <c r="B21" s="34" t="s">
        <v>467</v>
      </c>
    </row>
    <row r="23" customFormat="false" ht="15" hidden="false" customHeight="false" outlineLevel="0" collapsed="false">
      <c r="A23" s="6" t="s">
        <v>468</v>
      </c>
    </row>
    <row r="24" customFormat="false" ht="15" hidden="false" customHeight="false" outlineLevel="0" collapsed="false">
      <c r="B24" s="34" t="s">
        <v>469</v>
      </c>
    </row>
    <row r="25" customFormat="false" ht="15" hidden="false" customHeight="false" outlineLevel="0" collapsed="false">
      <c r="B25" s="34" t="s">
        <v>470</v>
      </c>
    </row>
    <row r="26" customFormat="false" ht="15" hidden="false" customHeight="false" outlineLevel="0" collapsed="false">
      <c r="B26" s="34" t="s">
        <v>471</v>
      </c>
    </row>
    <row r="28" customFormat="false" ht="15" hidden="false" customHeight="false" outlineLevel="0" collapsed="false">
      <c r="A28" s="6" t="s">
        <v>472</v>
      </c>
    </row>
    <row r="29" customFormat="false" ht="15" hidden="false" customHeight="false" outlineLevel="0" collapsed="false">
      <c r="B29" s="34" t="s">
        <v>473</v>
      </c>
    </row>
    <row r="30" customFormat="false" ht="15" hidden="false" customHeight="false" outlineLevel="0" collapsed="false">
      <c r="B30" s="34" t="s">
        <v>474</v>
      </c>
    </row>
    <row r="31" customFormat="false" ht="15" hidden="false" customHeight="false" outlineLevel="0" collapsed="false">
      <c r="B31" s="34" t="s">
        <v>475</v>
      </c>
    </row>
    <row r="32" customFormat="false" ht="15" hidden="false" customHeight="false" outlineLevel="0" collapsed="false">
      <c r="B32" s="34" t="s">
        <v>476</v>
      </c>
    </row>
    <row r="34" customFormat="false" ht="15" hidden="false" customHeight="false" outlineLevel="0" collapsed="false">
      <c r="A34" s="6" t="s">
        <v>477</v>
      </c>
    </row>
    <row r="35" customFormat="false" ht="15" hidden="false" customHeight="false" outlineLevel="0" collapsed="false">
      <c r="B35" s="34" t="s">
        <v>478</v>
      </c>
    </row>
    <row r="37" customFormat="false" ht="15" hidden="false" customHeight="false" outlineLevel="0" collapsed="false">
      <c r="A37" s="3" t="s">
        <v>479</v>
      </c>
    </row>
    <row r="38" customFormat="false" ht="15" hidden="false" customHeight="false" outlineLevel="0" collapsed="false">
      <c r="B38" s="34" t="s">
        <v>480</v>
      </c>
    </row>
    <row r="39" customFormat="false" ht="15" hidden="false" customHeight="false" outlineLevel="0" collapsed="false">
      <c r="B39" s="34" t="s">
        <v>481</v>
      </c>
    </row>
    <row r="40" customFormat="false" ht="15" hidden="false" customHeight="false" outlineLevel="0" collapsed="false">
      <c r="B40" s="34" t="s">
        <v>482</v>
      </c>
    </row>
    <row r="42" customFormat="false" ht="15" hidden="false" customHeight="false" outlineLevel="0" collapsed="false">
      <c r="A42" s="3" t="s">
        <v>483</v>
      </c>
    </row>
    <row r="43" customFormat="false" ht="15" hidden="false" customHeight="false" outlineLevel="0" collapsed="false">
      <c r="B43" s="34" t="s">
        <v>484</v>
      </c>
    </row>
    <row r="44" customFormat="false" ht="15" hidden="false" customHeight="false" outlineLevel="0" collapsed="false">
      <c r="B44" s="34" t="s">
        <v>485</v>
      </c>
    </row>
    <row r="45" customFormat="false" ht="15" hidden="false" customHeight="false" outlineLevel="0" collapsed="false">
      <c r="B45" s="34" t="s">
        <v>486</v>
      </c>
    </row>
    <row r="46" customFormat="false" ht="15" hidden="false" customHeight="false" outlineLevel="0" collapsed="false">
      <c r="B46" s="34" t="s">
        <v>487</v>
      </c>
    </row>
    <row r="47" customFormat="false" ht="15" hidden="false" customHeight="false" outlineLevel="0" collapsed="false">
      <c r="B47" s="34" t="s">
        <v>488</v>
      </c>
    </row>
    <row r="48" customFormat="false" ht="15" hidden="false" customHeight="false" outlineLevel="0" collapsed="false">
      <c r="B48" s="34" t="s">
        <v>489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 min="1" style="0" width="11"/>
    <col collapsed="false" customWidth="true" hidden="false" outlineLevel="0" max="12" min="4" style="0" width="9"/>
    <col collapsed="false" customWidth="true" hidden="false" outlineLevel="0" max="13" min="13" style="0" width="13"/>
    <col collapsed="false" customWidth="true" hidden="false" outlineLevel="0" max="14" min="14" style="0" width="12"/>
    <col collapsed="false" customWidth="true" hidden="false" outlineLevel="0" max="15" min="15" style="0" width="26"/>
    <col collapsed="false" customWidth="true" hidden="false" outlineLevel="0" max="16" min="16" style="0" width="13"/>
  </cols>
  <sheetData>
    <row r="1" customFormat="false" ht="19.4" hidden="false" customHeight="false" outlineLevel="0" collapsed="false">
      <c r="A1" s="8" t="s">
        <v>490</v>
      </c>
    </row>
    <row r="2" customFormat="false" ht="15" hidden="false" customHeight="false" outlineLevel="0" collapsed="false">
      <c r="A2" s="2" t="s">
        <v>491</v>
      </c>
    </row>
    <row r="4" customFormat="false" ht="15" hidden="false" customHeight="false" outlineLevel="0" collapsed="false">
      <c r="A4" s="3" t="s">
        <v>492</v>
      </c>
    </row>
    <row r="5" customFormat="false" ht="15" hidden="false" customHeight="false" outlineLevel="0" collapsed="false">
      <c r="A5" s="9" t="s">
        <v>493</v>
      </c>
      <c r="B5" s="9" t="s">
        <v>494</v>
      </c>
      <c r="C5" s="9" t="s">
        <v>495</v>
      </c>
      <c r="D5" s="9"/>
      <c r="E5" s="9"/>
      <c r="F5" s="9"/>
      <c r="G5" s="9"/>
      <c r="H5" s="9"/>
      <c r="I5" s="9"/>
      <c r="J5" s="9"/>
      <c r="K5" s="9"/>
      <c r="L5" s="9"/>
      <c r="M5" s="9"/>
      <c r="N5" s="9"/>
      <c r="O5" s="9"/>
      <c r="P5" s="9"/>
    </row>
    <row r="6" customFormat="false" ht="15" hidden="false" customHeight="false" outlineLevel="0" collapsed="false">
      <c r="A6" s="3" t="s">
        <v>496</v>
      </c>
      <c r="B6" s="39" t="n">
        <v>46266</v>
      </c>
      <c r="C6" s="39" t="n">
        <v>46308</v>
      </c>
      <c r="E6" s="2" t="s">
        <v>497</v>
      </c>
    </row>
    <row r="7" customFormat="false" ht="15" hidden="false" customHeight="false" outlineLevel="0" collapsed="false">
      <c r="A7" s="3" t="s">
        <v>498</v>
      </c>
      <c r="B7" s="39" t="n">
        <v>46309</v>
      </c>
      <c r="C7" s="39" t="n">
        <v>46312</v>
      </c>
    </row>
    <row r="8" customFormat="false" ht="15" hidden="false" customHeight="false" outlineLevel="0" collapsed="false">
      <c r="A8" s="6" t="s">
        <v>499</v>
      </c>
      <c r="B8" s="39" t="n">
        <v>46313</v>
      </c>
      <c r="C8" s="39" t="n">
        <v>46326</v>
      </c>
    </row>
    <row r="9" customFormat="false" ht="15" hidden="false" customHeight="false" outlineLevel="0" collapsed="false">
      <c r="A9" s="6" t="s">
        <v>500</v>
      </c>
      <c r="B9" s="39" t="n">
        <v>46313</v>
      </c>
      <c r="C9" s="39" t="n">
        <v>46342</v>
      </c>
    </row>
    <row r="11" customFormat="false" ht="15" hidden="false" customHeight="false" outlineLevel="0" collapsed="false">
      <c r="A11" s="3" t="s">
        <v>51</v>
      </c>
    </row>
    <row r="12" customFormat="false" ht="26.85" hidden="false" customHeight="false" outlineLevel="0" collapsed="false">
      <c r="A12" s="9" t="s">
        <v>501</v>
      </c>
      <c r="B12" s="9" t="s">
        <v>496</v>
      </c>
      <c r="C12" s="28" t="s">
        <v>502</v>
      </c>
      <c r="D12" s="28" t="s">
        <v>503</v>
      </c>
      <c r="E12" s="28" t="s">
        <v>504</v>
      </c>
      <c r="F12" s="28" t="s">
        <v>505</v>
      </c>
      <c r="G12" s="28" t="s">
        <v>506</v>
      </c>
      <c r="H12" s="28" t="s">
        <v>507</v>
      </c>
      <c r="I12" s="28" t="s">
        <v>508</v>
      </c>
      <c r="J12" s="9"/>
      <c r="K12" s="9"/>
      <c r="L12" s="9"/>
      <c r="M12" s="9"/>
      <c r="N12" s="9"/>
      <c r="O12" s="9"/>
      <c r="P12" s="9"/>
    </row>
    <row r="13" customFormat="false" ht="15" hidden="false" customHeight="false" outlineLevel="0" collapsed="false">
      <c r="A13" s="36" t="s">
        <v>509</v>
      </c>
      <c r="B13" s="40" t="n">
        <f aca="false">SUMIFS(B$31:B$151,$A$31:$A$151,"&gt;="&amp;$B$6,$A$31:$A$151,"&lt;="&amp;$C$6)</f>
        <v>0</v>
      </c>
      <c r="C13" s="40" t="n">
        <f aca="false">SUMIFS(B$31:B$151,$A$31:$A$151,"&gt;="&amp;$B$8,$A$31:$A$151,"&lt;="&amp;$C$8)</f>
        <v>0</v>
      </c>
      <c r="D13" s="40" t="n">
        <f aca="false">SUMIFS(B$31:B$151,$A$31:$A$151,"&gt;="&amp;$B$9,$A$31:$A$151,"&lt;="&amp;$C$9)</f>
        <v>0</v>
      </c>
      <c r="E13" s="41"/>
      <c r="F13" s="41"/>
      <c r="G13" s="41"/>
      <c r="H13" s="41"/>
      <c r="I13" s="41"/>
    </row>
    <row r="14" customFormat="false" ht="15" hidden="false" customHeight="false" outlineLevel="0" collapsed="false">
      <c r="A14" s="38" t="s">
        <v>510</v>
      </c>
      <c r="B14" s="40" t="n">
        <f aca="false">SUMIFS(D$31:D$151,$A$31:$A$151,"&gt;="&amp;$B$6,$A$31:$A$151,"&lt;="&amp;$C$6)</f>
        <v>0</v>
      </c>
      <c r="C14" s="40" t="n">
        <f aca="false">SUMIFS(D$31:D$151,$A$31:$A$151,"&gt;="&amp;$B$8,$A$31:$A$151,"&lt;="&amp;$C$8)</f>
        <v>0</v>
      </c>
      <c r="D14" s="40" t="n">
        <f aca="false">SUMIFS(D$31:D$151,$A$31:$A$151,"&gt;="&amp;$B$9,$A$31:$A$151,"&lt;="&amp;$C$9)</f>
        <v>0</v>
      </c>
      <c r="E14" s="41"/>
      <c r="F14" s="41"/>
      <c r="G14" s="41"/>
      <c r="H14" s="41"/>
      <c r="I14" s="41"/>
    </row>
    <row r="15" customFormat="false" ht="15" hidden="false" customHeight="false" outlineLevel="0" collapsed="false">
      <c r="A15" s="38" t="s">
        <v>511</v>
      </c>
      <c r="B15" s="40" t="n">
        <f aca="false">SUMIFS(E$31:E$151,$A$31:$A$151,"&gt;="&amp;$B$6,$A$31:$A$151,"&lt;="&amp;$C$6)</f>
        <v>0</v>
      </c>
      <c r="C15" s="40" t="n">
        <f aca="false">SUMIFS(E$31:E$151,$A$31:$A$151,"&gt;="&amp;$B$8,$A$31:$A$151,"&lt;="&amp;$C$8)</f>
        <v>0</v>
      </c>
      <c r="D15" s="40" t="n">
        <f aca="false">SUMIFS(E$31:E$151,$A$31:$A$151,"&gt;="&amp;$B$9,$A$31:$A$151,"&lt;="&amp;$C$9)</f>
        <v>0</v>
      </c>
      <c r="E15" s="41"/>
      <c r="F15" s="41"/>
      <c r="G15" s="41"/>
      <c r="H15" s="41"/>
      <c r="I15" s="41"/>
    </row>
    <row r="16" customFormat="false" ht="15" hidden="false" customHeight="false" outlineLevel="0" collapsed="false">
      <c r="A16" s="36" t="s">
        <v>512</v>
      </c>
      <c r="B16" s="40" t="n">
        <f aca="false">SUMIFS(E$31:E$151,$A$31:$A$151,"&gt;="&amp;$B$6,$A$31:$A$151,"&lt;="&amp;$C$6)+SUMIFS(H$31:H$151,$A$31:$A$151,"&gt;="&amp;$B$6,$A$31:$A$151,"&lt;="&amp;$C$6)+SUMIFS(K$31:K$151,$A$31:$A$151,"&gt;="&amp;$B$6,$A$31:$A$151,"&lt;="&amp;$C$6)</f>
        <v>0</v>
      </c>
      <c r="C16" s="40" t="n">
        <f aca="false">SUMIFS(E$31:E$151,$A$31:$A$151,"&gt;="&amp;$B$8,$A$31:$A$151,"&lt;="&amp;$C$8)+SUMIFS(H$31:H$151,$A$31:$A$151,"&gt;="&amp;$B$8,$A$31:$A$151,"&lt;="&amp;$C$8)+SUMIFS(K$31:K$151,$A$31:$A$151,"&gt;="&amp;$B$8,$A$31:$A$151,"&lt;="&amp;$C$8)</f>
        <v>0</v>
      </c>
      <c r="D16" s="40" t="n">
        <f aca="false">SUMIFS(E$31:E$151,$A$31:$A$151,"&gt;="&amp;$B$9,$A$31:$A$151,"&lt;="&amp;$C$9)+SUMIFS(H$31:H$151,$A$31:$A$151,"&gt;="&amp;$B$9,$A$31:$A$151,"&lt;="&amp;$C$9)+SUMIFS(K$31:K$151,$A$31:$A$151,"&gt;="&amp;$B$9,$A$31:$A$151,"&lt;="&amp;$C$9)</f>
        <v>0</v>
      </c>
      <c r="E16" s="41"/>
      <c r="F16" s="41"/>
      <c r="G16" s="41"/>
      <c r="H16" s="41"/>
      <c r="I16" s="41"/>
    </row>
    <row r="17" customFormat="false" ht="15" hidden="false" customHeight="false" outlineLevel="0" collapsed="false">
      <c r="A17" s="36" t="s">
        <v>513</v>
      </c>
      <c r="B17" s="40" t="n">
        <f aca="false">SUMIFS(N$31:N$151,$A$31:$A$151,"&gt;="&amp;$B$6,$A$31:$A$151,"&lt;="&amp;$C$6)</f>
        <v>0</v>
      </c>
      <c r="C17" s="40" t="n">
        <f aca="false">SUMIFS(N$31:N$151,$A$31:$A$151,"&gt;="&amp;$B$8,$A$31:$A$151,"&lt;="&amp;$C$8)</f>
        <v>0</v>
      </c>
      <c r="D17" s="40" t="n">
        <f aca="false">SUMIFS(N$31:N$151,$A$31:$A$151,"&gt;="&amp;$B$9,$A$31:$A$151,"&lt;="&amp;$C$9)</f>
        <v>0</v>
      </c>
      <c r="E17" s="41"/>
      <c r="F17" s="41"/>
      <c r="G17" s="41"/>
      <c r="H17" s="41"/>
      <c r="I17" s="41"/>
    </row>
    <row r="18" customFormat="false" ht="15" hidden="false" customHeight="false" outlineLevel="0" collapsed="false">
      <c r="A18" s="31" t="s">
        <v>514</v>
      </c>
      <c r="B18" s="42" t="str">
        <f aca="false">IF(B13=0,"",B14/B13*1000)</f>
        <v/>
      </c>
      <c r="C18" s="42" t="str">
        <f aca="false">IF(C13=0,"",C14/C13*1000)</f>
        <v/>
      </c>
      <c r="D18" s="42" t="str">
        <f aca="false">IF(D13=0,"",D14/D13*1000)</f>
        <v/>
      </c>
      <c r="E18" s="36" t="n">
        <v>120</v>
      </c>
      <c r="F18" s="36" t="n">
        <v>80</v>
      </c>
      <c r="G18" s="38" t="s">
        <v>515</v>
      </c>
      <c r="H18" s="36" t="str">
        <f aca="false">IF(C18="","未入力",IF(C18&gt;=E18,"成功（計測は直った）",IF(C18&lt;F18,"失敗：ソースを点検","途中：記事ごとに確認")))</f>
        <v>未入力</v>
      </c>
      <c r="I18" s="36" t="str">
        <f aca="false">IF(D18="","未入力",IF(D18&gt;=E18,"OK","要確認"))</f>
        <v>未入力</v>
      </c>
    </row>
    <row r="19" customFormat="false" ht="15" hidden="false" customHeight="false" outlineLevel="0" collapsed="false">
      <c r="A19" s="31" t="s">
        <v>516</v>
      </c>
      <c r="B19" s="43" t="str">
        <f aca="false">IF(B13=0,"",B15/B13*1000)</f>
        <v/>
      </c>
      <c r="C19" s="43" t="str">
        <f aca="false">IF(C13=0,"",C15/C13*1000)</f>
        <v/>
      </c>
      <c r="D19" s="43" t="str">
        <f aca="false">IF(D13=0,"",D15/D13*1000)</f>
        <v/>
      </c>
      <c r="E19" s="36" t="n">
        <v>1.2</v>
      </c>
      <c r="F19" s="36" t="n">
        <v>0.5</v>
      </c>
      <c r="G19" s="36" t="n">
        <v>2</v>
      </c>
      <c r="H19" s="36" t="str">
        <f aca="false">IF(C19="","未入力",IF(C19&gt;=E19,"順調（参考）",IF(C19&lt;F19,"要注意（参考）","途中（参考）")))</f>
        <v>未入力</v>
      </c>
      <c r="I19" s="36" t="str">
        <f aca="false">IF(D19="","未入力",IF(D19&gt;=G19,"成功","未達：訴求・位置を見直す"))</f>
        <v>未入力</v>
      </c>
    </row>
    <row r="20" customFormat="false" ht="15" hidden="false" customHeight="false" outlineLevel="0" collapsed="false">
      <c r="A20" s="44" t="s">
        <v>517</v>
      </c>
      <c r="B20" s="43" t="str">
        <f aca="false">IF(B13=0,"",B16/B13*1000)</f>
        <v/>
      </c>
      <c r="C20" s="43" t="str">
        <f aca="false">IF(C13=0,"",C16/C13*1000)</f>
        <v/>
      </c>
      <c r="D20" s="43" t="str">
        <f aca="false">IF(D13=0,"",D16/D13*1000)</f>
        <v/>
      </c>
      <c r="E20" s="45" t="str">
        <f aca="false">IF(B20="","",B20+1)</f>
        <v/>
      </c>
      <c r="F20" s="45" t="str">
        <f aca="false">IF(B20="","",B20)</f>
        <v/>
      </c>
      <c r="G20" s="45" t="str">
        <f aca="false">IF(B20="","",B20+2)</f>
        <v/>
      </c>
      <c r="H20" s="36" t="str">
        <f aca="false">IF(OR(B20="",C20=""),"未入力",IF(C20&gt;=E20,"順調（参考）",IF(C20&lt;F20,"基準より下：D・Eの記事を確認","途中（参考）")))</f>
        <v>未入力</v>
      </c>
      <c r="I20" s="36" t="str">
        <f aca="false">IF(OR(B20="",D20=""),"未入力",IF(D20&gt;=G20,"成功","未達"))</f>
        <v>未入力</v>
      </c>
    </row>
    <row r="21" customFormat="false" ht="15" hidden="false" customHeight="false" outlineLevel="0" collapsed="false">
      <c r="A21" s="31" t="s">
        <v>518</v>
      </c>
      <c r="B21" s="46" t="str">
        <f aca="false">IF(B14=0,"",B15/B14)</f>
        <v/>
      </c>
      <c r="C21" s="46" t="str">
        <f aca="false">IF(C14=0,"",C15/C14)</f>
        <v/>
      </c>
      <c r="D21" s="46" t="str">
        <f aca="false">IF(D14=0,"",D15/D14)</f>
        <v/>
      </c>
      <c r="E21" s="36"/>
      <c r="F21" s="36"/>
      <c r="G21" s="47" t="n">
        <v>0.008</v>
      </c>
      <c r="H21" s="36"/>
      <c r="I21" s="36" t="str">
        <f aca="false">IF(D21="","未入力",IF(D21&gt;=G21,"OK","表示は増えたが押されていない"))</f>
        <v>未入力</v>
      </c>
    </row>
    <row r="22" customFormat="false" ht="15" hidden="false" customHeight="false" outlineLevel="0" collapsed="false">
      <c r="A22" s="44" t="s">
        <v>519</v>
      </c>
      <c r="B22" s="48" t="n">
        <f aca="false">B17</f>
        <v>0</v>
      </c>
      <c r="C22" s="48" t="n">
        <f aca="false">C17</f>
        <v>0</v>
      </c>
      <c r="D22" s="48" t="n">
        <f aca="false">D17</f>
        <v>0</v>
      </c>
      <c r="E22" s="36"/>
      <c r="F22" s="36"/>
      <c r="G22" s="36" t="n">
        <v>1</v>
      </c>
      <c r="H22" s="36"/>
      <c r="I22" s="36" t="str">
        <f aca="false">IF(D13=0,"未入力",IF(D22&gt;=G22,"成功","0件：クリックの中身を確認"))</f>
        <v>未入力</v>
      </c>
    </row>
    <row r="23" customFormat="false" ht="15" hidden="false" customHeight="false" outlineLevel="0" collapsed="false">
      <c r="A23" s="2" t="s">
        <v>520</v>
      </c>
    </row>
    <row r="24" customFormat="false" ht="15" hidden="false" customHeight="false" outlineLevel="0" collapsed="false">
      <c r="A24" s="2" t="s">
        <v>521</v>
      </c>
    </row>
    <row r="26" customFormat="false" ht="15" hidden="false" customHeight="false" outlineLevel="0" collapsed="false">
      <c r="A26" s="3" t="s">
        <v>522</v>
      </c>
    </row>
    <row r="27" customFormat="false" ht="15" hidden="false" customHeight="false" outlineLevel="0" collapsed="false">
      <c r="A27" s="24" t="s">
        <v>523</v>
      </c>
      <c r="B27" s="24" t="s">
        <v>524</v>
      </c>
      <c r="C27" s="2" t="s">
        <v>525</v>
      </c>
      <c r="D27" s="2" t="s">
        <v>526</v>
      </c>
    </row>
    <row r="28" customFormat="false" ht="15" hidden="false" customHeight="false" outlineLevel="0" collapsed="false">
      <c r="A28" s="24" t="s">
        <v>527</v>
      </c>
      <c r="B28" s="24" t="s">
        <v>528</v>
      </c>
      <c r="C28" s="2" t="s">
        <v>529</v>
      </c>
      <c r="D28" s="2" t="s">
        <v>530</v>
      </c>
    </row>
    <row r="29" customFormat="false" ht="15" hidden="false" customHeight="false" outlineLevel="0" collapsed="false">
      <c r="A29" s="3" t="s">
        <v>531</v>
      </c>
      <c r="B29" s="24" t="s">
        <v>532</v>
      </c>
      <c r="C29" s="24" t="s">
        <v>533</v>
      </c>
      <c r="D29" s="2" t="s">
        <v>534</v>
      </c>
    </row>
    <row r="30" customFormat="false" ht="26.85" hidden="false" customHeight="false" outlineLevel="0" collapsed="false">
      <c r="A30" s="9" t="s">
        <v>41</v>
      </c>
      <c r="B30" s="28" t="s">
        <v>535</v>
      </c>
      <c r="C30" s="28" t="s">
        <v>536</v>
      </c>
      <c r="D30" s="28" t="s">
        <v>537</v>
      </c>
      <c r="E30" s="28" t="s">
        <v>538</v>
      </c>
      <c r="F30" s="28" t="s">
        <v>539</v>
      </c>
      <c r="G30" s="28" t="s">
        <v>540</v>
      </c>
      <c r="H30" s="28" t="s">
        <v>541</v>
      </c>
      <c r="I30" s="28" t="s">
        <v>542</v>
      </c>
      <c r="J30" s="9" t="s">
        <v>543</v>
      </c>
      <c r="K30" s="9" t="s">
        <v>544</v>
      </c>
      <c r="L30" s="9" t="s">
        <v>545</v>
      </c>
      <c r="M30" s="9" t="s">
        <v>546</v>
      </c>
      <c r="N30" s="9" t="s">
        <v>547</v>
      </c>
      <c r="O30" s="9" t="s">
        <v>48</v>
      </c>
      <c r="P30" s="9" t="s">
        <v>493</v>
      </c>
    </row>
    <row r="31" customFormat="false" ht="15" hidden="false" customHeight="false" outlineLevel="0" collapsed="false">
      <c r="A31" s="49" t="n">
        <v>46266</v>
      </c>
      <c r="B31" s="32"/>
      <c r="C31" s="32"/>
      <c r="D31" s="32"/>
      <c r="E31" s="32"/>
      <c r="F31" s="32"/>
      <c r="G31" s="32"/>
      <c r="H31" s="32"/>
      <c r="I31" s="32"/>
      <c r="J31" s="32"/>
      <c r="K31" s="32"/>
      <c r="L31" s="32"/>
      <c r="M31" s="32"/>
      <c r="N31" s="32"/>
      <c r="O31" s="32"/>
      <c r="P31" s="2" t="str">
        <f aca="false">IF(AND(A31&gt;=$B$6,A31&lt;=$C$6),"基準",IF(AND(A31&gt;=$B$7,A31&lt;=$C$7),"移行（除外）",IF(AND(A31&gt;=$B$8,A31&lt;=$C$8),"2週間・1か月",IF(AND(A31&gt;=$B$9,A31&lt;=$C$9),"1か月",""))))</f>
        <v>基準</v>
      </c>
    </row>
    <row r="32" customFormat="false" ht="15" hidden="false" customHeight="false" outlineLevel="0" collapsed="false">
      <c r="A32" s="49" t="n">
        <v>46267</v>
      </c>
      <c r="B32" s="32"/>
      <c r="C32" s="32"/>
      <c r="D32" s="32"/>
      <c r="E32" s="32"/>
      <c r="F32" s="32"/>
      <c r="G32" s="32"/>
      <c r="H32" s="32"/>
      <c r="I32" s="32"/>
      <c r="J32" s="32"/>
      <c r="K32" s="32"/>
      <c r="L32" s="32"/>
      <c r="M32" s="32"/>
      <c r="N32" s="32"/>
      <c r="O32" s="32"/>
      <c r="P32" s="2" t="str">
        <f aca="false">IF(AND(A32&gt;=$B$6,A32&lt;=$C$6),"基準",IF(AND(A32&gt;=$B$7,A32&lt;=$C$7),"移行（除外）",IF(AND(A32&gt;=$B$8,A32&lt;=$C$8),"2週間・1か月",IF(AND(A32&gt;=$B$9,A32&lt;=$C$9),"1か月",""))))</f>
        <v>基準</v>
      </c>
    </row>
    <row r="33" customFormat="false" ht="15" hidden="false" customHeight="false" outlineLevel="0" collapsed="false">
      <c r="A33" s="49" t="n">
        <v>46268</v>
      </c>
      <c r="B33" s="32"/>
      <c r="C33" s="32"/>
      <c r="D33" s="32"/>
      <c r="E33" s="32"/>
      <c r="F33" s="32"/>
      <c r="G33" s="32"/>
      <c r="H33" s="32"/>
      <c r="I33" s="32"/>
      <c r="J33" s="32"/>
      <c r="K33" s="32"/>
      <c r="L33" s="32"/>
      <c r="M33" s="32"/>
      <c r="N33" s="32"/>
      <c r="O33" s="32"/>
      <c r="P33" s="2" t="str">
        <f aca="false">IF(AND(A33&gt;=$B$6,A33&lt;=$C$6),"基準",IF(AND(A33&gt;=$B$7,A33&lt;=$C$7),"移行（除外）",IF(AND(A33&gt;=$B$8,A33&lt;=$C$8),"2週間・1か月",IF(AND(A33&gt;=$B$9,A33&lt;=$C$9),"1か月",""))))</f>
        <v>基準</v>
      </c>
    </row>
    <row r="34" customFormat="false" ht="15" hidden="false" customHeight="false" outlineLevel="0" collapsed="false">
      <c r="A34" s="49" t="n">
        <v>46269</v>
      </c>
      <c r="B34" s="32"/>
      <c r="C34" s="32"/>
      <c r="D34" s="32"/>
      <c r="E34" s="32"/>
      <c r="F34" s="32"/>
      <c r="G34" s="32"/>
      <c r="H34" s="32"/>
      <c r="I34" s="32"/>
      <c r="J34" s="32"/>
      <c r="K34" s="32"/>
      <c r="L34" s="32"/>
      <c r="M34" s="32"/>
      <c r="N34" s="32"/>
      <c r="O34" s="32"/>
      <c r="P34" s="2" t="str">
        <f aca="false">IF(AND(A34&gt;=$B$6,A34&lt;=$C$6),"基準",IF(AND(A34&gt;=$B$7,A34&lt;=$C$7),"移行（除外）",IF(AND(A34&gt;=$B$8,A34&lt;=$C$8),"2週間・1か月",IF(AND(A34&gt;=$B$9,A34&lt;=$C$9),"1か月",""))))</f>
        <v>基準</v>
      </c>
    </row>
    <row r="35" customFormat="false" ht="15" hidden="false" customHeight="false" outlineLevel="0" collapsed="false">
      <c r="A35" s="49" t="n">
        <v>46270</v>
      </c>
      <c r="B35" s="32"/>
      <c r="C35" s="32"/>
      <c r="D35" s="32"/>
      <c r="E35" s="32"/>
      <c r="F35" s="32"/>
      <c r="G35" s="32"/>
      <c r="H35" s="32"/>
      <c r="I35" s="32"/>
      <c r="J35" s="32"/>
      <c r="K35" s="32"/>
      <c r="L35" s="32"/>
      <c r="M35" s="32"/>
      <c r="N35" s="32"/>
      <c r="O35" s="32"/>
      <c r="P35" s="2" t="str">
        <f aca="false">IF(AND(A35&gt;=$B$6,A35&lt;=$C$6),"基準",IF(AND(A35&gt;=$B$7,A35&lt;=$C$7),"移行（除外）",IF(AND(A35&gt;=$B$8,A35&lt;=$C$8),"2週間・1か月",IF(AND(A35&gt;=$B$9,A35&lt;=$C$9),"1か月",""))))</f>
        <v>基準</v>
      </c>
    </row>
    <row r="36" customFormat="false" ht="15" hidden="false" customHeight="false" outlineLevel="0" collapsed="false">
      <c r="A36" s="49" t="n">
        <v>46271</v>
      </c>
      <c r="B36" s="32"/>
      <c r="C36" s="32"/>
      <c r="D36" s="32"/>
      <c r="E36" s="32"/>
      <c r="F36" s="32"/>
      <c r="G36" s="32"/>
      <c r="H36" s="32"/>
      <c r="I36" s="32"/>
      <c r="J36" s="32"/>
      <c r="K36" s="32"/>
      <c r="L36" s="32"/>
      <c r="M36" s="32"/>
      <c r="N36" s="32"/>
      <c r="O36" s="32"/>
      <c r="P36" s="2" t="str">
        <f aca="false">IF(AND(A36&gt;=$B$6,A36&lt;=$C$6),"基準",IF(AND(A36&gt;=$B$7,A36&lt;=$C$7),"移行（除外）",IF(AND(A36&gt;=$B$8,A36&lt;=$C$8),"2週間・1か月",IF(AND(A36&gt;=$B$9,A36&lt;=$C$9),"1か月",""))))</f>
        <v>基準</v>
      </c>
    </row>
    <row r="37" customFormat="false" ht="15" hidden="false" customHeight="false" outlineLevel="0" collapsed="false">
      <c r="A37" s="49" t="n">
        <v>46272</v>
      </c>
      <c r="B37" s="32"/>
      <c r="C37" s="32"/>
      <c r="D37" s="32"/>
      <c r="E37" s="32"/>
      <c r="F37" s="32"/>
      <c r="G37" s="32"/>
      <c r="H37" s="32"/>
      <c r="I37" s="32"/>
      <c r="J37" s="32"/>
      <c r="K37" s="32"/>
      <c r="L37" s="32"/>
      <c r="M37" s="32"/>
      <c r="N37" s="32"/>
      <c r="O37" s="32"/>
      <c r="P37" s="2" t="str">
        <f aca="false">IF(AND(A37&gt;=$B$6,A37&lt;=$C$6),"基準",IF(AND(A37&gt;=$B$7,A37&lt;=$C$7),"移行（除外）",IF(AND(A37&gt;=$B$8,A37&lt;=$C$8),"2週間・1か月",IF(AND(A37&gt;=$B$9,A37&lt;=$C$9),"1か月",""))))</f>
        <v>基準</v>
      </c>
    </row>
    <row r="38" customFormat="false" ht="15" hidden="false" customHeight="false" outlineLevel="0" collapsed="false">
      <c r="A38" s="49" t="n">
        <v>46273</v>
      </c>
      <c r="B38" s="32"/>
      <c r="C38" s="32"/>
      <c r="D38" s="32"/>
      <c r="E38" s="32"/>
      <c r="F38" s="32"/>
      <c r="G38" s="32"/>
      <c r="H38" s="32"/>
      <c r="I38" s="32"/>
      <c r="J38" s="32"/>
      <c r="K38" s="32"/>
      <c r="L38" s="32"/>
      <c r="M38" s="32"/>
      <c r="N38" s="32"/>
      <c r="O38" s="32"/>
      <c r="P38" s="2" t="str">
        <f aca="false">IF(AND(A38&gt;=$B$6,A38&lt;=$C$6),"基準",IF(AND(A38&gt;=$B$7,A38&lt;=$C$7),"移行（除外）",IF(AND(A38&gt;=$B$8,A38&lt;=$C$8),"2週間・1か月",IF(AND(A38&gt;=$B$9,A38&lt;=$C$9),"1か月",""))))</f>
        <v>基準</v>
      </c>
    </row>
    <row r="39" customFormat="false" ht="15" hidden="false" customHeight="false" outlineLevel="0" collapsed="false">
      <c r="A39" s="49" t="n">
        <v>46274</v>
      </c>
      <c r="B39" s="32"/>
      <c r="C39" s="32"/>
      <c r="D39" s="32"/>
      <c r="E39" s="32"/>
      <c r="F39" s="32"/>
      <c r="G39" s="32"/>
      <c r="H39" s="32"/>
      <c r="I39" s="32"/>
      <c r="J39" s="32"/>
      <c r="K39" s="32"/>
      <c r="L39" s="32"/>
      <c r="M39" s="32"/>
      <c r="N39" s="32"/>
      <c r="O39" s="32"/>
      <c r="P39" s="2" t="str">
        <f aca="false">IF(AND(A39&gt;=$B$6,A39&lt;=$C$6),"基準",IF(AND(A39&gt;=$B$7,A39&lt;=$C$7),"移行（除外）",IF(AND(A39&gt;=$B$8,A39&lt;=$C$8),"2週間・1か月",IF(AND(A39&gt;=$B$9,A39&lt;=$C$9),"1か月",""))))</f>
        <v>基準</v>
      </c>
    </row>
    <row r="40" customFormat="false" ht="15" hidden="false" customHeight="false" outlineLevel="0" collapsed="false">
      <c r="A40" s="49" t="n">
        <v>46275</v>
      </c>
      <c r="B40" s="32"/>
      <c r="C40" s="32"/>
      <c r="D40" s="32"/>
      <c r="E40" s="32"/>
      <c r="F40" s="32"/>
      <c r="G40" s="32"/>
      <c r="H40" s="32"/>
      <c r="I40" s="32"/>
      <c r="J40" s="32"/>
      <c r="K40" s="32"/>
      <c r="L40" s="32"/>
      <c r="M40" s="32"/>
      <c r="N40" s="32"/>
      <c r="O40" s="32"/>
      <c r="P40" s="2" t="str">
        <f aca="false">IF(AND(A40&gt;=$B$6,A40&lt;=$C$6),"基準",IF(AND(A40&gt;=$B$7,A40&lt;=$C$7),"移行（除外）",IF(AND(A40&gt;=$B$8,A40&lt;=$C$8),"2週間・1か月",IF(AND(A40&gt;=$B$9,A40&lt;=$C$9),"1か月",""))))</f>
        <v>基準</v>
      </c>
    </row>
    <row r="41" customFormat="false" ht="15" hidden="false" customHeight="false" outlineLevel="0" collapsed="false">
      <c r="A41" s="49" t="n">
        <v>46276</v>
      </c>
      <c r="B41" s="32"/>
      <c r="C41" s="32"/>
      <c r="D41" s="32"/>
      <c r="E41" s="32"/>
      <c r="F41" s="32"/>
      <c r="G41" s="32"/>
      <c r="H41" s="32"/>
      <c r="I41" s="32"/>
      <c r="J41" s="32"/>
      <c r="K41" s="32"/>
      <c r="L41" s="32"/>
      <c r="M41" s="32"/>
      <c r="N41" s="32"/>
      <c r="O41" s="32"/>
      <c r="P41" s="2" t="str">
        <f aca="false">IF(AND(A41&gt;=$B$6,A41&lt;=$C$6),"基準",IF(AND(A41&gt;=$B$7,A41&lt;=$C$7),"移行（除外）",IF(AND(A41&gt;=$B$8,A41&lt;=$C$8),"2週間・1か月",IF(AND(A41&gt;=$B$9,A41&lt;=$C$9),"1か月",""))))</f>
        <v>基準</v>
      </c>
    </row>
    <row r="42" customFormat="false" ht="15" hidden="false" customHeight="false" outlineLevel="0" collapsed="false">
      <c r="A42" s="49" t="n">
        <v>46277</v>
      </c>
      <c r="B42" s="32"/>
      <c r="C42" s="32"/>
      <c r="D42" s="32"/>
      <c r="E42" s="32"/>
      <c r="F42" s="32"/>
      <c r="G42" s="32"/>
      <c r="H42" s="32"/>
      <c r="I42" s="32"/>
      <c r="J42" s="32"/>
      <c r="K42" s="32"/>
      <c r="L42" s="32"/>
      <c r="M42" s="32"/>
      <c r="N42" s="32"/>
      <c r="O42" s="32"/>
      <c r="P42" s="2" t="str">
        <f aca="false">IF(AND(A42&gt;=$B$6,A42&lt;=$C$6),"基準",IF(AND(A42&gt;=$B$7,A42&lt;=$C$7),"移行（除外）",IF(AND(A42&gt;=$B$8,A42&lt;=$C$8),"2週間・1か月",IF(AND(A42&gt;=$B$9,A42&lt;=$C$9),"1か月",""))))</f>
        <v>基準</v>
      </c>
    </row>
    <row r="43" customFormat="false" ht="15" hidden="false" customHeight="false" outlineLevel="0" collapsed="false">
      <c r="A43" s="49" t="n">
        <v>46278</v>
      </c>
      <c r="B43" s="32"/>
      <c r="C43" s="32"/>
      <c r="D43" s="32"/>
      <c r="E43" s="32"/>
      <c r="F43" s="32"/>
      <c r="G43" s="32"/>
      <c r="H43" s="32"/>
      <c r="I43" s="32"/>
      <c r="J43" s="32"/>
      <c r="K43" s="32"/>
      <c r="L43" s="32"/>
      <c r="M43" s="32"/>
      <c r="N43" s="32"/>
      <c r="O43" s="32"/>
      <c r="P43" s="2" t="str">
        <f aca="false">IF(AND(A43&gt;=$B$6,A43&lt;=$C$6),"基準",IF(AND(A43&gt;=$B$7,A43&lt;=$C$7),"移行（除外）",IF(AND(A43&gt;=$B$8,A43&lt;=$C$8),"2週間・1か月",IF(AND(A43&gt;=$B$9,A43&lt;=$C$9),"1か月",""))))</f>
        <v>基準</v>
      </c>
    </row>
    <row r="44" customFormat="false" ht="15" hidden="false" customHeight="false" outlineLevel="0" collapsed="false">
      <c r="A44" s="49" t="n">
        <v>46279</v>
      </c>
      <c r="B44" s="32"/>
      <c r="C44" s="32"/>
      <c r="D44" s="32"/>
      <c r="E44" s="32"/>
      <c r="F44" s="32"/>
      <c r="G44" s="32"/>
      <c r="H44" s="32"/>
      <c r="I44" s="32"/>
      <c r="J44" s="32"/>
      <c r="K44" s="32"/>
      <c r="L44" s="32"/>
      <c r="M44" s="32"/>
      <c r="N44" s="32"/>
      <c r="O44" s="32"/>
      <c r="P44" s="2" t="str">
        <f aca="false">IF(AND(A44&gt;=$B$6,A44&lt;=$C$6),"基準",IF(AND(A44&gt;=$B$7,A44&lt;=$C$7),"移行（除外）",IF(AND(A44&gt;=$B$8,A44&lt;=$C$8),"2週間・1か月",IF(AND(A44&gt;=$B$9,A44&lt;=$C$9),"1か月",""))))</f>
        <v>基準</v>
      </c>
    </row>
    <row r="45" customFormat="false" ht="15" hidden="false" customHeight="false" outlineLevel="0" collapsed="false">
      <c r="A45" s="49" t="n">
        <v>46280</v>
      </c>
      <c r="B45" s="32"/>
      <c r="C45" s="32"/>
      <c r="D45" s="32"/>
      <c r="E45" s="32"/>
      <c r="F45" s="32"/>
      <c r="G45" s="32"/>
      <c r="H45" s="32"/>
      <c r="I45" s="32"/>
      <c r="J45" s="32"/>
      <c r="K45" s="32"/>
      <c r="L45" s="32"/>
      <c r="M45" s="32"/>
      <c r="N45" s="32"/>
      <c r="O45" s="32"/>
      <c r="P45" s="2" t="str">
        <f aca="false">IF(AND(A45&gt;=$B$6,A45&lt;=$C$6),"基準",IF(AND(A45&gt;=$B$7,A45&lt;=$C$7),"移行（除外）",IF(AND(A45&gt;=$B$8,A45&lt;=$C$8),"2週間・1か月",IF(AND(A45&gt;=$B$9,A45&lt;=$C$9),"1か月",""))))</f>
        <v>基準</v>
      </c>
    </row>
    <row r="46" customFormat="false" ht="15" hidden="false" customHeight="false" outlineLevel="0" collapsed="false">
      <c r="A46" s="49" t="n">
        <v>46281</v>
      </c>
      <c r="B46" s="32"/>
      <c r="C46" s="32"/>
      <c r="D46" s="32"/>
      <c r="E46" s="32"/>
      <c r="F46" s="32"/>
      <c r="G46" s="32"/>
      <c r="H46" s="32"/>
      <c r="I46" s="32"/>
      <c r="J46" s="32"/>
      <c r="K46" s="32"/>
      <c r="L46" s="32"/>
      <c r="M46" s="32"/>
      <c r="N46" s="32"/>
      <c r="O46" s="32"/>
      <c r="P46" s="2" t="str">
        <f aca="false">IF(AND(A46&gt;=$B$6,A46&lt;=$C$6),"基準",IF(AND(A46&gt;=$B$7,A46&lt;=$C$7),"移行（除外）",IF(AND(A46&gt;=$B$8,A46&lt;=$C$8),"2週間・1か月",IF(AND(A46&gt;=$B$9,A46&lt;=$C$9),"1か月",""))))</f>
        <v>基準</v>
      </c>
    </row>
    <row r="47" customFormat="false" ht="15" hidden="false" customHeight="false" outlineLevel="0" collapsed="false">
      <c r="A47" s="49" t="n">
        <v>46282</v>
      </c>
      <c r="B47" s="32"/>
      <c r="C47" s="32"/>
      <c r="D47" s="32"/>
      <c r="E47" s="32"/>
      <c r="F47" s="32"/>
      <c r="G47" s="32"/>
      <c r="H47" s="32"/>
      <c r="I47" s="32"/>
      <c r="J47" s="32"/>
      <c r="K47" s="32"/>
      <c r="L47" s="32"/>
      <c r="M47" s="32"/>
      <c r="N47" s="32"/>
      <c r="O47" s="32"/>
      <c r="P47" s="2" t="str">
        <f aca="false">IF(AND(A47&gt;=$B$6,A47&lt;=$C$6),"基準",IF(AND(A47&gt;=$B$7,A47&lt;=$C$7),"移行（除外）",IF(AND(A47&gt;=$B$8,A47&lt;=$C$8),"2週間・1か月",IF(AND(A47&gt;=$B$9,A47&lt;=$C$9),"1か月",""))))</f>
        <v>基準</v>
      </c>
    </row>
    <row r="48" customFormat="false" ht="15" hidden="false" customHeight="false" outlineLevel="0" collapsed="false">
      <c r="A48" s="49" t="n">
        <v>46283</v>
      </c>
      <c r="B48" s="32"/>
      <c r="C48" s="32"/>
      <c r="D48" s="32"/>
      <c r="E48" s="32"/>
      <c r="F48" s="32"/>
      <c r="G48" s="32"/>
      <c r="H48" s="32"/>
      <c r="I48" s="32"/>
      <c r="J48" s="32"/>
      <c r="K48" s="32"/>
      <c r="L48" s="32"/>
      <c r="M48" s="32"/>
      <c r="N48" s="32"/>
      <c r="O48" s="32"/>
      <c r="P48" s="2" t="str">
        <f aca="false">IF(AND(A48&gt;=$B$6,A48&lt;=$C$6),"基準",IF(AND(A48&gt;=$B$7,A48&lt;=$C$7),"移行（除外）",IF(AND(A48&gt;=$B$8,A48&lt;=$C$8),"2週間・1か月",IF(AND(A48&gt;=$B$9,A48&lt;=$C$9),"1か月",""))))</f>
        <v>基準</v>
      </c>
    </row>
    <row r="49" customFormat="false" ht="15" hidden="false" customHeight="false" outlineLevel="0" collapsed="false">
      <c r="A49" s="49" t="n">
        <v>46284</v>
      </c>
      <c r="B49" s="32"/>
      <c r="C49" s="32"/>
      <c r="D49" s="32"/>
      <c r="E49" s="32"/>
      <c r="F49" s="32"/>
      <c r="G49" s="32"/>
      <c r="H49" s="32"/>
      <c r="I49" s="32"/>
      <c r="J49" s="32"/>
      <c r="K49" s="32"/>
      <c r="L49" s="32"/>
      <c r="M49" s="32"/>
      <c r="N49" s="32"/>
      <c r="O49" s="32"/>
      <c r="P49" s="2" t="str">
        <f aca="false">IF(AND(A49&gt;=$B$6,A49&lt;=$C$6),"基準",IF(AND(A49&gt;=$B$7,A49&lt;=$C$7),"移行（除外）",IF(AND(A49&gt;=$B$8,A49&lt;=$C$8),"2週間・1か月",IF(AND(A49&gt;=$B$9,A49&lt;=$C$9),"1か月",""))))</f>
        <v>基準</v>
      </c>
    </row>
    <row r="50" customFormat="false" ht="15" hidden="false" customHeight="false" outlineLevel="0" collapsed="false">
      <c r="A50" s="49" t="n">
        <v>46285</v>
      </c>
      <c r="B50" s="32"/>
      <c r="C50" s="32"/>
      <c r="D50" s="32"/>
      <c r="E50" s="32"/>
      <c r="F50" s="32"/>
      <c r="G50" s="32"/>
      <c r="H50" s="32"/>
      <c r="I50" s="32"/>
      <c r="J50" s="32"/>
      <c r="K50" s="32"/>
      <c r="L50" s="32"/>
      <c r="M50" s="32"/>
      <c r="N50" s="32"/>
      <c r="O50" s="32"/>
      <c r="P50" s="2" t="str">
        <f aca="false">IF(AND(A50&gt;=$B$6,A50&lt;=$C$6),"基準",IF(AND(A50&gt;=$B$7,A50&lt;=$C$7),"移行（除外）",IF(AND(A50&gt;=$B$8,A50&lt;=$C$8),"2週間・1か月",IF(AND(A50&gt;=$B$9,A50&lt;=$C$9),"1か月",""))))</f>
        <v>基準</v>
      </c>
    </row>
    <row r="51" customFormat="false" ht="15" hidden="false" customHeight="false" outlineLevel="0" collapsed="false">
      <c r="A51" s="49" t="n">
        <v>46286</v>
      </c>
      <c r="B51" s="32"/>
      <c r="C51" s="32"/>
      <c r="D51" s="32"/>
      <c r="E51" s="32"/>
      <c r="F51" s="32"/>
      <c r="G51" s="32"/>
      <c r="H51" s="32"/>
      <c r="I51" s="32"/>
      <c r="J51" s="32"/>
      <c r="K51" s="32"/>
      <c r="L51" s="32"/>
      <c r="M51" s="32"/>
      <c r="N51" s="32"/>
      <c r="O51" s="32"/>
      <c r="P51" s="2" t="str">
        <f aca="false">IF(AND(A51&gt;=$B$6,A51&lt;=$C$6),"基準",IF(AND(A51&gt;=$B$7,A51&lt;=$C$7),"移行（除外）",IF(AND(A51&gt;=$B$8,A51&lt;=$C$8),"2週間・1か月",IF(AND(A51&gt;=$B$9,A51&lt;=$C$9),"1か月",""))))</f>
        <v>基準</v>
      </c>
    </row>
    <row r="52" customFormat="false" ht="15" hidden="false" customHeight="false" outlineLevel="0" collapsed="false">
      <c r="A52" s="49" t="n">
        <v>46287</v>
      </c>
      <c r="B52" s="32"/>
      <c r="C52" s="32"/>
      <c r="D52" s="32"/>
      <c r="E52" s="32"/>
      <c r="F52" s="32"/>
      <c r="G52" s="32"/>
      <c r="H52" s="32"/>
      <c r="I52" s="32"/>
      <c r="J52" s="32"/>
      <c r="K52" s="32"/>
      <c r="L52" s="32"/>
      <c r="M52" s="32"/>
      <c r="N52" s="32"/>
      <c r="O52" s="32"/>
      <c r="P52" s="2" t="str">
        <f aca="false">IF(AND(A52&gt;=$B$6,A52&lt;=$C$6),"基準",IF(AND(A52&gt;=$B$7,A52&lt;=$C$7),"移行（除外）",IF(AND(A52&gt;=$B$8,A52&lt;=$C$8),"2週間・1か月",IF(AND(A52&gt;=$B$9,A52&lt;=$C$9),"1か月",""))))</f>
        <v>基準</v>
      </c>
    </row>
    <row r="53" customFormat="false" ht="15" hidden="false" customHeight="false" outlineLevel="0" collapsed="false">
      <c r="A53" s="49" t="n">
        <v>46288</v>
      </c>
      <c r="B53" s="32"/>
      <c r="C53" s="32"/>
      <c r="D53" s="32"/>
      <c r="E53" s="32"/>
      <c r="F53" s="32"/>
      <c r="G53" s="32"/>
      <c r="H53" s="32"/>
      <c r="I53" s="32"/>
      <c r="J53" s="32"/>
      <c r="K53" s="32"/>
      <c r="L53" s="32"/>
      <c r="M53" s="32"/>
      <c r="N53" s="32"/>
      <c r="O53" s="32"/>
      <c r="P53" s="2" t="str">
        <f aca="false">IF(AND(A53&gt;=$B$6,A53&lt;=$C$6),"基準",IF(AND(A53&gt;=$B$7,A53&lt;=$C$7),"移行（除外）",IF(AND(A53&gt;=$B$8,A53&lt;=$C$8),"2週間・1か月",IF(AND(A53&gt;=$B$9,A53&lt;=$C$9),"1か月",""))))</f>
        <v>基準</v>
      </c>
    </row>
    <row r="54" customFormat="false" ht="15" hidden="false" customHeight="false" outlineLevel="0" collapsed="false">
      <c r="A54" s="49" t="n">
        <v>46289</v>
      </c>
      <c r="B54" s="32"/>
      <c r="C54" s="32"/>
      <c r="D54" s="32"/>
      <c r="E54" s="32"/>
      <c r="F54" s="32"/>
      <c r="G54" s="32"/>
      <c r="H54" s="32"/>
      <c r="I54" s="32"/>
      <c r="J54" s="32"/>
      <c r="K54" s="32"/>
      <c r="L54" s="32"/>
      <c r="M54" s="32"/>
      <c r="N54" s="32"/>
      <c r="O54" s="32"/>
      <c r="P54" s="2" t="str">
        <f aca="false">IF(AND(A54&gt;=$B$6,A54&lt;=$C$6),"基準",IF(AND(A54&gt;=$B$7,A54&lt;=$C$7),"移行（除外）",IF(AND(A54&gt;=$B$8,A54&lt;=$C$8),"2週間・1か月",IF(AND(A54&gt;=$B$9,A54&lt;=$C$9),"1か月",""))))</f>
        <v>基準</v>
      </c>
    </row>
    <row r="55" customFormat="false" ht="15" hidden="false" customHeight="false" outlineLevel="0" collapsed="false">
      <c r="A55" s="49" t="n">
        <v>46290</v>
      </c>
      <c r="B55" s="32"/>
      <c r="C55" s="32"/>
      <c r="D55" s="32"/>
      <c r="E55" s="32"/>
      <c r="F55" s="32"/>
      <c r="G55" s="32"/>
      <c r="H55" s="32"/>
      <c r="I55" s="32"/>
      <c r="J55" s="32"/>
      <c r="K55" s="32"/>
      <c r="L55" s="32"/>
      <c r="M55" s="32"/>
      <c r="N55" s="32"/>
      <c r="O55" s="32"/>
      <c r="P55" s="2" t="str">
        <f aca="false">IF(AND(A55&gt;=$B$6,A55&lt;=$C$6),"基準",IF(AND(A55&gt;=$B$7,A55&lt;=$C$7),"移行（除外）",IF(AND(A55&gt;=$B$8,A55&lt;=$C$8),"2週間・1か月",IF(AND(A55&gt;=$B$9,A55&lt;=$C$9),"1か月",""))))</f>
        <v>基準</v>
      </c>
    </row>
    <row r="56" customFormat="false" ht="15" hidden="false" customHeight="false" outlineLevel="0" collapsed="false">
      <c r="A56" s="49" t="n">
        <v>46291</v>
      </c>
      <c r="B56" s="32"/>
      <c r="C56" s="32"/>
      <c r="D56" s="32"/>
      <c r="E56" s="32"/>
      <c r="F56" s="32"/>
      <c r="G56" s="32"/>
      <c r="H56" s="32"/>
      <c r="I56" s="32"/>
      <c r="J56" s="32"/>
      <c r="K56" s="32"/>
      <c r="L56" s="32"/>
      <c r="M56" s="32"/>
      <c r="N56" s="32"/>
      <c r="O56" s="32"/>
      <c r="P56" s="2" t="str">
        <f aca="false">IF(AND(A56&gt;=$B$6,A56&lt;=$C$6),"基準",IF(AND(A56&gt;=$B$7,A56&lt;=$C$7),"移行（除外）",IF(AND(A56&gt;=$B$8,A56&lt;=$C$8),"2週間・1か月",IF(AND(A56&gt;=$B$9,A56&lt;=$C$9),"1か月",""))))</f>
        <v>基準</v>
      </c>
    </row>
    <row r="57" customFormat="false" ht="15" hidden="false" customHeight="false" outlineLevel="0" collapsed="false">
      <c r="A57" s="49" t="n">
        <v>46292</v>
      </c>
      <c r="B57" s="32"/>
      <c r="C57" s="32"/>
      <c r="D57" s="32"/>
      <c r="E57" s="32"/>
      <c r="F57" s="32"/>
      <c r="G57" s="32"/>
      <c r="H57" s="32"/>
      <c r="I57" s="32"/>
      <c r="J57" s="32"/>
      <c r="K57" s="32"/>
      <c r="L57" s="32"/>
      <c r="M57" s="32"/>
      <c r="N57" s="32"/>
      <c r="O57" s="32"/>
      <c r="P57" s="2" t="str">
        <f aca="false">IF(AND(A57&gt;=$B$6,A57&lt;=$C$6),"基準",IF(AND(A57&gt;=$B$7,A57&lt;=$C$7),"移行（除外）",IF(AND(A57&gt;=$B$8,A57&lt;=$C$8),"2週間・1か月",IF(AND(A57&gt;=$B$9,A57&lt;=$C$9),"1か月",""))))</f>
        <v>基準</v>
      </c>
    </row>
    <row r="58" customFormat="false" ht="15" hidden="false" customHeight="false" outlineLevel="0" collapsed="false">
      <c r="A58" s="49" t="n">
        <v>46293</v>
      </c>
      <c r="B58" s="32"/>
      <c r="C58" s="32"/>
      <c r="D58" s="32"/>
      <c r="E58" s="32"/>
      <c r="F58" s="32"/>
      <c r="G58" s="32"/>
      <c r="H58" s="32"/>
      <c r="I58" s="32"/>
      <c r="J58" s="32"/>
      <c r="K58" s="32"/>
      <c r="L58" s="32"/>
      <c r="M58" s="32"/>
      <c r="N58" s="32"/>
      <c r="O58" s="32"/>
      <c r="P58" s="2" t="str">
        <f aca="false">IF(AND(A58&gt;=$B$6,A58&lt;=$C$6),"基準",IF(AND(A58&gt;=$B$7,A58&lt;=$C$7),"移行（除外）",IF(AND(A58&gt;=$B$8,A58&lt;=$C$8),"2週間・1か月",IF(AND(A58&gt;=$B$9,A58&lt;=$C$9),"1か月",""))))</f>
        <v>基準</v>
      </c>
    </row>
    <row r="59" customFormat="false" ht="15" hidden="false" customHeight="false" outlineLevel="0" collapsed="false">
      <c r="A59" s="49" t="n">
        <v>46294</v>
      </c>
      <c r="B59" s="32"/>
      <c r="C59" s="32"/>
      <c r="D59" s="32"/>
      <c r="E59" s="32"/>
      <c r="F59" s="32"/>
      <c r="G59" s="32"/>
      <c r="H59" s="32"/>
      <c r="I59" s="32"/>
      <c r="J59" s="32"/>
      <c r="K59" s="32"/>
      <c r="L59" s="32"/>
      <c r="M59" s="32"/>
      <c r="N59" s="32"/>
      <c r="O59" s="32"/>
      <c r="P59" s="2" t="str">
        <f aca="false">IF(AND(A59&gt;=$B$6,A59&lt;=$C$6),"基準",IF(AND(A59&gt;=$B$7,A59&lt;=$C$7),"移行（除外）",IF(AND(A59&gt;=$B$8,A59&lt;=$C$8),"2週間・1か月",IF(AND(A59&gt;=$B$9,A59&lt;=$C$9),"1か月",""))))</f>
        <v>基準</v>
      </c>
    </row>
    <row r="60" customFormat="false" ht="15" hidden="false" customHeight="false" outlineLevel="0" collapsed="false">
      <c r="A60" s="49" t="n">
        <v>46295</v>
      </c>
      <c r="B60" s="32"/>
      <c r="C60" s="32"/>
      <c r="D60" s="32"/>
      <c r="E60" s="32"/>
      <c r="F60" s="32"/>
      <c r="G60" s="32"/>
      <c r="H60" s="32"/>
      <c r="I60" s="32"/>
      <c r="J60" s="32"/>
      <c r="K60" s="32"/>
      <c r="L60" s="32"/>
      <c r="M60" s="32"/>
      <c r="N60" s="32"/>
      <c r="O60" s="32"/>
      <c r="P60" s="2" t="str">
        <f aca="false">IF(AND(A60&gt;=$B$6,A60&lt;=$C$6),"基準",IF(AND(A60&gt;=$B$7,A60&lt;=$C$7),"移行（除外）",IF(AND(A60&gt;=$B$8,A60&lt;=$C$8),"2週間・1か月",IF(AND(A60&gt;=$B$9,A60&lt;=$C$9),"1か月",""))))</f>
        <v>基準</v>
      </c>
    </row>
    <row r="61" customFormat="false" ht="15" hidden="false" customHeight="false" outlineLevel="0" collapsed="false">
      <c r="A61" s="49" t="n">
        <v>46296</v>
      </c>
      <c r="B61" s="32"/>
      <c r="C61" s="32"/>
      <c r="D61" s="32"/>
      <c r="E61" s="32"/>
      <c r="F61" s="32"/>
      <c r="G61" s="32"/>
      <c r="H61" s="32"/>
      <c r="I61" s="32"/>
      <c r="J61" s="32"/>
      <c r="K61" s="32"/>
      <c r="L61" s="32"/>
      <c r="M61" s="32"/>
      <c r="N61" s="32"/>
      <c r="O61" s="32"/>
      <c r="P61" s="2" t="str">
        <f aca="false">IF(AND(A61&gt;=$B$6,A61&lt;=$C$6),"基準",IF(AND(A61&gt;=$B$7,A61&lt;=$C$7),"移行（除外）",IF(AND(A61&gt;=$B$8,A61&lt;=$C$8),"2週間・1か月",IF(AND(A61&gt;=$B$9,A61&lt;=$C$9),"1か月",""))))</f>
        <v>基準</v>
      </c>
    </row>
    <row r="62" customFormat="false" ht="15" hidden="false" customHeight="false" outlineLevel="0" collapsed="false">
      <c r="A62" s="49" t="n">
        <v>46297</v>
      </c>
      <c r="B62" s="32"/>
      <c r="C62" s="32"/>
      <c r="D62" s="32"/>
      <c r="E62" s="32"/>
      <c r="F62" s="32"/>
      <c r="G62" s="32"/>
      <c r="H62" s="32"/>
      <c r="I62" s="32"/>
      <c r="J62" s="32"/>
      <c r="K62" s="32"/>
      <c r="L62" s="32"/>
      <c r="M62" s="32"/>
      <c r="N62" s="32"/>
      <c r="O62" s="32"/>
      <c r="P62" s="2" t="str">
        <f aca="false">IF(AND(A62&gt;=$B$6,A62&lt;=$C$6),"基準",IF(AND(A62&gt;=$B$7,A62&lt;=$C$7),"移行（除外）",IF(AND(A62&gt;=$B$8,A62&lt;=$C$8),"2週間・1か月",IF(AND(A62&gt;=$B$9,A62&lt;=$C$9),"1か月",""))))</f>
        <v>基準</v>
      </c>
    </row>
    <row r="63" customFormat="false" ht="15" hidden="false" customHeight="false" outlineLevel="0" collapsed="false">
      <c r="A63" s="49" t="n">
        <v>46298</v>
      </c>
      <c r="B63" s="32"/>
      <c r="C63" s="32"/>
      <c r="D63" s="32"/>
      <c r="E63" s="32"/>
      <c r="F63" s="32"/>
      <c r="G63" s="32"/>
      <c r="H63" s="32"/>
      <c r="I63" s="32"/>
      <c r="J63" s="32"/>
      <c r="K63" s="32"/>
      <c r="L63" s="32"/>
      <c r="M63" s="32"/>
      <c r="N63" s="32"/>
      <c r="O63" s="32"/>
      <c r="P63" s="2" t="str">
        <f aca="false">IF(AND(A63&gt;=$B$6,A63&lt;=$C$6),"基準",IF(AND(A63&gt;=$B$7,A63&lt;=$C$7),"移行（除外）",IF(AND(A63&gt;=$B$8,A63&lt;=$C$8),"2週間・1か月",IF(AND(A63&gt;=$B$9,A63&lt;=$C$9),"1か月",""))))</f>
        <v>基準</v>
      </c>
    </row>
    <row r="64" customFormat="false" ht="15" hidden="false" customHeight="false" outlineLevel="0" collapsed="false">
      <c r="A64" s="49" t="n">
        <v>46299</v>
      </c>
      <c r="B64" s="32"/>
      <c r="C64" s="32"/>
      <c r="D64" s="32"/>
      <c r="E64" s="32"/>
      <c r="F64" s="32"/>
      <c r="G64" s="32"/>
      <c r="H64" s="32"/>
      <c r="I64" s="32"/>
      <c r="J64" s="32"/>
      <c r="K64" s="32"/>
      <c r="L64" s="32"/>
      <c r="M64" s="32"/>
      <c r="N64" s="32"/>
      <c r="O64" s="32"/>
      <c r="P64" s="2" t="str">
        <f aca="false">IF(AND(A64&gt;=$B$6,A64&lt;=$C$6),"基準",IF(AND(A64&gt;=$B$7,A64&lt;=$C$7),"移行（除外）",IF(AND(A64&gt;=$B$8,A64&lt;=$C$8),"2週間・1か月",IF(AND(A64&gt;=$B$9,A64&lt;=$C$9),"1か月",""))))</f>
        <v>基準</v>
      </c>
    </row>
    <row r="65" customFormat="false" ht="15" hidden="false" customHeight="false" outlineLevel="0" collapsed="false">
      <c r="A65" s="49" t="n">
        <v>46300</v>
      </c>
      <c r="B65" s="32"/>
      <c r="C65" s="32"/>
      <c r="D65" s="32"/>
      <c r="E65" s="32"/>
      <c r="F65" s="32"/>
      <c r="G65" s="32"/>
      <c r="H65" s="32"/>
      <c r="I65" s="32"/>
      <c r="J65" s="32"/>
      <c r="K65" s="32"/>
      <c r="L65" s="32"/>
      <c r="M65" s="32"/>
      <c r="N65" s="32"/>
      <c r="O65" s="32"/>
      <c r="P65" s="2" t="str">
        <f aca="false">IF(AND(A65&gt;=$B$6,A65&lt;=$C$6),"基準",IF(AND(A65&gt;=$B$7,A65&lt;=$C$7),"移行（除外）",IF(AND(A65&gt;=$B$8,A65&lt;=$C$8),"2週間・1か月",IF(AND(A65&gt;=$B$9,A65&lt;=$C$9),"1か月",""))))</f>
        <v>基準</v>
      </c>
    </row>
    <row r="66" customFormat="false" ht="15" hidden="false" customHeight="false" outlineLevel="0" collapsed="false">
      <c r="A66" s="49" t="n">
        <v>46301</v>
      </c>
      <c r="B66" s="32"/>
      <c r="C66" s="32"/>
      <c r="D66" s="32"/>
      <c r="E66" s="32"/>
      <c r="F66" s="32"/>
      <c r="G66" s="32"/>
      <c r="H66" s="32"/>
      <c r="I66" s="32"/>
      <c r="J66" s="32"/>
      <c r="K66" s="32"/>
      <c r="L66" s="32"/>
      <c r="M66" s="32"/>
      <c r="N66" s="32"/>
      <c r="O66" s="32"/>
      <c r="P66" s="2" t="str">
        <f aca="false">IF(AND(A66&gt;=$B$6,A66&lt;=$C$6),"基準",IF(AND(A66&gt;=$B$7,A66&lt;=$C$7),"移行（除外）",IF(AND(A66&gt;=$B$8,A66&lt;=$C$8),"2週間・1か月",IF(AND(A66&gt;=$B$9,A66&lt;=$C$9),"1か月",""))))</f>
        <v>基準</v>
      </c>
    </row>
    <row r="67" customFormat="false" ht="15" hidden="false" customHeight="false" outlineLevel="0" collapsed="false">
      <c r="A67" s="49" t="n">
        <v>46302</v>
      </c>
      <c r="B67" s="32"/>
      <c r="C67" s="32"/>
      <c r="D67" s="32"/>
      <c r="E67" s="32"/>
      <c r="F67" s="32"/>
      <c r="G67" s="32"/>
      <c r="H67" s="32"/>
      <c r="I67" s="32"/>
      <c r="J67" s="32"/>
      <c r="K67" s="32"/>
      <c r="L67" s="32"/>
      <c r="M67" s="32"/>
      <c r="N67" s="32"/>
      <c r="O67" s="32"/>
      <c r="P67" s="2" t="str">
        <f aca="false">IF(AND(A67&gt;=$B$6,A67&lt;=$C$6),"基準",IF(AND(A67&gt;=$B$7,A67&lt;=$C$7),"移行（除外）",IF(AND(A67&gt;=$B$8,A67&lt;=$C$8),"2週間・1か月",IF(AND(A67&gt;=$B$9,A67&lt;=$C$9),"1か月",""))))</f>
        <v>基準</v>
      </c>
    </row>
    <row r="68" customFormat="false" ht="15" hidden="false" customHeight="false" outlineLevel="0" collapsed="false">
      <c r="A68" s="49" t="n">
        <v>46303</v>
      </c>
      <c r="B68" s="32"/>
      <c r="C68" s="32"/>
      <c r="D68" s="32"/>
      <c r="E68" s="32"/>
      <c r="F68" s="32"/>
      <c r="G68" s="32"/>
      <c r="H68" s="32"/>
      <c r="I68" s="32"/>
      <c r="J68" s="32"/>
      <c r="K68" s="32"/>
      <c r="L68" s="32"/>
      <c r="M68" s="32"/>
      <c r="N68" s="32"/>
      <c r="O68" s="32"/>
      <c r="P68" s="2" t="str">
        <f aca="false">IF(AND(A68&gt;=$B$6,A68&lt;=$C$6),"基準",IF(AND(A68&gt;=$B$7,A68&lt;=$C$7),"移行（除外）",IF(AND(A68&gt;=$B$8,A68&lt;=$C$8),"2週間・1か月",IF(AND(A68&gt;=$B$9,A68&lt;=$C$9),"1か月",""))))</f>
        <v>基準</v>
      </c>
    </row>
    <row r="69" customFormat="false" ht="15" hidden="false" customHeight="false" outlineLevel="0" collapsed="false">
      <c r="A69" s="49" t="n">
        <v>46304</v>
      </c>
      <c r="B69" s="32"/>
      <c r="C69" s="32"/>
      <c r="D69" s="32"/>
      <c r="E69" s="32"/>
      <c r="F69" s="32"/>
      <c r="G69" s="32"/>
      <c r="H69" s="32"/>
      <c r="I69" s="32"/>
      <c r="J69" s="32"/>
      <c r="K69" s="32"/>
      <c r="L69" s="32"/>
      <c r="M69" s="32"/>
      <c r="N69" s="32"/>
      <c r="O69" s="32"/>
      <c r="P69" s="2" t="str">
        <f aca="false">IF(AND(A69&gt;=$B$6,A69&lt;=$C$6),"基準",IF(AND(A69&gt;=$B$7,A69&lt;=$C$7),"移行（除外）",IF(AND(A69&gt;=$B$8,A69&lt;=$C$8),"2週間・1か月",IF(AND(A69&gt;=$B$9,A69&lt;=$C$9),"1か月",""))))</f>
        <v>基準</v>
      </c>
    </row>
    <row r="70" customFormat="false" ht="15" hidden="false" customHeight="false" outlineLevel="0" collapsed="false">
      <c r="A70" s="49" t="n">
        <v>46305</v>
      </c>
      <c r="B70" s="32"/>
      <c r="C70" s="32"/>
      <c r="D70" s="32"/>
      <c r="E70" s="32"/>
      <c r="F70" s="32"/>
      <c r="G70" s="32"/>
      <c r="H70" s="32"/>
      <c r="I70" s="32"/>
      <c r="J70" s="32"/>
      <c r="K70" s="32"/>
      <c r="L70" s="32"/>
      <c r="M70" s="32"/>
      <c r="N70" s="32"/>
      <c r="O70" s="32"/>
      <c r="P70" s="2" t="str">
        <f aca="false">IF(AND(A70&gt;=$B$6,A70&lt;=$C$6),"基準",IF(AND(A70&gt;=$B$7,A70&lt;=$C$7),"移行（除外）",IF(AND(A70&gt;=$B$8,A70&lt;=$C$8),"2週間・1か月",IF(AND(A70&gt;=$B$9,A70&lt;=$C$9),"1か月",""))))</f>
        <v>基準</v>
      </c>
    </row>
    <row r="71" customFormat="false" ht="15" hidden="false" customHeight="false" outlineLevel="0" collapsed="false">
      <c r="A71" s="49" t="n">
        <v>46306</v>
      </c>
      <c r="B71" s="32"/>
      <c r="C71" s="32"/>
      <c r="D71" s="32"/>
      <c r="E71" s="32"/>
      <c r="F71" s="32"/>
      <c r="G71" s="32"/>
      <c r="H71" s="32"/>
      <c r="I71" s="32"/>
      <c r="J71" s="32"/>
      <c r="K71" s="32"/>
      <c r="L71" s="32"/>
      <c r="M71" s="32"/>
      <c r="N71" s="32"/>
      <c r="O71" s="32"/>
      <c r="P71" s="2" t="str">
        <f aca="false">IF(AND(A71&gt;=$B$6,A71&lt;=$C$6),"基準",IF(AND(A71&gt;=$B$7,A71&lt;=$C$7),"移行（除外）",IF(AND(A71&gt;=$B$8,A71&lt;=$C$8),"2週間・1か月",IF(AND(A71&gt;=$B$9,A71&lt;=$C$9),"1か月",""))))</f>
        <v>基準</v>
      </c>
    </row>
    <row r="72" customFormat="false" ht="15" hidden="false" customHeight="false" outlineLevel="0" collapsed="false">
      <c r="A72" s="49" t="n">
        <v>46307</v>
      </c>
      <c r="B72" s="32"/>
      <c r="C72" s="32"/>
      <c r="D72" s="32"/>
      <c r="E72" s="32"/>
      <c r="F72" s="32"/>
      <c r="G72" s="32"/>
      <c r="H72" s="32"/>
      <c r="I72" s="32"/>
      <c r="J72" s="32"/>
      <c r="K72" s="32"/>
      <c r="L72" s="32"/>
      <c r="M72" s="32"/>
      <c r="N72" s="32"/>
      <c r="O72" s="32"/>
      <c r="P72" s="2" t="str">
        <f aca="false">IF(AND(A72&gt;=$B$6,A72&lt;=$C$6),"基準",IF(AND(A72&gt;=$B$7,A72&lt;=$C$7),"移行（除外）",IF(AND(A72&gt;=$B$8,A72&lt;=$C$8),"2週間・1か月",IF(AND(A72&gt;=$B$9,A72&lt;=$C$9),"1か月",""))))</f>
        <v>基準</v>
      </c>
    </row>
    <row r="73" customFormat="false" ht="15" hidden="false" customHeight="false" outlineLevel="0" collapsed="false">
      <c r="A73" s="49" t="n">
        <v>46308</v>
      </c>
      <c r="B73" s="32"/>
      <c r="C73" s="32"/>
      <c r="D73" s="32"/>
      <c r="E73" s="32"/>
      <c r="F73" s="32"/>
      <c r="G73" s="32"/>
      <c r="H73" s="32"/>
      <c r="I73" s="32"/>
      <c r="J73" s="32"/>
      <c r="K73" s="32"/>
      <c r="L73" s="32"/>
      <c r="M73" s="32"/>
      <c r="N73" s="32"/>
      <c r="O73" s="32"/>
      <c r="P73" s="2" t="str">
        <f aca="false">IF(AND(A73&gt;=$B$6,A73&lt;=$C$6),"基準",IF(AND(A73&gt;=$B$7,A73&lt;=$C$7),"移行（除外）",IF(AND(A73&gt;=$B$8,A73&lt;=$C$8),"2週間・1か月",IF(AND(A73&gt;=$B$9,A73&lt;=$C$9),"1か月",""))))</f>
        <v>基準</v>
      </c>
    </row>
    <row r="74" customFormat="false" ht="15" hidden="false" customHeight="false" outlineLevel="0" collapsed="false">
      <c r="A74" s="49" t="n">
        <v>46309</v>
      </c>
      <c r="B74" s="32"/>
      <c r="C74" s="32"/>
      <c r="D74" s="32"/>
      <c r="E74" s="32"/>
      <c r="F74" s="32"/>
      <c r="G74" s="32"/>
      <c r="H74" s="32"/>
      <c r="I74" s="32"/>
      <c r="J74" s="32"/>
      <c r="K74" s="32"/>
      <c r="L74" s="32"/>
      <c r="M74" s="32"/>
      <c r="N74" s="32"/>
      <c r="O74" s="32"/>
      <c r="P74" s="2" t="str">
        <f aca="false">IF(AND(A74&gt;=$B$6,A74&lt;=$C$6),"基準",IF(AND(A74&gt;=$B$7,A74&lt;=$C$7),"移行（除外）",IF(AND(A74&gt;=$B$8,A74&lt;=$C$8),"2週間・1か月",IF(AND(A74&gt;=$B$9,A74&lt;=$C$9),"1か月",""))))</f>
        <v>移行（除外）</v>
      </c>
    </row>
    <row r="75" customFormat="false" ht="15" hidden="false" customHeight="false" outlineLevel="0" collapsed="false">
      <c r="A75" s="49" t="n">
        <v>46310</v>
      </c>
      <c r="B75" s="32"/>
      <c r="C75" s="32"/>
      <c r="D75" s="32"/>
      <c r="E75" s="32"/>
      <c r="F75" s="32"/>
      <c r="G75" s="32"/>
      <c r="H75" s="32"/>
      <c r="I75" s="32"/>
      <c r="J75" s="32"/>
      <c r="K75" s="32"/>
      <c r="L75" s="32"/>
      <c r="M75" s="32"/>
      <c r="N75" s="32"/>
      <c r="O75" s="32"/>
      <c r="P75" s="2" t="str">
        <f aca="false">IF(AND(A75&gt;=$B$6,A75&lt;=$C$6),"基準",IF(AND(A75&gt;=$B$7,A75&lt;=$C$7),"移行（除外）",IF(AND(A75&gt;=$B$8,A75&lt;=$C$8),"2週間・1か月",IF(AND(A75&gt;=$B$9,A75&lt;=$C$9),"1か月",""))))</f>
        <v>移行（除外）</v>
      </c>
    </row>
    <row r="76" customFormat="false" ht="15" hidden="false" customHeight="false" outlineLevel="0" collapsed="false">
      <c r="A76" s="49" t="n">
        <v>46311</v>
      </c>
      <c r="B76" s="32"/>
      <c r="C76" s="32"/>
      <c r="D76" s="32"/>
      <c r="E76" s="32"/>
      <c r="F76" s="32"/>
      <c r="G76" s="32"/>
      <c r="H76" s="32"/>
      <c r="I76" s="32"/>
      <c r="J76" s="32"/>
      <c r="K76" s="32"/>
      <c r="L76" s="32"/>
      <c r="M76" s="32"/>
      <c r="N76" s="32"/>
      <c r="O76" s="32"/>
      <c r="P76" s="2" t="str">
        <f aca="false">IF(AND(A76&gt;=$B$6,A76&lt;=$C$6),"基準",IF(AND(A76&gt;=$B$7,A76&lt;=$C$7),"移行（除外）",IF(AND(A76&gt;=$B$8,A76&lt;=$C$8),"2週間・1か月",IF(AND(A76&gt;=$B$9,A76&lt;=$C$9),"1か月",""))))</f>
        <v>移行（除外）</v>
      </c>
    </row>
    <row r="77" customFormat="false" ht="15" hidden="false" customHeight="false" outlineLevel="0" collapsed="false">
      <c r="A77" s="49" t="n">
        <v>46312</v>
      </c>
      <c r="B77" s="32"/>
      <c r="C77" s="32"/>
      <c r="D77" s="32"/>
      <c r="E77" s="32"/>
      <c r="F77" s="32"/>
      <c r="G77" s="32"/>
      <c r="H77" s="32"/>
      <c r="I77" s="32"/>
      <c r="J77" s="32"/>
      <c r="K77" s="32"/>
      <c r="L77" s="32"/>
      <c r="M77" s="32"/>
      <c r="N77" s="32"/>
      <c r="O77" s="50" t="s">
        <v>548</v>
      </c>
      <c r="P77" s="2" t="str">
        <f aca="false">IF(AND(A77&gt;=$B$6,A77&lt;=$C$6),"基準",IF(AND(A77&gt;=$B$7,A77&lt;=$C$7),"移行（除外）",IF(AND(A77&gt;=$B$8,A77&lt;=$C$8),"2週間・1か月",IF(AND(A77&gt;=$B$9,A77&lt;=$C$9),"1か月",""))))</f>
        <v>移行（除外）</v>
      </c>
    </row>
    <row r="78" customFormat="false" ht="15" hidden="false" customHeight="false" outlineLevel="0" collapsed="false">
      <c r="A78" s="49" t="n">
        <v>46313</v>
      </c>
      <c r="B78" s="50"/>
      <c r="C78" s="50"/>
      <c r="D78" s="50"/>
      <c r="E78" s="50"/>
      <c r="F78" s="50"/>
      <c r="G78" s="50"/>
      <c r="H78" s="50"/>
      <c r="I78" s="50"/>
      <c r="J78" s="50"/>
      <c r="K78" s="50"/>
      <c r="L78" s="50"/>
      <c r="M78" s="50"/>
      <c r="N78" s="50"/>
      <c r="O78" s="50"/>
      <c r="P78" s="2" t="str">
        <f aca="false">IF(AND(A78&gt;=$B$6,A78&lt;=$C$6),"基準",IF(AND(A78&gt;=$B$7,A78&lt;=$C$7),"移行（除外）",IF(AND(A78&gt;=$B$8,A78&lt;=$C$8),"2週間・1か月",IF(AND(A78&gt;=$B$9,A78&lt;=$C$9),"1か月",""))))</f>
        <v>2週間・1か月</v>
      </c>
    </row>
    <row r="79" customFormat="false" ht="15" hidden="false" customHeight="false" outlineLevel="0" collapsed="false">
      <c r="A79" s="49" t="n">
        <v>46314</v>
      </c>
      <c r="B79" s="50"/>
      <c r="C79" s="50"/>
      <c r="D79" s="50"/>
      <c r="E79" s="50"/>
      <c r="F79" s="50"/>
      <c r="G79" s="50"/>
      <c r="H79" s="50"/>
      <c r="I79" s="50"/>
      <c r="J79" s="50"/>
      <c r="K79" s="50"/>
      <c r="L79" s="50"/>
      <c r="M79" s="50"/>
      <c r="N79" s="50"/>
      <c r="O79" s="50"/>
      <c r="P79" s="2" t="str">
        <f aca="false">IF(AND(A79&gt;=$B$6,A79&lt;=$C$6),"基準",IF(AND(A79&gt;=$B$7,A79&lt;=$C$7),"移行（除外）",IF(AND(A79&gt;=$B$8,A79&lt;=$C$8),"2週間・1か月",IF(AND(A79&gt;=$B$9,A79&lt;=$C$9),"1か月",""))))</f>
        <v>2週間・1か月</v>
      </c>
    </row>
    <row r="80" customFormat="false" ht="15" hidden="false" customHeight="false" outlineLevel="0" collapsed="false">
      <c r="A80" s="49" t="n">
        <v>46315</v>
      </c>
      <c r="B80" s="50"/>
      <c r="C80" s="50"/>
      <c r="D80" s="50"/>
      <c r="E80" s="50"/>
      <c r="F80" s="50"/>
      <c r="G80" s="50"/>
      <c r="H80" s="50"/>
      <c r="I80" s="50"/>
      <c r="J80" s="50"/>
      <c r="K80" s="50"/>
      <c r="L80" s="50"/>
      <c r="M80" s="50"/>
      <c r="N80" s="50"/>
      <c r="O80" s="50"/>
      <c r="P80" s="2" t="str">
        <f aca="false">IF(AND(A80&gt;=$B$6,A80&lt;=$C$6),"基準",IF(AND(A80&gt;=$B$7,A80&lt;=$C$7),"移行（除外）",IF(AND(A80&gt;=$B$8,A80&lt;=$C$8),"2週間・1か月",IF(AND(A80&gt;=$B$9,A80&lt;=$C$9),"1か月",""))))</f>
        <v>2週間・1か月</v>
      </c>
    </row>
    <row r="81" customFormat="false" ht="15" hidden="false" customHeight="false" outlineLevel="0" collapsed="false">
      <c r="A81" s="49" t="n">
        <v>46316</v>
      </c>
      <c r="B81" s="50"/>
      <c r="C81" s="50"/>
      <c r="D81" s="50"/>
      <c r="E81" s="50"/>
      <c r="F81" s="50"/>
      <c r="G81" s="50"/>
      <c r="H81" s="50"/>
      <c r="I81" s="50"/>
      <c r="J81" s="50"/>
      <c r="K81" s="50"/>
      <c r="L81" s="50"/>
      <c r="M81" s="50"/>
      <c r="N81" s="50"/>
      <c r="O81" s="50"/>
      <c r="P81" s="2" t="str">
        <f aca="false">IF(AND(A81&gt;=$B$6,A81&lt;=$C$6),"基準",IF(AND(A81&gt;=$B$7,A81&lt;=$C$7),"移行（除外）",IF(AND(A81&gt;=$B$8,A81&lt;=$C$8),"2週間・1か月",IF(AND(A81&gt;=$B$9,A81&lt;=$C$9),"1か月",""))))</f>
        <v>2週間・1か月</v>
      </c>
    </row>
    <row r="82" customFormat="false" ht="15" hidden="false" customHeight="false" outlineLevel="0" collapsed="false">
      <c r="A82" s="49" t="n">
        <v>46317</v>
      </c>
      <c r="B82" s="50"/>
      <c r="C82" s="50"/>
      <c r="D82" s="50"/>
      <c r="E82" s="50"/>
      <c r="F82" s="50"/>
      <c r="G82" s="50"/>
      <c r="H82" s="50"/>
      <c r="I82" s="50"/>
      <c r="J82" s="50"/>
      <c r="K82" s="50"/>
      <c r="L82" s="50"/>
      <c r="M82" s="50"/>
      <c r="N82" s="50"/>
      <c r="O82" s="50"/>
      <c r="P82" s="2" t="str">
        <f aca="false">IF(AND(A82&gt;=$B$6,A82&lt;=$C$6),"基準",IF(AND(A82&gt;=$B$7,A82&lt;=$C$7),"移行（除外）",IF(AND(A82&gt;=$B$8,A82&lt;=$C$8),"2週間・1か月",IF(AND(A82&gt;=$B$9,A82&lt;=$C$9),"1か月",""))))</f>
        <v>2週間・1か月</v>
      </c>
    </row>
    <row r="83" customFormat="false" ht="15" hidden="false" customHeight="false" outlineLevel="0" collapsed="false">
      <c r="A83" s="49" t="n">
        <v>46318</v>
      </c>
      <c r="B83" s="50"/>
      <c r="C83" s="50"/>
      <c r="D83" s="50"/>
      <c r="E83" s="50"/>
      <c r="F83" s="50"/>
      <c r="G83" s="50"/>
      <c r="H83" s="50"/>
      <c r="I83" s="50"/>
      <c r="J83" s="50"/>
      <c r="K83" s="50"/>
      <c r="L83" s="50"/>
      <c r="M83" s="50"/>
      <c r="N83" s="50"/>
      <c r="O83" s="50"/>
      <c r="P83" s="2" t="str">
        <f aca="false">IF(AND(A83&gt;=$B$6,A83&lt;=$C$6),"基準",IF(AND(A83&gt;=$B$7,A83&lt;=$C$7),"移行（除外）",IF(AND(A83&gt;=$B$8,A83&lt;=$C$8),"2週間・1か月",IF(AND(A83&gt;=$B$9,A83&lt;=$C$9),"1か月",""))))</f>
        <v>2週間・1か月</v>
      </c>
    </row>
    <row r="84" customFormat="false" ht="15" hidden="false" customHeight="false" outlineLevel="0" collapsed="false">
      <c r="A84" s="49" t="n">
        <v>46319</v>
      </c>
      <c r="B84" s="50"/>
      <c r="C84" s="50"/>
      <c r="D84" s="50"/>
      <c r="E84" s="50"/>
      <c r="F84" s="50"/>
      <c r="G84" s="50"/>
      <c r="H84" s="50"/>
      <c r="I84" s="50"/>
      <c r="J84" s="50"/>
      <c r="K84" s="50"/>
      <c r="L84" s="50"/>
      <c r="M84" s="50"/>
      <c r="N84" s="50"/>
      <c r="O84" s="50"/>
      <c r="P84" s="2" t="str">
        <f aca="false">IF(AND(A84&gt;=$B$6,A84&lt;=$C$6),"基準",IF(AND(A84&gt;=$B$7,A84&lt;=$C$7),"移行（除外）",IF(AND(A84&gt;=$B$8,A84&lt;=$C$8),"2週間・1か月",IF(AND(A84&gt;=$B$9,A84&lt;=$C$9),"1か月",""))))</f>
        <v>2週間・1か月</v>
      </c>
    </row>
    <row r="85" customFormat="false" ht="15" hidden="false" customHeight="false" outlineLevel="0" collapsed="false">
      <c r="A85" s="49" t="n">
        <v>46320</v>
      </c>
      <c r="B85" s="50"/>
      <c r="C85" s="50"/>
      <c r="D85" s="50"/>
      <c r="E85" s="50"/>
      <c r="F85" s="50"/>
      <c r="G85" s="50"/>
      <c r="H85" s="50"/>
      <c r="I85" s="50"/>
      <c r="J85" s="50"/>
      <c r="K85" s="50"/>
      <c r="L85" s="50"/>
      <c r="M85" s="50"/>
      <c r="N85" s="50"/>
      <c r="O85" s="50"/>
      <c r="P85" s="2" t="str">
        <f aca="false">IF(AND(A85&gt;=$B$6,A85&lt;=$C$6),"基準",IF(AND(A85&gt;=$B$7,A85&lt;=$C$7),"移行（除外）",IF(AND(A85&gt;=$B$8,A85&lt;=$C$8),"2週間・1か月",IF(AND(A85&gt;=$B$9,A85&lt;=$C$9),"1か月",""))))</f>
        <v>2週間・1か月</v>
      </c>
    </row>
    <row r="86" customFormat="false" ht="15" hidden="false" customHeight="false" outlineLevel="0" collapsed="false">
      <c r="A86" s="49" t="n">
        <v>46321</v>
      </c>
      <c r="B86" s="50"/>
      <c r="C86" s="50"/>
      <c r="D86" s="50"/>
      <c r="E86" s="50"/>
      <c r="F86" s="50"/>
      <c r="G86" s="50"/>
      <c r="H86" s="50"/>
      <c r="I86" s="50"/>
      <c r="J86" s="50"/>
      <c r="K86" s="50"/>
      <c r="L86" s="50"/>
      <c r="M86" s="50"/>
      <c r="N86" s="50"/>
      <c r="O86" s="50"/>
      <c r="P86" s="2" t="str">
        <f aca="false">IF(AND(A86&gt;=$B$6,A86&lt;=$C$6),"基準",IF(AND(A86&gt;=$B$7,A86&lt;=$C$7),"移行（除外）",IF(AND(A86&gt;=$B$8,A86&lt;=$C$8),"2週間・1か月",IF(AND(A86&gt;=$B$9,A86&lt;=$C$9),"1か月",""))))</f>
        <v>2週間・1か月</v>
      </c>
    </row>
    <row r="87" customFormat="false" ht="15" hidden="false" customHeight="false" outlineLevel="0" collapsed="false">
      <c r="A87" s="49" t="n">
        <v>46322</v>
      </c>
      <c r="B87" s="50"/>
      <c r="C87" s="50"/>
      <c r="D87" s="50"/>
      <c r="E87" s="50"/>
      <c r="F87" s="50"/>
      <c r="G87" s="50"/>
      <c r="H87" s="50"/>
      <c r="I87" s="50"/>
      <c r="J87" s="50"/>
      <c r="K87" s="50"/>
      <c r="L87" s="50"/>
      <c r="M87" s="50"/>
      <c r="N87" s="50"/>
      <c r="O87" s="50"/>
      <c r="P87" s="2" t="str">
        <f aca="false">IF(AND(A87&gt;=$B$6,A87&lt;=$C$6),"基準",IF(AND(A87&gt;=$B$7,A87&lt;=$C$7),"移行（除外）",IF(AND(A87&gt;=$B$8,A87&lt;=$C$8),"2週間・1か月",IF(AND(A87&gt;=$B$9,A87&lt;=$C$9),"1か月",""))))</f>
        <v>2週間・1か月</v>
      </c>
    </row>
    <row r="88" customFormat="false" ht="15" hidden="false" customHeight="false" outlineLevel="0" collapsed="false">
      <c r="A88" s="49" t="n">
        <v>46323</v>
      </c>
      <c r="B88" s="50"/>
      <c r="C88" s="50"/>
      <c r="D88" s="50"/>
      <c r="E88" s="50"/>
      <c r="F88" s="50"/>
      <c r="G88" s="50"/>
      <c r="H88" s="50"/>
      <c r="I88" s="50"/>
      <c r="J88" s="50"/>
      <c r="K88" s="50"/>
      <c r="L88" s="50"/>
      <c r="M88" s="50"/>
      <c r="N88" s="50"/>
      <c r="O88" s="50"/>
      <c r="P88" s="2" t="str">
        <f aca="false">IF(AND(A88&gt;=$B$6,A88&lt;=$C$6),"基準",IF(AND(A88&gt;=$B$7,A88&lt;=$C$7),"移行（除外）",IF(AND(A88&gt;=$B$8,A88&lt;=$C$8),"2週間・1か月",IF(AND(A88&gt;=$B$9,A88&lt;=$C$9),"1か月",""))))</f>
        <v>2週間・1か月</v>
      </c>
    </row>
    <row r="89" customFormat="false" ht="15" hidden="false" customHeight="false" outlineLevel="0" collapsed="false">
      <c r="A89" s="49" t="n">
        <v>46324</v>
      </c>
      <c r="B89" s="50"/>
      <c r="C89" s="50"/>
      <c r="D89" s="50"/>
      <c r="E89" s="50"/>
      <c r="F89" s="50"/>
      <c r="G89" s="50"/>
      <c r="H89" s="50"/>
      <c r="I89" s="50"/>
      <c r="J89" s="50"/>
      <c r="K89" s="50"/>
      <c r="L89" s="50"/>
      <c r="M89" s="50"/>
      <c r="N89" s="50"/>
      <c r="O89" s="50"/>
      <c r="P89" s="2" t="str">
        <f aca="false">IF(AND(A89&gt;=$B$6,A89&lt;=$C$6),"基準",IF(AND(A89&gt;=$B$7,A89&lt;=$C$7),"移行（除外）",IF(AND(A89&gt;=$B$8,A89&lt;=$C$8),"2週間・1か月",IF(AND(A89&gt;=$B$9,A89&lt;=$C$9),"1か月",""))))</f>
        <v>2週間・1か月</v>
      </c>
    </row>
    <row r="90" customFormat="false" ht="15" hidden="false" customHeight="false" outlineLevel="0" collapsed="false">
      <c r="A90" s="49" t="n">
        <v>46325</v>
      </c>
      <c r="B90" s="50"/>
      <c r="C90" s="50"/>
      <c r="D90" s="50"/>
      <c r="E90" s="50"/>
      <c r="F90" s="50"/>
      <c r="G90" s="50"/>
      <c r="H90" s="50"/>
      <c r="I90" s="50"/>
      <c r="J90" s="50"/>
      <c r="K90" s="50"/>
      <c r="L90" s="50"/>
      <c r="M90" s="50"/>
      <c r="N90" s="50"/>
      <c r="O90" s="50"/>
      <c r="P90" s="2" t="str">
        <f aca="false">IF(AND(A90&gt;=$B$6,A90&lt;=$C$6),"基準",IF(AND(A90&gt;=$B$7,A90&lt;=$C$7),"移行（除外）",IF(AND(A90&gt;=$B$8,A90&lt;=$C$8),"2週間・1か月",IF(AND(A90&gt;=$B$9,A90&lt;=$C$9),"1か月",""))))</f>
        <v>2週間・1か月</v>
      </c>
    </row>
    <row r="91" customFormat="false" ht="15" hidden="false" customHeight="false" outlineLevel="0" collapsed="false">
      <c r="A91" s="49" t="n">
        <v>46326</v>
      </c>
      <c r="B91" s="50"/>
      <c r="C91" s="50"/>
      <c r="D91" s="50"/>
      <c r="E91" s="50"/>
      <c r="F91" s="50"/>
      <c r="G91" s="50"/>
      <c r="H91" s="50"/>
      <c r="I91" s="50"/>
      <c r="J91" s="50"/>
      <c r="K91" s="50"/>
      <c r="L91" s="50"/>
      <c r="M91" s="50"/>
      <c r="N91" s="50"/>
      <c r="O91" s="50"/>
      <c r="P91" s="2" t="str">
        <f aca="false">IF(AND(A91&gt;=$B$6,A91&lt;=$C$6),"基準",IF(AND(A91&gt;=$B$7,A91&lt;=$C$7),"移行（除外）",IF(AND(A91&gt;=$B$8,A91&lt;=$C$8),"2週間・1か月",IF(AND(A91&gt;=$B$9,A91&lt;=$C$9),"1か月",""))))</f>
        <v>2週間・1か月</v>
      </c>
    </row>
    <row r="92" customFormat="false" ht="15" hidden="false" customHeight="false" outlineLevel="0" collapsed="false">
      <c r="A92" s="49" t="n">
        <v>46327</v>
      </c>
      <c r="B92" s="50"/>
      <c r="C92" s="50"/>
      <c r="D92" s="50"/>
      <c r="E92" s="50"/>
      <c r="F92" s="50"/>
      <c r="G92" s="50"/>
      <c r="H92" s="50"/>
      <c r="I92" s="50"/>
      <c r="J92" s="50"/>
      <c r="K92" s="50"/>
      <c r="L92" s="50"/>
      <c r="M92" s="50"/>
      <c r="N92" s="50"/>
      <c r="O92" s="50"/>
      <c r="P92" s="2" t="str">
        <f aca="false">IF(AND(A92&gt;=$B$6,A92&lt;=$C$6),"基準",IF(AND(A92&gt;=$B$7,A92&lt;=$C$7),"移行（除外）",IF(AND(A92&gt;=$B$8,A92&lt;=$C$8),"2週間・1か月",IF(AND(A92&gt;=$B$9,A92&lt;=$C$9),"1か月",""))))</f>
        <v>1か月</v>
      </c>
    </row>
    <row r="93" customFormat="false" ht="15" hidden="false" customHeight="false" outlineLevel="0" collapsed="false">
      <c r="A93" s="49" t="n">
        <v>46328</v>
      </c>
      <c r="B93" s="50"/>
      <c r="C93" s="50"/>
      <c r="D93" s="50"/>
      <c r="E93" s="50"/>
      <c r="F93" s="50"/>
      <c r="G93" s="50"/>
      <c r="H93" s="50"/>
      <c r="I93" s="50"/>
      <c r="J93" s="50"/>
      <c r="K93" s="50"/>
      <c r="L93" s="50"/>
      <c r="M93" s="50"/>
      <c r="N93" s="50"/>
      <c r="O93" s="50"/>
      <c r="P93" s="2" t="str">
        <f aca="false">IF(AND(A93&gt;=$B$6,A93&lt;=$C$6),"基準",IF(AND(A93&gt;=$B$7,A93&lt;=$C$7),"移行（除外）",IF(AND(A93&gt;=$B$8,A93&lt;=$C$8),"2週間・1か月",IF(AND(A93&gt;=$B$9,A93&lt;=$C$9),"1か月",""))))</f>
        <v>1か月</v>
      </c>
    </row>
    <row r="94" customFormat="false" ht="15" hidden="false" customHeight="false" outlineLevel="0" collapsed="false">
      <c r="A94" s="49" t="n">
        <v>46329</v>
      </c>
      <c r="B94" s="50"/>
      <c r="C94" s="50"/>
      <c r="D94" s="50"/>
      <c r="E94" s="50"/>
      <c r="F94" s="50"/>
      <c r="G94" s="50"/>
      <c r="H94" s="50"/>
      <c r="I94" s="50"/>
      <c r="J94" s="50"/>
      <c r="K94" s="50"/>
      <c r="L94" s="50"/>
      <c r="M94" s="50"/>
      <c r="N94" s="50"/>
      <c r="O94" s="50"/>
      <c r="P94" s="2" t="str">
        <f aca="false">IF(AND(A94&gt;=$B$6,A94&lt;=$C$6),"基準",IF(AND(A94&gt;=$B$7,A94&lt;=$C$7),"移行（除外）",IF(AND(A94&gt;=$B$8,A94&lt;=$C$8),"2週間・1か月",IF(AND(A94&gt;=$B$9,A94&lt;=$C$9),"1か月",""))))</f>
        <v>1か月</v>
      </c>
    </row>
    <row r="95" customFormat="false" ht="15" hidden="false" customHeight="false" outlineLevel="0" collapsed="false">
      <c r="A95" s="49" t="n">
        <v>46330</v>
      </c>
      <c r="B95" s="50"/>
      <c r="C95" s="50"/>
      <c r="D95" s="50"/>
      <c r="E95" s="50"/>
      <c r="F95" s="50"/>
      <c r="G95" s="50"/>
      <c r="H95" s="50"/>
      <c r="I95" s="50"/>
      <c r="J95" s="50"/>
      <c r="K95" s="50"/>
      <c r="L95" s="50"/>
      <c r="M95" s="50"/>
      <c r="N95" s="50"/>
      <c r="O95" s="50"/>
      <c r="P95" s="2" t="str">
        <f aca="false">IF(AND(A95&gt;=$B$6,A95&lt;=$C$6),"基準",IF(AND(A95&gt;=$B$7,A95&lt;=$C$7),"移行（除外）",IF(AND(A95&gt;=$B$8,A95&lt;=$C$8),"2週間・1か月",IF(AND(A95&gt;=$B$9,A95&lt;=$C$9),"1か月",""))))</f>
        <v>1か月</v>
      </c>
    </row>
    <row r="96" customFormat="false" ht="15" hidden="false" customHeight="false" outlineLevel="0" collapsed="false">
      <c r="A96" s="49" t="n">
        <v>46331</v>
      </c>
      <c r="B96" s="50"/>
      <c r="C96" s="50"/>
      <c r="D96" s="50"/>
      <c r="E96" s="50"/>
      <c r="F96" s="50"/>
      <c r="G96" s="50"/>
      <c r="H96" s="50"/>
      <c r="I96" s="50"/>
      <c r="J96" s="50"/>
      <c r="K96" s="50"/>
      <c r="L96" s="50"/>
      <c r="M96" s="50"/>
      <c r="N96" s="50"/>
      <c r="O96" s="50"/>
      <c r="P96" s="2" t="str">
        <f aca="false">IF(AND(A96&gt;=$B$6,A96&lt;=$C$6),"基準",IF(AND(A96&gt;=$B$7,A96&lt;=$C$7),"移行（除外）",IF(AND(A96&gt;=$B$8,A96&lt;=$C$8),"2週間・1か月",IF(AND(A96&gt;=$B$9,A96&lt;=$C$9),"1か月",""))))</f>
        <v>1か月</v>
      </c>
    </row>
    <row r="97" customFormat="false" ht="15" hidden="false" customHeight="false" outlineLevel="0" collapsed="false">
      <c r="A97" s="49" t="n">
        <v>46332</v>
      </c>
      <c r="B97" s="50"/>
      <c r="C97" s="50"/>
      <c r="D97" s="50"/>
      <c r="E97" s="50"/>
      <c r="F97" s="50"/>
      <c r="G97" s="50"/>
      <c r="H97" s="50"/>
      <c r="I97" s="50"/>
      <c r="J97" s="50"/>
      <c r="K97" s="50"/>
      <c r="L97" s="50"/>
      <c r="M97" s="50"/>
      <c r="N97" s="50"/>
      <c r="O97" s="50"/>
      <c r="P97" s="2" t="str">
        <f aca="false">IF(AND(A97&gt;=$B$6,A97&lt;=$C$6),"基準",IF(AND(A97&gt;=$B$7,A97&lt;=$C$7),"移行（除外）",IF(AND(A97&gt;=$B$8,A97&lt;=$C$8),"2週間・1か月",IF(AND(A97&gt;=$B$9,A97&lt;=$C$9),"1か月",""))))</f>
        <v>1か月</v>
      </c>
    </row>
    <row r="98" customFormat="false" ht="15" hidden="false" customHeight="false" outlineLevel="0" collapsed="false">
      <c r="A98" s="49" t="n">
        <v>46333</v>
      </c>
      <c r="B98" s="50"/>
      <c r="C98" s="50"/>
      <c r="D98" s="50"/>
      <c r="E98" s="50"/>
      <c r="F98" s="50"/>
      <c r="G98" s="50"/>
      <c r="H98" s="50"/>
      <c r="I98" s="50"/>
      <c r="J98" s="50"/>
      <c r="K98" s="50"/>
      <c r="L98" s="50"/>
      <c r="M98" s="50"/>
      <c r="N98" s="50"/>
      <c r="O98" s="50"/>
      <c r="P98" s="2" t="str">
        <f aca="false">IF(AND(A98&gt;=$B$6,A98&lt;=$C$6),"基準",IF(AND(A98&gt;=$B$7,A98&lt;=$C$7),"移行（除外）",IF(AND(A98&gt;=$B$8,A98&lt;=$C$8),"2週間・1か月",IF(AND(A98&gt;=$B$9,A98&lt;=$C$9),"1か月",""))))</f>
        <v>1か月</v>
      </c>
    </row>
    <row r="99" customFormat="false" ht="15" hidden="false" customHeight="false" outlineLevel="0" collapsed="false">
      <c r="A99" s="49" t="n">
        <v>46334</v>
      </c>
      <c r="B99" s="50"/>
      <c r="C99" s="50"/>
      <c r="D99" s="50"/>
      <c r="E99" s="50"/>
      <c r="F99" s="50"/>
      <c r="G99" s="50"/>
      <c r="H99" s="50"/>
      <c r="I99" s="50"/>
      <c r="J99" s="50"/>
      <c r="K99" s="50"/>
      <c r="L99" s="50"/>
      <c r="M99" s="50"/>
      <c r="N99" s="50"/>
      <c r="O99" s="50"/>
      <c r="P99" s="2" t="str">
        <f aca="false">IF(AND(A99&gt;=$B$6,A99&lt;=$C$6),"基準",IF(AND(A99&gt;=$B$7,A99&lt;=$C$7),"移行（除外）",IF(AND(A99&gt;=$B$8,A99&lt;=$C$8),"2週間・1か月",IF(AND(A99&gt;=$B$9,A99&lt;=$C$9),"1か月",""))))</f>
        <v>1か月</v>
      </c>
    </row>
    <row r="100" customFormat="false" ht="15" hidden="false" customHeight="false" outlineLevel="0" collapsed="false">
      <c r="A100" s="49" t="n">
        <v>46335</v>
      </c>
      <c r="B100" s="50"/>
      <c r="C100" s="50"/>
      <c r="D100" s="50"/>
      <c r="E100" s="50"/>
      <c r="F100" s="50"/>
      <c r="G100" s="50"/>
      <c r="H100" s="50"/>
      <c r="I100" s="50"/>
      <c r="J100" s="50"/>
      <c r="K100" s="50"/>
      <c r="L100" s="50"/>
      <c r="M100" s="50"/>
      <c r="N100" s="50"/>
      <c r="O100" s="50"/>
      <c r="P100" s="2" t="str">
        <f aca="false">IF(AND(A100&gt;=$B$6,A100&lt;=$C$6),"基準",IF(AND(A100&gt;=$B$7,A100&lt;=$C$7),"移行（除外）",IF(AND(A100&gt;=$B$8,A100&lt;=$C$8),"2週間・1か月",IF(AND(A100&gt;=$B$9,A100&lt;=$C$9),"1か月",""))))</f>
        <v>1か月</v>
      </c>
    </row>
    <row r="101" customFormat="false" ht="15" hidden="false" customHeight="false" outlineLevel="0" collapsed="false">
      <c r="A101" s="49" t="n">
        <v>46336</v>
      </c>
      <c r="B101" s="50"/>
      <c r="C101" s="50"/>
      <c r="D101" s="50"/>
      <c r="E101" s="50"/>
      <c r="F101" s="50"/>
      <c r="G101" s="50"/>
      <c r="H101" s="50"/>
      <c r="I101" s="50"/>
      <c r="J101" s="50"/>
      <c r="K101" s="50"/>
      <c r="L101" s="50"/>
      <c r="M101" s="50"/>
      <c r="N101" s="50"/>
      <c r="O101" s="50"/>
      <c r="P101" s="2" t="str">
        <f aca="false">IF(AND(A101&gt;=$B$6,A101&lt;=$C$6),"基準",IF(AND(A101&gt;=$B$7,A101&lt;=$C$7),"移行（除外）",IF(AND(A101&gt;=$B$8,A101&lt;=$C$8),"2週間・1か月",IF(AND(A101&gt;=$B$9,A101&lt;=$C$9),"1か月",""))))</f>
        <v>1か月</v>
      </c>
    </row>
    <row r="102" customFormat="false" ht="15" hidden="false" customHeight="false" outlineLevel="0" collapsed="false">
      <c r="A102" s="49" t="n">
        <v>46337</v>
      </c>
      <c r="B102" s="50"/>
      <c r="C102" s="50"/>
      <c r="D102" s="50"/>
      <c r="E102" s="50"/>
      <c r="F102" s="50"/>
      <c r="G102" s="50"/>
      <c r="H102" s="50"/>
      <c r="I102" s="50"/>
      <c r="J102" s="50"/>
      <c r="K102" s="50"/>
      <c r="L102" s="50"/>
      <c r="M102" s="50"/>
      <c r="N102" s="50"/>
      <c r="O102" s="50"/>
      <c r="P102" s="2" t="str">
        <f aca="false">IF(AND(A102&gt;=$B$6,A102&lt;=$C$6),"基準",IF(AND(A102&gt;=$B$7,A102&lt;=$C$7),"移行（除外）",IF(AND(A102&gt;=$B$8,A102&lt;=$C$8),"2週間・1か月",IF(AND(A102&gt;=$B$9,A102&lt;=$C$9),"1か月",""))))</f>
        <v>1か月</v>
      </c>
    </row>
    <row r="103" customFormat="false" ht="15" hidden="false" customHeight="false" outlineLevel="0" collapsed="false">
      <c r="A103" s="49" t="n">
        <v>46338</v>
      </c>
      <c r="B103" s="50"/>
      <c r="C103" s="50"/>
      <c r="D103" s="50"/>
      <c r="E103" s="50"/>
      <c r="F103" s="50"/>
      <c r="G103" s="50"/>
      <c r="H103" s="50"/>
      <c r="I103" s="50"/>
      <c r="J103" s="50"/>
      <c r="K103" s="50"/>
      <c r="L103" s="50"/>
      <c r="M103" s="50"/>
      <c r="N103" s="50"/>
      <c r="O103" s="50"/>
      <c r="P103" s="2" t="str">
        <f aca="false">IF(AND(A103&gt;=$B$6,A103&lt;=$C$6),"基準",IF(AND(A103&gt;=$B$7,A103&lt;=$C$7),"移行（除外）",IF(AND(A103&gt;=$B$8,A103&lt;=$C$8),"2週間・1か月",IF(AND(A103&gt;=$B$9,A103&lt;=$C$9),"1か月",""))))</f>
        <v>1か月</v>
      </c>
    </row>
    <row r="104" customFormat="false" ht="15" hidden="false" customHeight="false" outlineLevel="0" collapsed="false">
      <c r="A104" s="49" t="n">
        <v>46339</v>
      </c>
      <c r="B104" s="50"/>
      <c r="C104" s="50"/>
      <c r="D104" s="50"/>
      <c r="E104" s="50"/>
      <c r="F104" s="50"/>
      <c r="G104" s="50"/>
      <c r="H104" s="50"/>
      <c r="I104" s="50"/>
      <c r="J104" s="50"/>
      <c r="K104" s="50"/>
      <c r="L104" s="50"/>
      <c r="M104" s="50"/>
      <c r="N104" s="50"/>
      <c r="O104" s="50"/>
      <c r="P104" s="2" t="str">
        <f aca="false">IF(AND(A104&gt;=$B$6,A104&lt;=$C$6),"基準",IF(AND(A104&gt;=$B$7,A104&lt;=$C$7),"移行（除外）",IF(AND(A104&gt;=$B$8,A104&lt;=$C$8),"2週間・1か月",IF(AND(A104&gt;=$B$9,A104&lt;=$C$9),"1か月",""))))</f>
        <v>1か月</v>
      </c>
    </row>
    <row r="105" customFormat="false" ht="15" hidden="false" customHeight="false" outlineLevel="0" collapsed="false">
      <c r="A105" s="49" t="n">
        <v>46340</v>
      </c>
      <c r="B105" s="50"/>
      <c r="C105" s="50"/>
      <c r="D105" s="50"/>
      <c r="E105" s="50"/>
      <c r="F105" s="50"/>
      <c r="G105" s="50"/>
      <c r="H105" s="50"/>
      <c r="I105" s="50"/>
      <c r="J105" s="50"/>
      <c r="K105" s="50"/>
      <c r="L105" s="50"/>
      <c r="M105" s="50"/>
      <c r="N105" s="50"/>
      <c r="O105" s="50"/>
      <c r="P105" s="2" t="str">
        <f aca="false">IF(AND(A105&gt;=$B$6,A105&lt;=$C$6),"基準",IF(AND(A105&gt;=$B$7,A105&lt;=$C$7),"移行（除外）",IF(AND(A105&gt;=$B$8,A105&lt;=$C$8),"2週間・1か月",IF(AND(A105&gt;=$B$9,A105&lt;=$C$9),"1か月",""))))</f>
        <v>1か月</v>
      </c>
    </row>
    <row r="106" customFormat="false" ht="15" hidden="false" customHeight="false" outlineLevel="0" collapsed="false">
      <c r="A106" s="49" t="n">
        <v>46341</v>
      </c>
      <c r="B106" s="50"/>
      <c r="C106" s="50"/>
      <c r="D106" s="50"/>
      <c r="E106" s="50"/>
      <c r="F106" s="50"/>
      <c r="G106" s="50"/>
      <c r="H106" s="50"/>
      <c r="I106" s="50"/>
      <c r="J106" s="50"/>
      <c r="K106" s="50"/>
      <c r="L106" s="50"/>
      <c r="M106" s="50"/>
      <c r="N106" s="50"/>
      <c r="O106" s="50"/>
      <c r="P106" s="2" t="str">
        <f aca="false">IF(AND(A106&gt;=$B$6,A106&lt;=$C$6),"基準",IF(AND(A106&gt;=$B$7,A106&lt;=$C$7),"移行（除外）",IF(AND(A106&gt;=$B$8,A106&lt;=$C$8),"2週間・1か月",IF(AND(A106&gt;=$B$9,A106&lt;=$C$9),"1か月",""))))</f>
        <v>1か月</v>
      </c>
    </row>
    <row r="107" customFormat="false" ht="15" hidden="false" customHeight="false" outlineLevel="0" collapsed="false">
      <c r="A107" s="49" t="n">
        <v>46342</v>
      </c>
      <c r="B107" s="50"/>
      <c r="C107" s="50"/>
      <c r="D107" s="50"/>
      <c r="E107" s="50"/>
      <c r="F107" s="50"/>
      <c r="G107" s="50"/>
      <c r="H107" s="50"/>
      <c r="I107" s="50"/>
      <c r="J107" s="50"/>
      <c r="K107" s="50"/>
      <c r="L107" s="50"/>
      <c r="M107" s="50"/>
      <c r="N107" s="50"/>
      <c r="O107" s="50"/>
      <c r="P107" s="2" t="str">
        <f aca="false">IF(AND(A107&gt;=$B$6,A107&lt;=$C$6),"基準",IF(AND(A107&gt;=$B$7,A107&lt;=$C$7),"移行（除外）",IF(AND(A107&gt;=$B$8,A107&lt;=$C$8),"2週間・1か月",IF(AND(A107&gt;=$B$9,A107&lt;=$C$9),"1か月",""))))</f>
        <v>1か月</v>
      </c>
    </row>
    <row r="108" customFormat="false" ht="15" hidden="false" customHeight="false" outlineLevel="0" collapsed="false">
      <c r="A108" s="49" t="n">
        <v>46343</v>
      </c>
      <c r="B108" s="50"/>
      <c r="C108" s="50"/>
      <c r="D108" s="50"/>
      <c r="E108" s="50"/>
      <c r="F108" s="50"/>
      <c r="G108" s="50"/>
      <c r="H108" s="50"/>
      <c r="I108" s="50"/>
      <c r="J108" s="50"/>
      <c r="K108" s="50"/>
      <c r="L108" s="50"/>
      <c r="M108" s="50"/>
      <c r="N108" s="50"/>
      <c r="O108" s="50"/>
      <c r="P108" s="2" t="str">
        <f aca="false">IF(AND(A108&gt;=$B$6,A108&lt;=$C$6),"基準",IF(AND(A108&gt;=$B$7,A108&lt;=$C$7),"移行（除外）",IF(AND(A108&gt;=$B$8,A108&lt;=$C$8),"2週間・1か月",IF(AND(A108&gt;=$B$9,A108&lt;=$C$9),"1か月",""))))</f>
        <v/>
      </c>
    </row>
    <row r="109" customFormat="false" ht="15" hidden="false" customHeight="false" outlineLevel="0" collapsed="false">
      <c r="A109" s="49" t="n">
        <v>46344</v>
      </c>
      <c r="B109" s="50"/>
      <c r="C109" s="50"/>
      <c r="D109" s="50"/>
      <c r="E109" s="50"/>
      <c r="F109" s="50"/>
      <c r="G109" s="50"/>
      <c r="H109" s="50"/>
      <c r="I109" s="50"/>
      <c r="J109" s="50"/>
      <c r="K109" s="50"/>
      <c r="L109" s="50"/>
      <c r="M109" s="50"/>
      <c r="N109" s="50"/>
      <c r="O109" s="50"/>
      <c r="P109" s="2" t="str">
        <f aca="false">IF(AND(A109&gt;=$B$6,A109&lt;=$C$6),"基準",IF(AND(A109&gt;=$B$7,A109&lt;=$C$7),"移行（除外）",IF(AND(A109&gt;=$B$8,A109&lt;=$C$8),"2週間・1か月",IF(AND(A109&gt;=$B$9,A109&lt;=$C$9),"1か月",""))))</f>
        <v/>
      </c>
    </row>
    <row r="110" customFormat="false" ht="15" hidden="false" customHeight="false" outlineLevel="0" collapsed="false">
      <c r="A110" s="49" t="n">
        <v>46345</v>
      </c>
      <c r="B110" s="50"/>
      <c r="C110" s="50"/>
      <c r="D110" s="50"/>
      <c r="E110" s="50"/>
      <c r="F110" s="50"/>
      <c r="G110" s="50"/>
      <c r="H110" s="50"/>
      <c r="I110" s="50"/>
      <c r="J110" s="50"/>
      <c r="K110" s="50"/>
      <c r="L110" s="50"/>
      <c r="M110" s="50"/>
      <c r="N110" s="50"/>
      <c r="O110" s="50"/>
      <c r="P110" s="2" t="str">
        <f aca="false">IF(AND(A110&gt;=$B$6,A110&lt;=$C$6),"基準",IF(AND(A110&gt;=$B$7,A110&lt;=$C$7),"移行（除外）",IF(AND(A110&gt;=$B$8,A110&lt;=$C$8),"2週間・1か月",IF(AND(A110&gt;=$B$9,A110&lt;=$C$9),"1か月",""))))</f>
        <v/>
      </c>
    </row>
    <row r="111" customFormat="false" ht="15" hidden="false" customHeight="false" outlineLevel="0" collapsed="false">
      <c r="A111" s="49" t="n">
        <v>46346</v>
      </c>
      <c r="B111" s="50"/>
      <c r="C111" s="50"/>
      <c r="D111" s="50"/>
      <c r="E111" s="50"/>
      <c r="F111" s="50"/>
      <c r="G111" s="50"/>
      <c r="H111" s="50"/>
      <c r="I111" s="50"/>
      <c r="J111" s="50"/>
      <c r="K111" s="50"/>
      <c r="L111" s="50"/>
      <c r="M111" s="50"/>
      <c r="N111" s="50"/>
      <c r="O111" s="50"/>
      <c r="P111" s="2" t="str">
        <f aca="false">IF(AND(A111&gt;=$B$6,A111&lt;=$C$6),"基準",IF(AND(A111&gt;=$B$7,A111&lt;=$C$7),"移行（除外）",IF(AND(A111&gt;=$B$8,A111&lt;=$C$8),"2週間・1か月",IF(AND(A111&gt;=$B$9,A111&lt;=$C$9),"1か月",""))))</f>
        <v/>
      </c>
    </row>
    <row r="112" customFormat="false" ht="15" hidden="false" customHeight="false" outlineLevel="0" collapsed="false">
      <c r="A112" s="49" t="n">
        <v>46347</v>
      </c>
      <c r="B112" s="50"/>
      <c r="C112" s="50"/>
      <c r="D112" s="50"/>
      <c r="E112" s="50"/>
      <c r="F112" s="50"/>
      <c r="G112" s="50"/>
      <c r="H112" s="50"/>
      <c r="I112" s="50"/>
      <c r="J112" s="50"/>
      <c r="K112" s="50"/>
      <c r="L112" s="50"/>
      <c r="M112" s="50"/>
      <c r="N112" s="50"/>
      <c r="O112" s="50"/>
      <c r="P112" s="2" t="str">
        <f aca="false">IF(AND(A112&gt;=$B$6,A112&lt;=$C$6),"基準",IF(AND(A112&gt;=$B$7,A112&lt;=$C$7),"移行（除外）",IF(AND(A112&gt;=$B$8,A112&lt;=$C$8),"2週間・1か月",IF(AND(A112&gt;=$B$9,A112&lt;=$C$9),"1か月",""))))</f>
        <v/>
      </c>
    </row>
    <row r="113" customFormat="false" ht="15" hidden="false" customHeight="false" outlineLevel="0" collapsed="false">
      <c r="A113" s="49" t="n">
        <v>46348</v>
      </c>
      <c r="B113" s="50"/>
      <c r="C113" s="50"/>
      <c r="D113" s="50"/>
      <c r="E113" s="50"/>
      <c r="F113" s="50"/>
      <c r="G113" s="50"/>
      <c r="H113" s="50"/>
      <c r="I113" s="50"/>
      <c r="J113" s="50"/>
      <c r="K113" s="50"/>
      <c r="L113" s="50"/>
      <c r="M113" s="50"/>
      <c r="N113" s="50"/>
      <c r="O113" s="50"/>
      <c r="P113" s="2" t="str">
        <f aca="false">IF(AND(A113&gt;=$B$6,A113&lt;=$C$6),"基準",IF(AND(A113&gt;=$B$7,A113&lt;=$C$7),"移行（除外）",IF(AND(A113&gt;=$B$8,A113&lt;=$C$8),"2週間・1か月",IF(AND(A113&gt;=$B$9,A113&lt;=$C$9),"1か月",""))))</f>
        <v/>
      </c>
    </row>
    <row r="114" customFormat="false" ht="15" hidden="false" customHeight="false" outlineLevel="0" collapsed="false">
      <c r="A114" s="49" t="n">
        <v>46349</v>
      </c>
      <c r="B114" s="50"/>
      <c r="C114" s="50"/>
      <c r="D114" s="50"/>
      <c r="E114" s="50"/>
      <c r="F114" s="50"/>
      <c r="G114" s="50"/>
      <c r="H114" s="50"/>
      <c r="I114" s="50"/>
      <c r="J114" s="50"/>
      <c r="K114" s="50"/>
      <c r="L114" s="50"/>
      <c r="M114" s="50"/>
      <c r="N114" s="50"/>
      <c r="O114" s="50"/>
      <c r="P114" s="2" t="str">
        <f aca="false">IF(AND(A114&gt;=$B$6,A114&lt;=$C$6),"基準",IF(AND(A114&gt;=$B$7,A114&lt;=$C$7),"移行（除外）",IF(AND(A114&gt;=$B$8,A114&lt;=$C$8),"2週間・1か月",IF(AND(A114&gt;=$B$9,A114&lt;=$C$9),"1か月",""))))</f>
        <v/>
      </c>
    </row>
    <row r="115" customFormat="false" ht="15" hidden="false" customHeight="false" outlineLevel="0" collapsed="false">
      <c r="A115" s="49" t="n">
        <v>46350</v>
      </c>
      <c r="B115" s="50"/>
      <c r="C115" s="50"/>
      <c r="D115" s="50"/>
      <c r="E115" s="50"/>
      <c r="F115" s="50"/>
      <c r="G115" s="50"/>
      <c r="H115" s="50"/>
      <c r="I115" s="50"/>
      <c r="J115" s="50"/>
      <c r="K115" s="50"/>
      <c r="L115" s="50"/>
      <c r="M115" s="50"/>
      <c r="N115" s="50"/>
      <c r="O115" s="50"/>
      <c r="P115" s="2" t="str">
        <f aca="false">IF(AND(A115&gt;=$B$6,A115&lt;=$C$6),"基準",IF(AND(A115&gt;=$B$7,A115&lt;=$C$7),"移行（除外）",IF(AND(A115&gt;=$B$8,A115&lt;=$C$8),"2週間・1か月",IF(AND(A115&gt;=$B$9,A115&lt;=$C$9),"1か月",""))))</f>
        <v/>
      </c>
    </row>
    <row r="116" customFormat="false" ht="15" hidden="false" customHeight="false" outlineLevel="0" collapsed="false">
      <c r="A116" s="49" t="n">
        <v>46351</v>
      </c>
      <c r="B116" s="50"/>
      <c r="C116" s="50"/>
      <c r="D116" s="50"/>
      <c r="E116" s="50"/>
      <c r="F116" s="50"/>
      <c r="G116" s="50"/>
      <c r="H116" s="50"/>
      <c r="I116" s="50"/>
      <c r="J116" s="50"/>
      <c r="K116" s="50"/>
      <c r="L116" s="50"/>
      <c r="M116" s="50"/>
      <c r="N116" s="50"/>
      <c r="O116" s="50"/>
      <c r="P116" s="2" t="str">
        <f aca="false">IF(AND(A116&gt;=$B$6,A116&lt;=$C$6),"基準",IF(AND(A116&gt;=$B$7,A116&lt;=$C$7),"移行（除外）",IF(AND(A116&gt;=$B$8,A116&lt;=$C$8),"2週間・1か月",IF(AND(A116&gt;=$B$9,A116&lt;=$C$9),"1か月",""))))</f>
        <v/>
      </c>
    </row>
    <row r="117" customFormat="false" ht="15" hidden="false" customHeight="false" outlineLevel="0" collapsed="false">
      <c r="A117" s="49" t="n">
        <v>46352</v>
      </c>
      <c r="B117" s="50"/>
      <c r="C117" s="50"/>
      <c r="D117" s="50"/>
      <c r="E117" s="50"/>
      <c r="F117" s="50"/>
      <c r="G117" s="50"/>
      <c r="H117" s="50"/>
      <c r="I117" s="50"/>
      <c r="J117" s="50"/>
      <c r="K117" s="50"/>
      <c r="L117" s="50"/>
      <c r="M117" s="50"/>
      <c r="N117" s="50"/>
      <c r="O117" s="50"/>
      <c r="P117" s="2" t="str">
        <f aca="false">IF(AND(A117&gt;=$B$6,A117&lt;=$C$6),"基準",IF(AND(A117&gt;=$B$7,A117&lt;=$C$7),"移行（除外）",IF(AND(A117&gt;=$B$8,A117&lt;=$C$8),"2週間・1か月",IF(AND(A117&gt;=$B$9,A117&lt;=$C$9),"1か月",""))))</f>
        <v/>
      </c>
    </row>
    <row r="118" customFormat="false" ht="15" hidden="false" customHeight="false" outlineLevel="0" collapsed="false">
      <c r="A118" s="49" t="n">
        <v>46353</v>
      </c>
      <c r="B118" s="50"/>
      <c r="C118" s="50"/>
      <c r="D118" s="50"/>
      <c r="E118" s="50"/>
      <c r="F118" s="50"/>
      <c r="G118" s="50"/>
      <c r="H118" s="50"/>
      <c r="I118" s="50"/>
      <c r="J118" s="50"/>
      <c r="K118" s="50"/>
      <c r="L118" s="50"/>
      <c r="M118" s="50"/>
      <c r="N118" s="50"/>
      <c r="O118" s="50"/>
      <c r="P118" s="2" t="str">
        <f aca="false">IF(AND(A118&gt;=$B$6,A118&lt;=$C$6),"基準",IF(AND(A118&gt;=$B$7,A118&lt;=$C$7),"移行（除外）",IF(AND(A118&gt;=$B$8,A118&lt;=$C$8),"2週間・1か月",IF(AND(A118&gt;=$B$9,A118&lt;=$C$9),"1か月",""))))</f>
        <v/>
      </c>
    </row>
    <row r="119" customFormat="false" ht="15" hidden="false" customHeight="false" outlineLevel="0" collapsed="false">
      <c r="A119" s="49" t="n">
        <v>46354</v>
      </c>
      <c r="B119" s="50"/>
      <c r="C119" s="50"/>
      <c r="D119" s="50"/>
      <c r="E119" s="50"/>
      <c r="F119" s="50"/>
      <c r="G119" s="50"/>
      <c r="H119" s="50"/>
      <c r="I119" s="50"/>
      <c r="J119" s="50"/>
      <c r="K119" s="50"/>
      <c r="L119" s="50"/>
      <c r="M119" s="50"/>
      <c r="N119" s="50"/>
      <c r="O119" s="50"/>
      <c r="P119" s="2" t="str">
        <f aca="false">IF(AND(A119&gt;=$B$6,A119&lt;=$C$6),"基準",IF(AND(A119&gt;=$B$7,A119&lt;=$C$7),"移行（除外）",IF(AND(A119&gt;=$B$8,A119&lt;=$C$8),"2週間・1か月",IF(AND(A119&gt;=$B$9,A119&lt;=$C$9),"1か月",""))))</f>
        <v/>
      </c>
    </row>
    <row r="120" customFormat="false" ht="15" hidden="false" customHeight="false" outlineLevel="0" collapsed="false">
      <c r="A120" s="49" t="n">
        <v>46355</v>
      </c>
      <c r="B120" s="50"/>
      <c r="C120" s="50"/>
      <c r="D120" s="50"/>
      <c r="E120" s="50"/>
      <c r="F120" s="50"/>
      <c r="G120" s="50"/>
      <c r="H120" s="50"/>
      <c r="I120" s="50"/>
      <c r="J120" s="50"/>
      <c r="K120" s="50"/>
      <c r="L120" s="50"/>
      <c r="M120" s="50"/>
      <c r="N120" s="50"/>
      <c r="O120" s="50"/>
      <c r="P120" s="2" t="str">
        <f aca="false">IF(AND(A120&gt;=$B$6,A120&lt;=$C$6),"基準",IF(AND(A120&gt;=$B$7,A120&lt;=$C$7),"移行（除外）",IF(AND(A120&gt;=$B$8,A120&lt;=$C$8),"2週間・1か月",IF(AND(A120&gt;=$B$9,A120&lt;=$C$9),"1か月",""))))</f>
        <v/>
      </c>
    </row>
    <row r="121" customFormat="false" ht="15" hidden="false" customHeight="false" outlineLevel="0" collapsed="false">
      <c r="A121" s="49" t="n">
        <v>46356</v>
      </c>
      <c r="B121" s="50"/>
      <c r="C121" s="50"/>
      <c r="D121" s="50"/>
      <c r="E121" s="50"/>
      <c r="F121" s="50"/>
      <c r="G121" s="50"/>
      <c r="H121" s="50"/>
      <c r="I121" s="50"/>
      <c r="J121" s="50"/>
      <c r="K121" s="50"/>
      <c r="L121" s="50"/>
      <c r="M121" s="50"/>
      <c r="N121" s="50"/>
      <c r="O121" s="50"/>
      <c r="P121" s="2" t="str">
        <f aca="false">IF(AND(A121&gt;=$B$6,A121&lt;=$C$6),"基準",IF(AND(A121&gt;=$B$7,A121&lt;=$C$7),"移行（除外）",IF(AND(A121&gt;=$B$8,A121&lt;=$C$8),"2週間・1か月",IF(AND(A121&gt;=$B$9,A121&lt;=$C$9),"1か月",""))))</f>
        <v/>
      </c>
    </row>
    <row r="122" customFormat="false" ht="15" hidden="false" customHeight="false" outlineLevel="0" collapsed="false">
      <c r="A122" s="49" t="n">
        <v>46357</v>
      </c>
      <c r="B122" s="50"/>
      <c r="C122" s="50"/>
      <c r="D122" s="50"/>
      <c r="E122" s="50"/>
      <c r="F122" s="50"/>
      <c r="G122" s="50"/>
      <c r="H122" s="50"/>
      <c r="I122" s="50"/>
      <c r="J122" s="50"/>
      <c r="K122" s="50"/>
      <c r="L122" s="50"/>
      <c r="M122" s="50"/>
      <c r="N122" s="50"/>
      <c r="O122" s="50"/>
      <c r="P122" s="2" t="str">
        <f aca="false">IF(AND(A122&gt;=$B$6,A122&lt;=$C$6),"基準",IF(AND(A122&gt;=$B$7,A122&lt;=$C$7),"移行（除外）",IF(AND(A122&gt;=$B$8,A122&lt;=$C$8),"2週間・1か月",IF(AND(A122&gt;=$B$9,A122&lt;=$C$9),"1か月",""))))</f>
        <v/>
      </c>
    </row>
    <row r="123" customFormat="false" ht="15" hidden="false" customHeight="false" outlineLevel="0" collapsed="false">
      <c r="A123" s="49" t="n">
        <v>46358</v>
      </c>
      <c r="B123" s="50"/>
      <c r="C123" s="50"/>
      <c r="D123" s="50"/>
      <c r="E123" s="50"/>
      <c r="F123" s="50"/>
      <c r="G123" s="50"/>
      <c r="H123" s="50"/>
      <c r="I123" s="50"/>
      <c r="J123" s="50"/>
      <c r="K123" s="50"/>
      <c r="L123" s="50"/>
      <c r="M123" s="50"/>
      <c r="N123" s="50"/>
      <c r="O123" s="50"/>
      <c r="P123" s="2" t="str">
        <f aca="false">IF(AND(A123&gt;=$B$6,A123&lt;=$C$6),"基準",IF(AND(A123&gt;=$B$7,A123&lt;=$C$7),"移行（除外）",IF(AND(A123&gt;=$B$8,A123&lt;=$C$8),"2週間・1か月",IF(AND(A123&gt;=$B$9,A123&lt;=$C$9),"1か月",""))))</f>
        <v/>
      </c>
    </row>
    <row r="124" customFormat="false" ht="15" hidden="false" customHeight="false" outlineLevel="0" collapsed="false">
      <c r="A124" s="49" t="n">
        <v>46359</v>
      </c>
      <c r="B124" s="50"/>
      <c r="C124" s="50"/>
      <c r="D124" s="50"/>
      <c r="E124" s="50"/>
      <c r="F124" s="50"/>
      <c r="G124" s="50"/>
      <c r="H124" s="50"/>
      <c r="I124" s="50"/>
      <c r="J124" s="50"/>
      <c r="K124" s="50"/>
      <c r="L124" s="50"/>
      <c r="M124" s="50"/>
      <c r="N124" s="50"/>
      <c r="O124" s="50"/>
      <c r="P124" s="2" t="str">
        <f aca="false">IF(AND(A124&gt;=$B$6,A124&lt;=$C$6),"基準",IF(AND(A124&gt;=$B$7,A124&lt;=$C$7),"移行（除外）",IF(AND(A124&gt;=$B$8,A124&lt;=$C$8),"2週間・1か月",IF(AND(A124&gt;=$B$9,A124&lt;=$C$9),"1か月",""))))</f>
        <v/>
      </c>
    </row>
    <row r="125" customFormat="false" ht="15" hidden="false" customHeight="false" outlineLevel="0" collapsed="false">
      <c r="A125" s="49" t="n">
        <v>46360</v>
      </c>
      <c r="B125" s="50"/>
      <c r="C125" s="50"/>
      <c r="D125" s="50"/>
      <c r="E125" s="50"/>
      <c r="F125" s="50"/>
      <c r="G125" s="50"/>
      <c r="H125" s="50"/>
      <c r="I125" s="50"/>
      <c r="J125" s="50"/>
      <c r="K125" s="50"/>
      <c r="L125" s="50"/>
      <c r="M125" s="50"/>
      <c r="N125" s="50"/>
      <c r="O125" s="50"/>
      <c r="P125" s="2" t="str">
        <f aca="false">IF(AND(A125&gt;=$B$6,A125&lt;=$C$6),"基準",IF(AND(A125&gt;=$B$7,A125&lt;=$C$7),"移行（除外）",IF(AND(A125&gt;=$B$8,A125&lt;=$C$8),"2週間・1か月",IF(AND(A125&gt;=$B$9,A125&lt;=$C$9),"1か月",""))))</f>
        <v/>
      </c>
    </row>
    <row r="126" customFormat="false" ht="15" hidden="false" customHeight="false" outlineLevel="0" collapsed="false">
      <c r="A126" s="49" t="n">
        <v>46361</v>
      </c>
      <c r="B126" s="50"/>
      <c r="C126" s="50"/>
      <c r="D126" s="50"/>
      <c r="E126" s="50"/>
      <c r="F126" s="50"/>
      <c r="G126" s="50"/>
      <c r="H126" s="50"/>
      <c r="I126" s="50"/>
      <c r="J126" s="50"/>
      <c r="K126" s="50"/>
      <c r="L126" s="50"/>
      <c r="M126" s="50"/>
      <c r="N126" s="50"/>
      <c r="O126" s="50"/>
      <c r="P126" s="2" t="str">
        <f aca="false">IF(AND(A126&gt;=$B$6,A126&lt;=$C$6),"基準",IF(AND(A126&gt;=$B$7,A126&lt;=$C$7),"移行（除外）",IF(AND(A126&gt;=$B$8,A126&lt;=$C$8),"2週間・1か月",IF(AND(A126&gt;=$B$9,A126&lt;=$C$9),"1か月",""))))</f>
        <v/>
      </c>
    </row>
    <row r="127" customFormat="false" ht="15" hidden="false" customHeight="false" outlineLevel="0" collapsed="false">
      <c r="A127" s="49" t="n">
        <v>46362</v>
      </c>
      <c r="B127" s="50"/>
      <c r="C127" s="50"/>
      <c r="D127" s="50"/>
      <c r="E127" s="50"/>
      <c r="F127" s="50"/>
      <c r="G127" s="50"/>
      <c r="H127" s="50"/>
      <c r="I127" s="50"/>
      <c r="J127" s="50"/>
      <c r="K127" s="50"/>
      <c r="L127" s="50"/>
      <c r="M127" s="50"/>
      <c r="N127" s="50"/>
      <c r="O127" s="50"/>
      <c r="P127" s="2" t="str">
        <f aca="false">IF(AND(A127&gt;=$B$6,A127&lt;=$C$6),"基準",IF(AND(A127&gt;=$B$7,A127&lt;=$C$7),"移行（除外）",IF(AND(A127&gt;=$B$8,A127&lt;=$C$8),"2週間・1か月",IF(AND(A127&gt;=$B$9,A127&lt;=$C$9),"1か月",""))))</f>
        <v/>
      </c>
    </row>
    <row r="128" customFormat="false" ht="15" hidden="false" customHeight="false" outlineLevel="0" collapsed="false">
      <c r="A128" s="49" t="n">
        <v>46363</v>
      </c>
      <c r="B128" s="50"/>
      <c r="C128" s="50"/>
      <c r="D128" s="50"/>
      <c r="E128" s="50"/>
      <c r="F128" s="50"/>
      <c r="G128" s="50"/>
      <c r="H128" s="50"/>
      <c r="I128" s="50"/>
      <c r="J128" s="50"/>
      <c r="K128" s="50"/>
      <c r="L128" s="50"/>
      <c r="M128" s="50"/>
      <c r="N128" s="50"/>
      <c r="O128" s="50"/>
      <c r="P128" s="2" t="str">
        <f aca="false">IF(AND(A128&gt;=$B$6,A128&lt;=$C$6),"基準",IF(AND(A128&gt;=$B$7,A128&lt;=$C$7),"移行（除外）",IF(AND(A128&gt;=$B$8,A128&lt;=$C$8),"2週間・1か月",IF(AND(A128&gt;=$B$9,A128&lt;=$C$9),"1か月",""))))</f>
        <v/>
      </c>
    </row>
    <row r="129" customFormat="false" ht="15" hidden="false" customHeight="false" outlineLevel="0" collapsed="false">
      <c r="A129" s="49" t="n">
        <v>46364</v>
      </c>
      <c r="B129" s="50"/>
      <c r="C129" s="50"/>
      <c r="D129" s="50"/>
      <c r="E129" s="50"/>
      <c r="F129" s="50"/>
      <c r="G129" s="50"/>
      <c r="H129" s="50"/>
      <c r="I129" s="50"/>
      <c r="J129" s="50"/>
      <c r="K129" s="50"/>
      <c r="L129" s="50"/>
      <c r="M129" s="50"/>
      <c r="N129" s="50"/>
      <c r="O129" s="50"/>
      <c r="P129" s="2" t="str">
        <f aca="false">IF(AND(A129&gt;=$B$6,A129&lt;=$C$6),"基準",IF(AND(A129&gt;=$B$7,A129&lt;=$C$7),"移行（除外）",IF(AND(A129&gt;=$B$8,A129&lt;=$C$8),"2週間・1か月",IF(AND(A129&gt;=$B$9,A129&lt;=$C$9),"1か月",""))))</f>
        <v/>
      </c>
    </row>
    <row r="130" customFormat="false" ht="15" hidden="false" customHeight="false" outlineLevel="0" collapsed="false">
      <c r="A130" s="49" t="n">
        <v>46365</v>
      </c>
      <c r="B130" s="50"/>
      <c r="C130" s="50"/>
      <c r="D130" s="50"/>
      <c r="E130" s="50"/>
      <c r="F130" s="50"/>
      <c r="G130" s="50"/>
      <c r="H130" s="50"/>
      <c r="I130" s="50"/>
      <c r="J130" s="50"/>
      <c r="K130" s="50"/>
      <c r="L130" s="50"/>
      <c r="M130" s="50"/>
      <c r="N130" s="50"/>
      <c r="O130" s="50"/>
      <c r="P130" s="2" t="str">
        <f aca="false">IF(AND(A130&gt;=$B$6,A130&lt;=$C$6),"基準",IF(AND(A130&gt;=$B$7,A130&lt;=$C$7),"移行（除外）",IF(AND(A130&gt;=$B$8,A130&lt;=$C$8),"2週間・1か月",IF(AND(A130&gt;=$B$9,A130&lt;=$C$9),"1か月",""))))</f>
        <v/>
      </c>
    </row>
    <row r="131" customFormat="false" ht="15" hidden="false" customHeight="false" outlineLevel="0" collapsed="false">
      <c r="A131" s="49" t="n">
        <v>46366</v>
      </c>
      <c r="B131" s="50"/>
      <c r="C131" s="50"/>
      <c r="D131" s="50"/>
      <c r="E131" s="50"/>
      <c r="F131" s="50"/>
      <c r="G131" s="50"/>
      <c r="H131" s="50"/>
      <c r="I131" s="50"/>
      <c r="J131" s="50"/>
      <c r="K131" s="50"/>
      <c r="L131" s="50"/>
      <c r="M131" s="50"/>
      <c r="N131" s="50"/>
      <c r="O131" s="50"/>
      <c r="P131" s="2" t="str">
        <f aca="false">IF(AND(A131&gt;=$B$6,A131&lt;=$C$6),"基準",IF(AND(A131&gt;=$B$7,A131&lt;=$C$7),"移行（除外）",IF(AND(A131&gt;=$B$8,A131&lt;=$C$8),"2週間・1か月",IF(AND(A131&gt;=$B$9,A131&lt;=$C$9),"1か月",""))))</f>
        <v/>
      </c>
    </row>
    <row r="132" customFormat="false" ht="15" hidden="false" customHeight="false" outlineLevel="0" collapsed="false">
      <c r="A132" s="49" t="n">
        <v>46367</v>
      </c>
      <c r="B132" s="50"/>
      <c r="C132" s="50"/>
      <c r="D132" s="50"/>
      <c r="E132" s="50"/>
      <c r="F132" s="50"/>
      <c r="G132" s="50"/>
      <c r="H132" s="50"/>
      <c r="I132" s="50"/>
      <c r="J132" s="50"/>
      <c r="K132" s="50"/>
      <c r="L132" s="50"/>
      <c r="M132" s="50"/>
      <c r="N132" s="50"/>
      <c r="O132" s="50"/>
      <c r="P132" s="2" t="str">
        <f aca="false">IF(AND(A132&gt;=$B$6,A132&lt;=$C$6),"基準",IF(AND(A132&gt;=$B$7,A132&lt;=$C$7),"移行（除外）",IF(AND(A132&gt;=$B$8,A132&lt;=$C$8),"2週間・1か月",IF(AND(A132&gt;=$B$9,A132&lt;=$C$9),"1か月",""))))</f>
        <v/>
      </c>
    </row>
    <row r="133" customFormat="false" ht="15" hidden="false" customHeight="false" outlineLevel="0" collapsed="false">
      <c r="A133" s="49" t="n">
        <v>46368</v>
      </c>
      <c r="B133" s="50"/>
      <c r="C133" s="50"/>
      <c r="D133" s="50"/>
      <c r="E133" s="50"/>
      <c r="F133" s="50"/>
      <c r="G133" s="50"/>
      <c r="H133" s="50"/>
      <c r="I133" s="50"/>
      <c r="J133" s="50"/>
      <c r="K133" s="50"/>
      <c r="L133" s="50"/>
      <c r="M133" s="50"/>
      <c r="N133" s="50"/>
      <c r="O133" s="50"/>
      <c r="P133" s="2" t="str">
        <f aca="false">IF(AND(A133&gt;=$B$6,A133&lt;=$C$6),"基準",IF(AND(A133&gt;=$B$7,A133&lt;=$C$7),"移行（除外）",IF(AND(A133&gt;=$B$8,A133&lt;=$C$8),"2週間・1か月",IF(AND(A133&gt;=$B$9,A133&lt;=$C$9),"1か月",""))))</f>
        <v/>
      </c>
    </row>
    <row r="134" customFormat="false" ht="15" hidden="false" customHeight="false" outlineLevel="0" collapsed="false">
      <c r="A134" s="49" t="n">
        <v>46369</v>
      </c>
      <c r="B134" s="50"/>
      <c r="C134" s="50"/>
      <c r="D134" s="50"/>
      <c r="E134" s="50"/>
      <c r="F134" s="50"/>
      <c r="G134" s="50"/>
      <c r="H134" s="50"/>
      <c r="I134" s="50"/>
      <c r="J134" s="50"/>
      <c r="K134" s="50"/>
      <c r="L134" s="50"/>
      <c r="M134" s="50"/>
      <c r="N134" s="50"/>
      <c r="O134" s="50"/>
      <c r="P134" s="2" t="str">
        <f aca="false">IF(AND(A134&gt;=$B$6,A134&lt;=$C$6),"基準",IF(AND(A134&gt;=$B$7,A134&lt;=$C$7),"移行（除外）",IF(AND(A134&gt;=$B$8,A134&lt;=$C$8),"2週間・1か月",IF(AND(A134&gt;=$B$9,A134&lt;=$C$9),"1か月",""))))</f>
        <v/>
      </c>
    </row>
    <row r="135" customFormat="false" ht="15" hidden="false" customHeight="false" outlineLevel="0" collapsed="false">
      <c r="A135" s="49" t="n">
        <v>46370</v>
      </c>
      <c r="B135" s="50"/>
      <c r="C135" s="50"/>
      <c r="D135" s="50"/>
      <c r="E135" s="50"/>
      <c r="F135" s="50"/>
      <c r="G135" s="50"/>
      <c r="H135" s="50"/>
      <c r="I135" s="50"/>
      <c r="J135" s="50"/>
      <c r="K135" s="50"/>
      <c r="L135" s="50"/>
      <c r="M135" s="50"/>
      <c r="N135" s="50"/>
      <c r="O135" s="50"/>
      <c r="P135" s="2" t="str">
        <f aca="false">IF(AND(A135&gt;=$B$6,A135&lt;=$C$6),"基準",IF(AND(A135&gt;=$B$7,A135&lt;=$C$7),"移行（除外）",IF(AND(A135&gt;=$B$8,A135&lt;=$C$8),"2週間・1か月",IF(AND(A135&gt;=$B$9,A135&lt;=$C$9),"1か月",""))))</f>
        <v/>
      </c>
    </row>
    <row r="136" customFormat="false" ht="15" hidden="false" customHeight="false" outlineLevel="0" collapsed="false">
      <c r="A136" s="49" t="n">
        <v>46371</v>
      </c>
      <c r="B136" s="50"/>
      <c r="C136" s="50"/>
      <c r="D136" s="50"/>
      <c r="E136" s="50"/>
      <c r="F136" s="50"/>
      <c r="G136" s="50"/>
      <c r="H136" s="50"/>
      <c r="I136" s="50"/>
      <c r="J136" s="50"/>
      <c r="K136" s="50"/>
      <c r="L136" s="50"/>
      <c r="M136" s="50"/>
      <c r="N136" s="50"/>
      <c r="O136" s="50"/>
      <c r="P136" s="2" t="str">
        <f aca="false">IF(AND(A136&gt;=$B$6,A136&lt;=$C$6),"基準",IF(AND(A136&gt;=$B$7,A136&lt;=$C$7),"移行（除外）",IF(AND(A136&gt;=$B$8,A136&lt;=$C$8),"2週間・1か月",IF(AND(A136&gt;=$B$9,A136&lt;=$C$9),"1か月",""))))</f>
        <v/>
      </c>
    </row>
    <row r="137" customFormat="false" ht="15" hidden="false" customHeight="false" outlineLevel="0" collapsed="false">
      <c r="A137" s="49" t="n">
        <v>46372</v>
      </c>
      <c r="B137" s="50"/>
      <c r="C137" s="50"/>
      <c r="D137" s="50"/>
      <c r="E137" s="50"/>
      <c r="F137" s="50"/>
      <c r="G137" s="50"/>
      <c r="H137" s="50"/>
      <c r="I137" s="50"/>
      <c r="J137" s="50"/>
      <c r="K137" s="50"/>
      <c r="L137" s="50"/>
      <c r="M137" s="50"/>
      <c r="N137" s="50"/>
      <c r="O137" s="50"/>
      <c r="P137" s="2" t="str">
        <f aca="false">IF(AND(A137&gt;=$B$6,A137&lt;=$C$6),"基準",IF(AND(A137&gt;=$B$7,A137&lt;=$C$7),"移行（除外）",IF(AND(A137&gt;=$B$8,A137&lt;=$C$8),"2週間・1か月",IF(AND(A137&gt;=$B$9,A137&lt;=$C$9),"1か月",""))))</f>
        <v/>
      </c>
    </row>
    <row r="138" customFormat="false" ht="15" hidden="false" customHeight="false" outlineLevel="0" collapsed="false">
      <c r="A138" s="49" t="n">
        <v>46373</v>
      </c>
      <c r="B138" s="50"/>
      <c r="C138" s="50"/>
      <c r="D138" s="50"/>
      <c r="E138" s="50"/>
      <c r="F138" s="50"/>
      <c r="G138" s="50"/>
      <c r="H138" s="50"/>
      <c r="I138" s="50"/>
      <c r="J138" s="50"/>
      <c r="K138" s="50"/>
      <c r="L138" s="50"/>
      <c r="M138" s="50"/>
      <c r="N138" s="50"/>
      <c r="O138" s="50"/>
      <c r="P138" s="2" t="str">
        <f aca="false">IF(AND(A138&gt;=$B$6,A138&lt;=$C$6),"基準",IF(AND(A138&gt;=$B$7,A138&lt;=$C$7),"移行（除外）",IF(AND(A138&gt;=$B$8,A138&lt;=$C$8),"2週間・1か月",IF(AND(A138&gt;=$B$9,A138&lt;=$C$9),"1か月",""))))</f>
        <v/>
      </c>
    </row>
    <row r="139" customFormat="false" ht="15" hidden="false" customHeight="false" outlineLevel="0" collapsed="false">
      <c r="A139" s="49" t="n">
        <v>46374</v>
      </c>
      <c r="B139" s="50"/>
      <c r="C139" s="50"/>
      <c r="D139" s="50"/>
      <c r="E139" s="50"/>
      <c r="F139" s="50"/>
      <c r="G139" s="50"/>
      <c r="H139" s="50"/>
      <c r="I139" s="50"/>
      <c r="J139" s="50"/>
      <c r="K139" s="50"/>
      <c r="L139" s="50"/>
      <c r="M139" s="50"/>
      <c r="N139" s="50"/>
      <c r="O139" s="50"/>
      <c r="P139" s="2" t="str">
        <f aca="false">IF(AND(A139&gt;=$B$6,A139&lt;=$C$6),"基準",IF(AND(A139&gt;=$B$7,A139&lt;=$C$7),"移行（除外）",IF(AND(A139&gt;=$B$8,A139&lt;=$C$8),"2週間・1か月",IF(AND(A139&gt;=$B$9,A139&lt;=$C$9),"1か月",""))))</f>
        <v/>
      </c>
    </row>
    <row r="140" customFormat="false" ht="15" hidden="false" customHeight="false" outlineLevel="0" collapsed="false">
      <c r="A140" s="49" t="n">
        <v>46375</v>
      </c>
      <c r="B140" s="50"/>
      <c r="C140" s="50"/>
      <c r="D140" s="50"/>
      <c r="E140" s="50"/>
      <c r="F140" s="50"/>
      <c r="G140" s="50"/>
      <c r="H140" s="50"/>
      <c r="I140" s="50"/>
      <c r="J140" s="50"/>
      <c r="K140" s="50"/>
      <c r="L140" s="50"/>
      <c r="M140" s="50"/>
      <c r="N140" s="50"/>
      <c r="O140" s="50"/>
      <c r="P140" s="2" t="str">
        <f aca="false">IF(AND(A140&gt;=$B$6,A140&lt;=$C$6),"基準",IF(AND(A140&gt;=$B$7,A140&lt;=$C$7),"移行（除外）",IF(AND(A140&gt;=$B$8,A140&lt;=$C$8),"2週間・1か月",IF(AND(A140&gt;=$B$9,A140&lt;=$C$9),"1か月",""))))</f>
        <v/>
      </c>
    </row>
    <row r="141" customFormat="false" ht="15" hidden="false" customHeight="false" outlineLevel="0" collapsed="false">
      <c r="A141" s="49" t="n">
        <v>46376</v>
      </c>
      <c r="B141" s="50"/>
      <c r="C141" s="50"/>
      <c r="D141" s="50"/>
      <c r="E141" s="50"/>
      <c r="F141" s="50"/>
      <c r="G141" s="50"/>
      <c r="H141" s="50"/>
      <c r="I141" s="50"/>
      <c r="J141" s="50"/>
      <c r="K141" s="50"/>
      <c r="L141" s="50"/>
      <c r="M141" s="50"/>
      <c r="N141" s="50"/>
      <c r="O141" s="50"/>
      <c r="P141" s="2" t="str">
        <f aca="false">IF(AND(A141&gt;=$B$6,A141&lt;=$C$6),"基準",IF(AND(A141&gt;=$B$7,A141&lt;=$C$7),"移行（除外）",IF(AND(A141&gt;=$B$8,A141&lt;=$C$8),"2週間・1か月",IF(AND(A141&gt;=$B$9,A141&lt;=$C$9),"1か月",""))))</f>
        <v/>
      </c>
    </row>
    <row r="142" customFormat="false" ht="15" hidden="false" customHeight="false" outlineLevel="0" collapsed="false">
      <c r="A142" s="49" t="n">
        <v>46377</v>
      </c>
      <c r="B142" s="50"/>
      <c r="C142" s="50"/>
      <c r="D142" s="50"/>
      <c r="E142" s="50"/>
      <c r="F142" s="50"/>
      <c r="G142" s="50"/>
      <c r="H142" s="50"/>
      <c r="I142" s="50"/>
      <c r="J142" s="50"/>
      <c r="K142" s="50"/>
      <c r="L142" s="50"/>
      <c r="M142" s="50"/>
      <c r="N142" s="50"/>
      <c r="O142" s="50"/>
      <c r="P142" s="2" t="str">
        <f aca="false">IF(AND(A142&gt;=$B$6,A142&lt;=$C$6),"基準",IF(AND(A142&gt;=$B$7,A142&lt;=$C$7),"移行（除外）",IF(AND(A142&gt;=$B$8,A142&lt;=$C$8),"2週間・1か月",IF(AND(A142&gt;=$B$9,A142&lt;=$C$9),"1か月",""))))</f>
        <v/>
      </c>
    </row>
    <row r="143" customFormat="false" ht="15" hidden="false" customHeight="false" outlineLevel="0" collapsed="false">
      <c r="A143" s="49" t="n">
        <v>46378</v>
      </c>
      <c r="B143" s="50"/>
      <c r="C143" s="50"/>
      <c r="D143" s="50"/>
      <c r="E143" s="50"/>
      <c r="F143" s="50"/>
      <c r="G143" s="50"/>
      <c r="H143" s="50"/>
      <c r="I143" s="50"/>
      <c r="J143" s="50"/>
      <c r="K143" s="50"/>
      <c r="L143" s="50"/>
      <c r="M143" s="50"/>
      <c r="N143" s="50"/>
      <c r="O143" s="50"/>
      <c r="P143" s="2" t="str">
        <f aca="false">IF(AND(A143&gt;=$B$6,A143&lt;=$C$6),"基準",IF(AND(A143&gt;=$B$7,A143&lt;=$C$7),"移行（除外）",IF(AND(A143&gt;=$B$8,A143&lt;=$C$8),"2週間・1か月",IF(AND(A143&gt;=$B$9,A143&lt;=$C$9),"1か月",""))))</f>
        <v/>
      </c>
    </row>
    <row r="144" customFormat="false" ht="15" hidden="false" customHeight="false" outlineLevel="0" collapsed="false">
      <c r="A144" s="49" t="n">
        <v>46379</v>
      </c>
      <c r="B144" s="50"/>
      <c r="C144" s="50"/>
      <c r="D144" s="50"/>
      <c r="E144" s="50"/>
      <c r="F144" s="50"/>
      <c r="G144" s="50"/>
      <c r="H144" s="50"/>
      <c r="I144" s="50"/>
      <c r="J144" s="50"/>
      <c r="K144" s="50"/>
      <c r="L144" s="50"/>
      <c r="M144" s="50"/>
      <c r="N144" s="50"/>
      <c r="O144" s="50"/>
      <c r="P144" s="2" t="str">
        <f aca="false">IF(AND(A144&gt;=$B$6,A144&lt;=$C$6),"基準",IF(AND(A144&gt;=$B$7,A144&lt;=$C$7),"移行（除外）",IF(AND(A144&gt;=$B$8,A144&lt;=$C$8),"2週間・1か月",IF(AND(A144&gt;=$B$9,A144&lt;=$C$9),"1か月",""))))</f>
        <v/>
      </c>
    </row>
    <row r="145" customFormat="false" ht="15" hidden="false" customHeight="false" outlineLevel="0" collapsed="false">
      <c r="A145" s="49" t="n">
        <v>46380</v>
      </c>
      <c r="B145" s="50"/>
      <c r="C145" s="50"/>
      <c r="D145" s="50"/>
      <c r="E145" s="50"/>
      <c r="F145" s="50"/>
      <c r="G145" s="50"/>
      <c r="H145" s="50"/>
      <c r="I145" s="50"/>
      <c r="J145" s="50"/>
      <c r="K145" s="50"/>
      <c r="L145" s="50"/>
      <c r="M145" s="50"/>
      <c r="N145" s="50"/>
      <c r="O145" s="50"/>
      <c r="P145" s="2" t="str">
        <f aca="false">IF(AND(A145&gt;=$B$6,A145&lt;=$C$6),"基準",IF(AND(A145&gt;=$B$7,A145&lt;=$C$7),"移行（除外）",IF(AND(A145&gt;=$B$8,A145&lt;=$C$8),"2週間・1か月",IF(AND(A145&gt;=$B$9,A145&lt;=$C$9),"1か月",""))))</f>
        <v/>
      </c>
    </row>
    <row r="146" customFormat="false" ht="15" hidden="false" customHeight="false" outlineLevel="0" collapsed="false">
      <c r="A146" s="49" t="n">
        <v>46381</v>
      </c>
      <c r="B146" s="50"/>
      <c r="C146" s="50"/>
      <c r="D146" s="50"/>
      <c r="E146" s="50"/>
      <c r="F146" s="50"/>
      <c r="G146" s="50"/>
      <c r="H146" s="50"/>
      <c r="I146" s="50"/>
      <c r="J146" s="50"/>
      <c r="K146" s="50"/>
      <c r="L146" s="50"/>
      <c r="M146" s="50"/>
      <c r="N146" s="50"/>
      <c r="O146" s="50"/>
      <c r="P146" s="2" t="str">
        <f aca="false">IF(AND(A146&gt;=$B$6,A146&lt;=$C$6),"基準",IF(AND(A146&gt;=$B$7,A146&lt;=$C$7),"移行（除外）",IF(AND(A146&gt;=$B$8,A146&lt;=$C$8),"2週間・1か月",IF(AND(A146&gt;=$B$9,A146&lt;=$C$9),"1か月",""))))</f>
        <v/>
      </c>
    </row>
    <row r="147" customFormat="false" ht="15" hidden="false" customHeight="false" outlineLevel="0" collapsed="false">
      <c r="A147" s="49" t="n">
        <v>46382</v>
      </c>
      <c r="B147" s="50"/>
      <c r="C147" s="50"/>
      <c r="D147" s="50"/>
      <c r="E147" s="50"/>
      <c r="F147" s="50"/>
      <c r="G147" s="50"/>
      <c r="H147" s="50"/>
      <c r="I147" s="50"/>
      <c r="J147" s="50"/>
      <c r="K147" s="50"/>
      <c r="L147" s="50"/>
      <c r="M147" s="50"/>
      <c r="N147" s="50"/>
      <c r="O147" s="50"/>
      <c r="P147" s="2" t="str">
        <f aca="false">IF(AND(A147&gt;=$B$6,A147&lt;=$C$6),"基準",IF(AND(A147&gt;=$B$7,A147&lt;=$C$7),"移行（除外）",IF(AND(A147&gt;=$B$8,A147&lt;=$C$8),"2週間・1か月",IF(AND(A147&gt;=$B$9,A147&lt;=$C$9),"1か月",""))))</f>
        <v/>
      </c>
    </row>
    <row r="148" customFormat="false" ht="15" hidden="false" customHeight="false" outlineLevel="0" collapsed="false">
      <c r="A148" s="49" t="n">
        <v>46383</v>
      </c>
      <c r="B148" s="50"/>
      <c r="C148" s="50"/>
      <c r="D148" s="50"/>
      <c r="E148" s="50"/>
      <c r="F148" s="50"/>
      <c r="G148" s="50"/>
      <c r="H148" s="50"/>
      <c r="I148" s="50"/>
      <c r="J148" s="50"/>
      <c r="K148" s="50"/>
      <c r="L148" s="50"/>
      <c r="M148" s="50"/>
      <c r="N148" s="50"/>
      <c r="O148" s="50"/>
      <c r="P148" s="2" t="str">
        <f aca="false">IF(AND(A148&gt;=$B$6,A148&lt;=$C$6),"基準",IF(AND(A148&gt;=$B$7,A148&lt;=$C$7),"移行（除外）",IF(AND(A148&gt;=$B$8,A148&lt;=$C$8),"2週間・1か月",IF(AND(A148&gt;=$B$9,A148&lt;=$C$9),"1か月",""))))</f>
        <v/>
      </c>
    </row>
    <row r="149" customFormat="false" ht="15" hidden="false" customHeight="false" outlineLevel="0" collapsed="false">
      <c r="A149" s="49" t="n">
        <v>46384</v>
      </c>
      <c r="B149" s="50"/>
      <c r="C149" s="50"/>
      <c r="D149" s="50"/>
      <c r="E149" s="50"/>
      <c r="F149" s="50"/>
      <c r="G149" s="50"/>
      <c r="H149" s="50"/>
      <c r="I149" s="50"/>
      <c r="J149" s="50"/>
      <c r="K149" s="50"/>
      <c r="L149" s="50"/>
      <c r="M149" s="50"/>
      <c r="N149" s="50"/>
      <c r="O149" s="50"/>
      <c r="P149" s="2" t="str">
        <f aca="false">IF(AND(A149&gt;=$B$6,A149&lt;=$C$6),"基準",IF(AND(A149&gt;=$B$7,A149&lt;=$C$7),"移行（除外）",IF(AND(A149&gt;=$B$8,A149&lt;=$C$8),"2週間・1か月",IF(AND(A149&gt;=$B$9,A149&lt;=$C$9),"1か月",""))))</f>
        <v/>
      </c>
    </row>
    <row r="150" customFormat="false" ht="15" hidden="false" customHeight="false" outlineLevel="0" collapsed="false">
      <c r="A150" s="49" t="n">
        <v>46385</v>
      </c>
      <c r="B150" s="50"/>
      <c r="C150" s="50"/>
      <c r="D150" s="50"/>
      <c r="E150" s="50"/>
      <c r="F150" s="50"/>
      <c r="G150" s="50"/>
      <c r="H150" s="50"/>
      <c r="I150" s="50"/>
      <c r="J150" s="50"/>
      <c r="K150" s="50"/>
      <c r="L150" s="50"/>
      <c r="M150" s="50"/>
      <c r="N150" s="50"/>
      <c r="O150" s="50"/>
      <c r="P150" s="2" t="str">
        <f aca="false">IF(AND(A150&gt;=$B$6,A150&lt;=$C$6),"基準",IF(AND(A150&gt;=$B$7,A150&lt;=$C$7),"移行（除外）",IF(AND(A150&gt;=$B$8,A150&lt;=$C$8),"2週間・1か月",IF(AND(A150&gt;=$B$9,A150&lt;=$C$9),"1か月",""))))</f>
        <v/>
      </c>
    </row>
    <row r="151" customFormat="false" ht="15" hidden="false" customHeight="false" outlineLevel="0" collapsed="false">
      <c r="A151" s="49" t="n">
        <v>46386</v>
      </c>
      <c r="B151" s="50"/>
      <c r="C151" s="50"/>
      <c r="D151" s="50"/>
      <c r="E151" s="50"/>
      <c r="F151" s="50"/>
      <c r="G151" s="50"/>
      <c r="H151" s="50"/>
      <c r="I151" s="50"/>
      <c r="J151" s="50"/>
      <c r="K151" s="50"/>
      <c r="L151" s="50"/>
      <c r="M151" s="50"/>
      <c r="N151" s="50"/>
      <c r="O151" s="50"/>
      <c r="P151" s="2" t="str">
        <f aca="false">IF(AND(A151&gt;=$B$6,A151&lt;=$C$6),"基準",IF(AND(A151&gt;=$B$7,A151&lt;=$C$7),"移行（除外）",IF(AND(A151&gt;=$B$8,A151&lt;=$C$8),"2週間・1か月",IF(AND(A151&gt;=$B$9,A151&lt;=$C$9),"1か月",""))))</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7"/>
    <col collapsed="false" customWidth="true" hidden="false" outlineLevel="0" max="3" min="3" style="0" width="16"/>
    <col collapsed="false" customWidth="true" hidden="false" outlineLevel="0" max="4" min="4" style="0" width="30"/>
    <col collapsed="false" customWidth="true" hidden="false" outlineLevel="0" max="5" min="5" style="0" width="38"/>
    <col collapsed="false" customWidth="true" hidden="false" outlineLevel="0" max="6" min="6" style="0" width="26"/>
    <col collapsed="false" customWidth="true" hidden="false" outlineLevel="0" max="7" min="7" style="0" width="12"/>
    <col collapsed="false" customWidth="true" hidden="false" outlineLevel="0" max="8" min="8" style="0" width="26"/>
    <col collapsed="false" customWidth="true" hidden="false" outlineLevel="0" max="9" min="9" style="0" width="16"/>
    <col collapsed="false" customWidth="true" hidden="false" outlineLevel="0" max="10" min="10" style="0" width="40"/>
  </cols>
  <sheetData>
    <row r="1" customFormat="false" ht="17.35" hidden="false" customHeight="false" outlineLevel="0" collapsed="false">
      <c r="A1" s="8" t="s">
        <v>33</v>
      </c>
    </row>
    <row r="2" customFormat="false" ht="15" hidden="false" customHeight="false" outlineLevel="0" collapsed="false">
      <c r="A2" s="2" t="s">
        <v>549</v>
      </c>
    </row>
    <row r="4" customFormat="false" ht="26.85" hidden="false" customHeight="false" outlineLevel="0" collapsed="false">
      <c r="A4" s="9" t="s">
        <v>115</v>
      </c>
      <c r="B4" s="28" t="s">
        <v>374</v>
      </c>
      <c r="C4" s="9" t="s">
        <v>550</v>
      </c>
      <c r="D4" s="9" t="s">
        <v>551</v>
      </c>
      <c r="E4" s="9" t="s">
        <v>552</v>
      </c>
      <c r="F4" s="9" t="s">
        <v>553</v>
      </c>
      <c r="G4" s="9" t="s">
        <v>554</v>
      </c>
      <c r="H4" s="9" t="s">
        <v>555</v>
      </c>
      <c r="I4" s="9" t="s">
        <v>47</v>
      </c>
      <c r="J4" s="9" t="s">
        <v>48</v>
      </c>
    </row>
    <row r="5" customFormat="false" ht="26.85" hidden="false" customHeight="false" outlineLevel="0" collapsed="false">
      <c r="A5" s="18" t="s">
        <v>341</v>
      </c>
      <c r="B5" s="13" t="s">
        <v>380</v>
      </c>
      <c r="C5" s="18" t="s">
        <v>556</v>
      </c>
      <c r="D5" s="13" t="s">
        <v>557</v>
      </c>
      <c r="E5" s="13" t="s">
        <v>558</v>
      </c>
      <c r="F5" s="13" t="s">
        <v>559</v>
      </c>
      <c r="G5" s="18" t="s">
        <v>560</v>
      </c>
      <c r="H5" s="13" t="s">
        <v>385</v>
      </c>
      <c r="I5" s="18" t="s">
        <v>561</v>
      </c>
      <c r="J5" s="18"/>
    </row>
    <row r="6" customFormat="false" ht="26.85" hidden="false" customHeight="false" outlineLevel="0" collapsed="false">
      <c r="A6" s="13" t="s">
        <v>459</v>
      </c>
      <c r="B6" s="13" t="s">
        <v>380</v>
      </c>
      <c r="C6" s="18" t="s">
        <v>556</v>
      </c>
      <c r="D6" s="13" t="s">
        <v>562</v>
      </c>
      <c r="E6" s="13" t="s">
        <v>563</v>
      </c>
      <c r="F6" s="13" t="s">
        <v>564</v>
      </c>
      <c r="G6" s="13" t="s">
        <v>565</v>
      </c>
      <c r="H6" s="13" t="s">
        <v>391</v>
      </c>
      <c r="I6" s="18" t="s">
        <v>566</v>
      </c>
      <c r="J6" s="18" t="s">
        <v>567</v>
      </c>
    </row>
    <row r="7" customFormat="false" ht="26.85" hidden="false" customHeight="false" outlineLevel="0" collapsed="false">
      <c r="A7" s="18" t="s">
        <v>195</v>
      </c>
      <c r="B7" s="13" t="s">
        <v>380</v>
      </c>
      <c r="C7" s="18" t="s">
        <v>556</v>
      </c>
      <c r="D7" s="13" t="s">
        <v>568</v>
      </c>
      <c r="E7" s="13" t="s">
        <v>569</v>
      </c>
      <c r="F7" s="13" t="s">
        <v>570</v>
      </c>
      <c r="G7" s="13" t="s">
        <v>565</v>
      </c>
      <c r="H7" s="18" t="s">
        <v>196</v>
      </c>
      <c r="I7" s="18" t="s">
        <v>566</v>
      </c>
      <c r="J7" s="18" t="s">
        <v>571</v>
      </c>
    </row>
    <row r="8" customFormat="false" ht="26.85" hidden="false" customHeight="false" outlineLevel="0" collapsed="false">
      <c r="A8" s="13" t="s">
        <v>392</v>
      </c>
      <c r="B8" s="13" t="s">
        <v>393</v>
      </c>
      <c r="C8" s="18" t="s">
        <v>556</v>
      </c>
      <c r="D8" s="13" t="s">
        <v>572</v>
      </c>
      <c r="E8" s="13" t="s">
        <v>573</v>
      </c>
      <c r="F8" s="13" t="s">
        <v>574</v>
      </c>
      <c r="G8" s="13" t="s">
        <v>565</v>
      </c>
      <c r="H8" s="18" t="s">
        <v>398</v>
      </c>
      <c r="I8" s="18" t="s">
        <v>566</v>
      </c>
      <c r="J8" s="18" t="s">
        <v>575</v>
      </c>
    </row>
    <row r="9" customFormat="false" ht="26.85" hidden="false" customHeight="false" outlineLevel="0" collapsed="false">
      <c r="A9" s="18" t="s">
        <v>576</v>
      </c>
      <c r="B9" s="13" t="s">
        <v>393</v>
      </c>
      <c r="C9" s="18" t="s">
        <v>556</v>
      </c>
      <c r="D9" s="13" t="s">
        <v>577</v>
      </c>
      <c r="E9" s="13" t="s">
        <v>578</v>
      </c>
      <c r="F9" s="13" t="s">
        <v>579</v>
      </c>
      <c r="G9" s="18" t="s">
        <v>560</v>
      </c>
      <c r="H9" s="18" t="s">
        <v>580</v>
      </c>
      <c r="I9" s="18" t="s">
        <v>561</v>
      </c>
      <c r="J9" s="18"/>
    </row>
    <row r="10" customFormat="false" ht="52.2" hidden="false" customHeight="false" outlineLevel="0" collapsed="false">
      <c r="A10" s="18" t="s">
        <v>581</v>
      </c>
      <c r="B10" s="18" t="s">
        <v>582</v>
      </c>
      <c r="C10" s="18" t="s">
        <v>556</v>
      </c>
      <c r="D10" s="13" t="s">
        <v>583</v>
      </c>
      <c r="E10" s="13" t="s">
        <v>584</v>
      </c>
      <c r="F10" s="13" t="s">
        <v>585</v>
      </c>
      <c r="G10" s="18" t="s">
        <v>560</v>
      </c>
      <c r="H10" s="18" t="s">
        <v>586</v>
      </c>
      <c r="I10" s="18" t="s">
        <v>587</v>
      </c>
      <c r="J10" s="13" t="s">
        <v>588</v>
      </c>
      <c r="K10" s="13" t="s">
        <v>589</v>
      </c>
      <c r="L10" s="13" t="s">
        <v>590</v>
      </c>
    </row>
    <row r="11" customFormat="false" ht="26.85" hidden="false" customHeight="false" outlineLevel="0" collapsed="false">
      <c r="A11" s="13" t="s">
        <v>404</v>
      </c>
      <c r="B11" s="13" t="s">
        <v>380</v>
      </c>
      <c r="C11" s="18" t="s">
        <v>591</v>
      </c>
      <c r="D11" s="13" t="s">
        <v>592</v>
      </c>
      <c r="E11" s="13" t="s">
        <v>593</v>
      </c>
      <c r="F11" s="18" t="s">
        <v>594</v>
      </c>
      <c r="G11" s="18" t="s">
        <v>560</v>
      </c>
      <c r="H11" s="13" t="s">
        <v>595</v>
      </c>
      <c r="I11" s="51" t="s">
        <v>596</v>
      </c>
      <c r="J11" s="18" t="s">
        <v>597</v>
      </c>
    </row>
    <row r="12" customFormat="false" ht="26.85" hidden="false" customHeight="false" outlineLevel="0" collapsed="false">
      <c r="A12" s="13" t="s">
        <v>598</v>
      </c>
      <c r="B12" s="13" t="s">
        <v>380</v>
      </c>
      <c r="C12" s="18" t="s">
        <v>591</v>
      </c>
      <c r="D12" s="18" t="s">
        <v>560</v>
      </c>
      <c r="E12" s="13" t="s">
        <v>599</v>
      </c>
      <c r="F12" s="18" t="s">
        <v>560</v>
      </c>
      <c r="G12" s="18" t="s">
        <v>560</v>
      </c>
      <c r="H12" s="13" t="s">
        <v>600</v>
      </c>
      <c r="I12" s="51" t="s">
        <v>596</v>
      </c>
      <c r="J12" s="18" t="s">
        <v>601</v>
      </c>
    </row>
    <row r="13" customFormat="false" ht="15" hidden="false" customHeight="false" outlineLevel="0" collapsed="false">
      <c r="A13" s="13" t="s">
        <v>602</v>
      </c>
      <c r="B13" s="13" t="s">
        <v>380</v>
      </c>
      <c r="C13" s="18" t="s">
        <v>591</v>
      </c>
      <c r="D13" s="18" t="s">
        <v>560</v>
      </c>
      <c r="E13" s="13" t="s">
        <v>603</v>
      </c>
      <c r="F13" s="18" t="s">
        <v>604</v>
      </c>
      <c r="G13" s="18" t="s">
        <v>560</v>
      </c>
      <c r="H13" s="13" t="s">
        <v>605</v>
      </c>
      <c r="I13" s="51" t="s">
        <v>596</v>
      </c>
      <c r="J13" s="18" t="s">
        <v>606</v>
      </c>
    </row>
    <row r="14" customFormat="false" ht="15" hidden="false" customHeight="false" outlineLevel="0" collapsed="false">
      <c r="A14" s="13" t="s">
        <v>607</v>
      </c>
      <c r="B14" s="18" t="s">
        <v>582</v>
      </c>
      <c r="C14" s="18" t="s">
        <v>560</v>
      </c>
      <c r="D14" s="18" t="s">
        <v>560</v>
      </c>
      <c r="E14" s="18" t="s">
        <v>608</v>
      </c>
      <c r="F14" s="18" t="s">
        <v>609</v>
      </c>
      <c r="G14" s="18" t="s">
        <v>560</v>
      </c>
      <c r="H14" s="13" t="s">
        <v>610</v>
      </c>
      <c r="I14" s="18" t="s">
        <v>437</v>
      </c>
      <c r="J14" s="18" t="s">
        <v>611</v>
      </c>
    </row>
    <row r="15" customFormat="false" ht="15" hidden="false" customHeight="false" outlineLevel="0" collapsed="false">
      <c r="A15" s="50"/>
      <c r="B15" s="50"/>
      <c r="C15" s="50"/>
      <c r="D15" s="50"/>
      <c r="E15" s="50"/>
      <c r="F15" s="50"/>
      <c r="G15" s="50"/>
      <c r="H15" s="50"/>
      <c r="I15" s="50"/>
      <c r="J15" s="50"/>
    </row>
    <row r="16" customFormat="false" ht="15" hidden="false" customHeight="false" outlineLevel="0" collapsed="false">
      <c r="A16" s="50"/>
      <c r="B16" s="50"/>
      <c r="C16" s="50"/>
      <c r="D16" s="50"/>
      <c r="E16" s="50"/>
      <c r="F16" s="50"/>
      <c r="G16" s="50"/>
      <c r="H16" s="50"/>
      <c r="I16" s="50"/>
      <c r="J16" s="50"/>
    </row>
    <row r="17" customFormat="false" ht="15" hidden="false" customHeight="false" outlineLevel="0" collapsed="false">
      <c r="A17" s="50"/>
      <c r="B17" s="50"/>
      <c r="C17" s="50"/>
      <c r="D17" s="50"/>
      <c r="E17" s="50"/>
      <c r="F17" s="50"/>
      <c r="G17" s="50"/>
      <c r="H17" s="50"/>
      <c r="I17" s="50"/>
      <c r="J17" s="50"/>
    </row>
    <row r="18" customFormat="false" ht="15" hidden="false" customHeight="false" outlineLevel="0" collapsed="false">
      <c r="A18" s="50"/>
      <c r="B18" s="50"/>
      <c r="C18" s="50"/>
      <c r="D18" s="50"/>
      <c r="E18" s="50"/>
      <c r="F18" s="50"/>
      <c r="G18" s="50"/>
      <c r="H18" s="50"/>
      <c r="I18" s="50"/>
      <c r="J18" s="50"/>
    </row>
    <row r="19" customFormat="false" ht="15" hidden="false" customHeight="false" outlineLevel="0" collapsed="false">
      <c r="A19" s="50"/>
      <c r="B19" s="50"/>
      <c r="C19" s="50"/>
      <c r="D19" s="50"/>
      <c r="E19" s="50"/>
      <c r="F19" s="50"/>
      <c r="G19" s="50"/>
      <c r="H19" s="50"/>
      <c r="I19" s="50"/>
      <c r="J19" s="50"/>
    </row>
    <row r="20" customFormat="false" ht="15" hidden="false" customHeight="false" outlineLevel="0" collapsed="false">
      <c r="A20" s="50"/>
      <c r="B20" s="50"/>
      <c r="C20" s="50"/>
      <c r="D20" s="50"/>
      <c r="E20" s="50"/>
      <c r="F20" s="50"/>
      <c r="G20" s="50"/>
      <c r="H20" s="50"/>
      <c r="I20" s="50"/>
      <c r="J20" s="50"/>
    </row>
    <row r="21" customFormat="false" ht="15" hidden="false" customHeight="false" outlineLevel="0" collapsed="false">
      <c r="A21" s="50"/>
      <c r="B21" s="50"/>
      <c r="C21" s="50"/>
      <c r="D21" s="50"/>
      <c r="E21" s="50"/>
      <c r="F21" s="50"/>
      <c r="G21" s="50"/>
      <c r="H21" s="50"/>
      <c r="I21" s="50"/>
      <c r="J21" s="50"/>
    </row>
    <row r="22" customFormat="false" ht="15" hidden="false" customHeight="false" outlineLevel="0" collapsed="false">
      <c r="A22" s="50"/>
      <c r="B22" s="50"/>
      <c r="C22" s="50"/>
      <c r="D22" s="50"/>
      <c r="E22" s="50"/>
      <c r="F22" s="50"/>
      <c r="G22" s="50"/>
      <c r="H22" s="50"/>
      <c r="I22" s="50"/>
      <c r="J22" s="5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0"/>
    <col collapsed="false" customWidth="true" hidden="false" outlineLevel="0" max="3" min="3" style="0" width="22"/>
    <col collapsed="false" customWidth="true" hidden="false" outlineLevel="0" max="4" min="4" style="0" width="12"/>
  </cols>
  <sheetData>
    <row r="1" customFormat="false" ht="17.35" hidden="false" customHeight="false" outlineLevel="0" collapsed="false">
      <c r="A1" s="8" t="s">
        <v>612</v>
      </c>
    </row>
    <row r="2" customFormat="false" ht="15" hidden="false" customHeight="false" outlineLevel="0" collapsed="false">
      <c r="A2" s="2" t="s">
        <v>613</v>
      </c>
    </row>
    <row r="4" customFormat="false" ht="15" hidden="false" customHeight="false" outlineLevel="0" collapsed="false">
      <c r="A4" s="9" t="s">
        <v>43</v>
      </c>
      <c r="B4" s="9" t="s">
        <v>614</v>
      </c>
      <c r="C4" s="9" t="s">
        <v>615</v>
      </c>
      <c r="D4" s="9" t="s">
        <v>47</v>
      </c>
    </row>
    <row r="5" customFormat="false" ht="15" hidden="false" customHeight="false" outlineLevel="0" collapsed="false">
      <c r="A5" s="51" t="s">
        <v>616</v>
      </c>
      <c r="B5" s="13" t="s">
        <v>617</v>
      </c>
      <c r="C5" s="13" t="s">
        <v>618</v>
      </c>
      <c r="D5" s="14" t="s">
        <v>55</v>
      </c>
    </row>
    <row r="6" customFormat="false" ht="15" hidden="false" customHeight="false" outlineLevel="0" collapsed="false">
      <c r="A6" s="51" t="s">
        <v>616</v>
      </c>
      <c r="B6" s="13" t="s">
        <v>619</v>
      </c>
      <c r="C6" s="13" t="s">
        <v>618</v>
      </c>
      <c r="D6" s="14" t="s">
        <v>55</v>
      </c>
    </row>
    <row r="7" customFormat="false" ht="15" hidden="false" customHeight="false" outlineLevel="0" collapsed="false">
      <c r="A7" s="51" t="s">
        <v>616</v>
      </c>
      <c r="B7" s="13" t="s">
        <v>620</v>
      </c>
      <c r="C7" s="13" t="s">
        <v>621</v>
      </c>
      <c r="D7" s="14" t="s">
        <v>55</v>
      </c>
    </row>
    <row r="8" customFormat="false" ht="26.1" hidden="false" customHeight="false" outlineLevel="0" collapsed="false">
      <c r="A8" s="18" t="s">
        <v>622</v>
      </c>
      <c r="B8" s="18" t="s">
        <v>623</v>
      </c>
      <c r="C8" s="13" t="s">
        <v>624</v>
      </c>
      <c r="D8" s="14" t="s">
        <v>55</v>
      </c>
    </row>
    <row r="9" customFormat="false" ht="15" hidden="false" customHeight="false" outlineLevel="0" collapsed="false">
      <c r="A9" s="18" t="s">
        <v>622</v>
      </c>
      <c r="B9" s="13" t="s">
        <v>87</v>
      </c>
      <c r="C9" s="13" t="s">
        <v>624</v>
      </c>
      <c r="D9" s="14" t="s">
        <v>55</v>
      </c>
    </row>
    <row r="10" customFormat="false" ht="15" hidden="false" customHeight="false" outlineLevel="0" collapsed="false">
      <c r="A10" s="18" t="s">
        <v>622</v>
      </c>
      <c r="B10" s="18" t="s">
        <v>625</v>
      </c>
      <c r="C10" s="13" t="s">
        <v>626</v>
      </c>
      <c r="D10" s="14" t="s">
        <v>55</v>
      </c>
    </row>
    <row r="11" customFormat="false" ht="15" hidden="false" customHeight="false" outlineLevel="0" collapsed="false">
      <c r="A11" s="18" t="s">
        <v>622</v>
      </c>
      <c r="B11" s="13" t="s">
        <v>627</v>
      </c>
      <c r="C11" s="13" t="s">
        <v>628</v>
      </c>
      <c r="D11" s="14" t="s">
        <v>55</v>
      </c>
    </row>
    <row r="12" customFormat="false" ht="15" hidden="false" customHeight="false" outlineLevel="0" collapsed="false">
      <c r="A12" s="18" t="s">
        <v>622</v>
      </c>
      <c r="B12" s="18" t="s">
        <v>629</v>
      </c>
      <c r="C12" s="13" t="s">
        <v>630</v>
      </c>
      <c r="D12" s="14" t="s">
        <v>55</v>
      </c>
    </row>
    <row r="13" customFormat="false" ht="15" hidden="false" customHeight="false" outlineLevel="0" collapsed="false">
      <c r="A13" s="18" t="s">
        <v>631</v>
      </c>
      <c r="B13" s="18" t="s">
        <v>93</v>
      </c>
      <c r="C13" s="13" t="s">
        <v>628</v>
      </c>
      <c r="D13" s="14" t="s">
        <v>55</v>
      </c>
    </row>
    <row r="14" customFormat="false" ht="15" hidden="false" customHeight="false" outlineLevel="0" collapsed="false">
      <c r="A14" s="18" t="s">
        <v>631</v>
      </c>
      <c r="B14" s="13" t="s">
        <v>632</v>
      </c>
      <c r="C14" s="13" t="s">
        <v>633</v>
      </c>
      <c r="D14" s="14" t="s">
        <v>55</v>
      </c>
    </row>
    <row r="15" customFormat="false" ht="15" hidden="false" customHeight="false" outlineLevel="0" collapsed="false">
      <c r="A15" s="18" t="s">
        <v>631</v>
      </c>
      <c r="B15" s="13" t="s">
        <v>634</v>
      </c>
      <c r="C15" s="13" t="s">
        <v>635</v>
      </c>
      <c r="D15" s="14" t="s">
        <v>55</v>
      </c>
    </row>
    <row r="16" customFormat="false" ht="26.85" hidden="false" customHeight="false" outlineLevel="0" collapsed="false">
      <c r="A16" s="18" t="s">
        <v>631</v>
      </c>
      <c r="B16" s="13" t="s">
        <v>636</v>
      </c>
      <c r="C16" s="13" t="s">
        <v>637</v>
      </c>
      <c r="D16" s="14" t="s">
        <v>55</v>
      </c>
    </row>
    <row r="17" customFormat="false" ht="15" hidden="false" customHeight="false" outlineLevel="0" collapsed="false">
      <c r="A17" s="18" t="s">
        <v>631</v>
      </c>
      <c r="B17" s="13" t="s">
        <v>638</v>
      </c>
      <c r="C17" s="13" t="s">
        <v>639</v>
      </c>
      <c r="D17" s="14" t="s">
        <v>55</v>
      </c>
    </row>
    <row r="18" customFormat="false" ht="26.85" hidden="false" customHeight="false" outlineLevel="0" collapsed="false">
      <c r="A18" s="18" t="s">
        <v>631</v>
      </c>
      <c r="B18" s="13" t="s">
        <v>640</v>
      </c>
      <c r="C18" s="18" t="s">
        <v>641</v>
      </c>
      <c r="D18" s="14" t="s">
        <v>55</v>
      </c>
    </row>
    <row r="19" customFormat="false" ht="15" hidden="false" customHeight="false" outlineLevel="0" collapsed="false">
      <c r="A19" s="18" t="s">
        <v>631</v>
      </c>
      <c r="B19" s="13" t="s">
        <v>642</v>
      </c>
      <c r="C19" s="18" t="s">
        <v>641</v>
      </c>
      <c r="D19" s="14" t="s">
        <v>55</v>
      </c>
    </row>
    <row r="20" customFormat="false" ht="15" hidden="false" customHeight="false" outlineLevel="0" collapsed="false">
      <c r="A20" s="18" t="s">
        <v>631</v>
      </c>
      <c r="B20" s="18" t="s">
        <v>643</v>
      </c>
      <c r="C20" s="13" t="s">
        <v>644</v>
      </c>
      <c r="D20" s="14" t="s">
        <v>55</v>
      </c>
    </row>
    <row r="21" customFormat="false" ht="15" hidden="false" customHeight="false" outlineLevel="0" collapsed="false">
      <c r="A21" s="18" t="s">
        <v>631</v>
      </c>
      <c r="B21" s="13" t="s">
        <v>645</v>
      </c>
      <c r="C21" s="18" t="s">
        <v>641</v>
      </c>
      <c r="D21" s="14" t="s">
        <v>55</v>
      </c>
    </row>
    <row r="22" customFormat="false" ht="15" hidden="false" customHeight="false" outlineLevel="0" collapsed="false">
      <c r="A22" s="18" t="s">
        <v>631</v>
      </c>
      <c r="B22" s="13" t="s">
        <v>646</v>
      </c>
      <c r="C22" s="18" t="s">
        <v>641</v>
      </c>
      <c r="D22" s="14" t="s">
        <v>55</v>
      </c>
    </row>
  </sheetData>
  <dataValidations count="1">
    <dataValidation allowBlank="true" errorStyle="stop" operator="between" showDropDown="false" showErrorMessage="false" showInputMessage="false" sqref="D5:D22" type="list">
      <formula1>"未着手,作業中,済,延期"</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2026-10-12T10:24:45Z</dcterms:created>
  <dc:creator>openpyxl</dc:creator>
  <dc:description/>
  <dc:language>en-US</dc:language>
  <cp:lastModifiedBy/>
  <dcterms:modified xsi:type="dcterms:W3CDTF">2026-10-12T10:24:45Z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