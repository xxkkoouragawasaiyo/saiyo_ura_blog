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前提" sheetId="1" state="visible" r:id="rId3"/>
    <sheet name="サマリー" sheetId="2" state="visible" r:id="rId4"/>
    <sheet name="良い点・悪い点" sheetId="3" state="visible" r:id="rId5"/>
    <sheet name="今後の方向性" sheetId="4" state="visible" r:id="rId6"/>
    <sheet name="全記事_修正点" sheetId="5" state="visible" r:id="rId7"/>
    <sheet name="重点9記事_詳細" sheetId="6" state="visible" r:id="rId8"/>
    <sheet name="カニバリ分析" sheetId="7" state="visible" r:id="rId9"/>
    <sheet name="URL・技術課題" sheetId="8" state="visible" r:id="rId10"/>
    <sheet name="GSC主要発見" sheetId="9" state="visible" r:id="rId11"/>
    <sheet name="クエリ機会" sheetId="10" state="visible" r:id="rId12"/>
    <sheet name="推移・デバイス" sheetId="11" state="visible" r:id="rId13"/>
    <sheet name="アフィリエイト実績" sheetId="12" state="visible" r:id="rId14"/>
  </sheets>
  <definedNames>
    <definedName function="false" hidden="false" localSheetId="4" name="_xlnm.Print_Titles" vbProcedure="false">全記事_修正点!$4:$4</definedName>
    <definedName function="false" hidden="true" localSheetId="4" name="_xlnm._FilterDatabase" vbProcedure="false">全記事_修正点!$A$4:$AC$143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<sst xmlns="http://schemas.openxmlformats.org/spreadsheetml/2006/main" count="3588" uniqueCount="1720">
  <si>
    <t xml:space="preserve">採用のウラ側 ブログ改善レポート</t>
  </si>
  <si>
    <r>
      <rPr>
        <sz val="9"/>
        <color rgb="FF595959"/>
        <rFont val="WenQuanYi Zen Hei"/>
        <family val="2"/>
      </rPr>
      <t xml:space="preserve">作成日：</t>
    </r>
    <r>
      <rPr>
        <sz val="9"/>
        <color rgb="FF595959"/>
        <rFont val="Meiryo UI"/>
        <family val="0"/>
        <charset val="1"/>
      </rPr>
      <t xml:space="preserve">2026-10-10</t>
    </r>
    <r>
      <rPr>
        <sz val="9"/>
        <color rgb="FF595959"/>
        <rFont val="WenQuanYi Zen Hei"/>
        <family val="2"/>
      </rPr>
      <t xml:space="preserve">　対象：</t>
    </r>
    <r>
      <rPr>
        <sz val="9"/>
        <color rgb="FF595959"/>
        <rFont val="Meiryo UI"/>
        <family val="0"/>
        <charset val="1"/>
      </rPr>
      <t xml:space="preserve">https://saiyo-ura.com/</t>
    </r>
    <r>
      <rPr>
        <sz val="9"/>
        <color rgb="FF595959"/>
        <rFont val="WenQuanYi Zen Hei"/>
        <family val="2"/>
      </rPr>
      <t xml:space="preserve">　作成：</t>
    </r>
    <r>
      <rPr>
        <sz val="9"/>
        <color rgb="FF595959"/>
        <rFont val="Meiryo UI"/>
        <family val="0"/>
        <charset val="1"/>
      </rPr>
      <t xml:space="preserve">GSC</t>
    </r>
    <r>
      <rPr>
        <sz val="9"/>
        <color rgb="FF595959"/>
        <rFont val="WenQuanYi Zen Hei"/>
        <family val="2"/>
      </rPr>
      <t xml:space="preserve">・</t>
    </r>
    <r>
      <rPr>
        <sz val="9"/>
        <color rgb="FF595959"/>
        <rFont val="Meiryo UI"/>
        <family val="0"/>
        <charset val="1"/>
      </rPr>
      <t xml:space="preserve">ASP</t>
    </r>
    <r>
      <rPr>
        <sz val="9"/>
        <color rgb="FF595959"/>
        <rFont val="WenQuanYi Zen Hei"/>
        <family val="2"/>
      </rPr>
      <t xml:space="preserve">データ分析</t>
    </r>
  </si>
  <si>
    <t xml:space="preserve">シート一覧</t>
  </si>
  <si>
    <t xml:space="preserve">サマリー</t>
  </si>
  <si>
    <t xml:space="preserve">結論・主要指標・仮説の検証結果・最優先の対応</t>
  </si>
  <si>
    <t xml:space="preserve">良い点・悪い点</t>
  </si>
  <si>
    <t xml:space="preserve">現状のブログの強みと弱み（根拠データと対策つき）</t>
  </si>
  <si>
    <t xml:space="preserve">今後の方向性</t>
  </si>
  <si>
    <r>
      <rPr>
        <sz val="10"/>
        <rFont val="WenQuanYi Zen Hei"/>
        <family val="2"/>
      </rPr>
      <t xml:space="preserve">ポジショニング・注力テーマ・やめること・新規記事案・ロードマップ・</t>
    </r>
    <r>
      <rPr>
        <sz val="10"/>
        <rFont val="Meiryo UI"/>
        <family val="0"/>
        <charset val="1"/>
      </rPr>
      <t xml:space="preserve">KPI</t>
    </r>
  </si>
  <si>
    <t xml:space="preserve">全記事_修正点</t>
  </si>
  <si>
    <r>
      <rPr>
        <sz val="10"/>
        <rFont val="WenQuanYi Zen Hei"/>
        <family val="2"/>
      </rPr>
      <t xml:space="preserve">全</t>
    </r>
    <r>
      <rPr>
        <sz val="10"/>
        <rFont val="Meiryo UI"/>
        <family val="0"/>
        <charset val="1"/>
      </rPr>
      <t xml:space="preserve">139</t>
    </r>
    <r>
      <rPr>
        <sz val="10"/>
        <rFont val="WenQuanYi Zen Hei"/>
        <family val="2"/>
      </rPr>
      <t xml:space="preserve">記事の修正点を優先順に一覧化（診断・カニバリ・</t>
    </r>
    <r>
      <rPr>
        <sz val="10"/>
        <rFont val="Meiryo UI"/>
        <family val="0"/>
        <charset val="1"/>
      </rPr>
      <t xml:space="preserve">SEO</t>
    </r>
    <r>
      <rPr>
        <sz val="10"/>
        <rFont val="WenQuanYi Zen Hei"/>
        <family val="2"/>
      </rPr>
      <t xml:space="preserve">・タイトル・導線・推奨案件）</t>
    </r>
  </si>
  <si>
    <t xml:space="preserve">重点9記事_詳細</t>
  </si>
  <si>
    <r>
      <rPr>
        <sz val="10"/>
        <rFont val="WenQuanYi Zen Hei"/>
        <family val="2"/>
      </rPr>
      <t xml:space="preserve">最優先</t>
    </r>
    <r>
      <rPr>
        <sz val="10"/>
        <rFont val="Meiryo UI"/>
        <family val="0"/>
        <charset val="1"/>
      </rPr>
      <t xml:space="preserve">9</t>
    </r>
    <r>
      <rPr>
        <sz val="10"/>
        <rFont val="WenQuanYi Zen Hei"/>
        <family val="2"/>
      </rPr>
      <t xml:space="preserve">記事のアクションプラン（分析・カニバリ・タイトル案・導線の位置とマイクロコピー）</t>
    </r>
  </si>
  <si>
    <t xml:space="preserve">カニバリ分析</t>
  </si>
  <si>
    <t xml:space="preserve">記事グループごとの競合判定・根拠・解消案、複数記事に該当するクエリ</t>
  </si>
  <si>
    <t xml:space="preserve">URL・技術課題</t>
  </si>
  <si>
    <r>
      <rPr>
        <sz val="10"/>
        <rFont val="WenQuanYi Zen Hei"/>
        <family val="2"/>
      </rPr>
      <t xml:space="preserve">壊れた</t>
    </r>
    <r>
      <rPr>
        <sz val="10"/>
        <rFont val="Meiryo UI"/>
        <family val="0"/>
        <charset val="1"/>
      </rPr>
      <t xml:space="preserve">URL</t>
    </r>
    <r>
      <rPr>
        <sz val="10"/>
        <rFont val="WenQuanYi Zen Hei"/>
        <family val="2"/>
      </rPr>
      <t xml:space="preserve">・不要なインデックスの詳細と修正手順</t>
    </r>
  </si>
  <si>
    <t xml:space="preserve">GSC主要発見</t>
  </si>
  <si>
    <r>
      <rPr>
        <sz val="10"/>
        <rFont val="WenQuanYi Zen Hei"/>
        <family val="2"/>
      </rPr>
      <t xml:space="preserve">前回報告の発見</t>
    </r>
    <r>
      <rPr>
        <sz val="10"/>
        <rFont val="Meiryo UI"/>
        <family val="0"/>
        <charset val="1"/>
      </rPr>
      <t xml:space="preserve">1</t>
    </r>
    <r>
      <rPr>
        <sz val="10"/>
        <rFont val="WenQuanYi Zen Hei"/>
        <family val="2"/>
      </rPr>
      <t xml:space="preserve">〜</t>
    </r>
    <r>
      <rPr>
        <sz val="10"/>
        <rFont val="Meiryo UI"/>
        <family val="0"/>
        <charset val="1"/>
      </rPr>
      <t xml:space="preserve">5</t>
    </r>
    <r>
      <rPr>
        <sz val="10"/>
        <rFont val="WenQuanYi Zen Hei"/>
        <family val="2"/>
      </rPr>
      <t xml:space="preserve">の詳細</t>
    </r>
  </si>
  <si>
    <t xml:space="preserve">クエリ機会</t>
  </si>
  <si>
    <r>
      <rPr>
        <sz val="10"/>
        <rFont val="WenQuanYi Zen Hei"/>
        <family val="2"/>
      </rPr>
      <t xml:space="preserve">あと一歩のクエリ・急伸クエリ・クリック</t>
    </r>
    <r>
      <rPr>
        <sz val="10"/>
        <rFont val="Meiryo UI"/>
        <family val="0"/>
        <charset val="1"/>
      </rPr>
      <t xml:space="preserve">0</t>
    </r>
    <r>
      <rPr>
        <sz val="10"/>
        <rFont val="WenQuanYi Zen Hei"/>
        <family val="2"/>
      </rPr>
      <t xml:space="preserve">のクエリ</t>
    </r>
  </si>
  <si>
    <t xml:space="preserve">推移・デバイス</t>
  </si>
  <si>
    <t xml:space="preserve">週次推移・期間別・デバイス別の数値</t>
  </si>
  <si>
    <t xml:space="preserve">アフィリエイト実績</t>
  </si>
  <si>
    <r>
      <rPr>
        <sz val="10"/>
        <rFont val="Meiryo UI"/>
        <family val="0"/>
        <charset val="1"/>
      </rPr>
      <t xml:space="preserve">A8.net</t>
    </r>
    <r>
      <rPr>
        <sz val="10"/>
        <rFont val="WenQuanYi Zen Hei"/>
        <family val="2"/>
      </rPr>
      <t xml:space="preserve">・バリューコマース・もしもアフィリエイトの実績と診断</t>
    </r>
  </si>
  <si>
    <t xml:space="preserve">使用データ</t>
  </si>
  <si>
    <t xml:space="preserve">データ</t>
  </si>
  <si>
    <t xml:space="preserve">内容</t>
  </si>
  <si>
    <r>
      <rPr>
        <sz val="10"/>
        <rFont val="Meiryo UI"/>
        <family val="0"/>
        <charset val="1"/>
      </rPr>
      <t xml:space="preserve">Google</t>
    </r>
    <r>
      <rPr>
        <sz val="10"/>
        <rFont val="WenQuanYi Zen Hei"/>
        <family val="2"/>
      </rPr>
      <t xml:space="preserve">サーチコンソール</t>
    </r>
  </si>
  <si>
    <r>
      <rPr>
        <sz val="10"/>
        <rFont val="WenQuanYi Zen Hei"/>
        <family val="2"/>
      </rPr>
      <t xml:space="preserve">検索パフォーマンス（ウェブ）過去</t>
    </r>
    <r>
      <rPr>
        <sz val="10"/>
        <rFont val="Meiryo UI"/>
        <family val="0"/>
        <charset val="1"/>
      </rPr>
      <t xml:space="preserve">3</t>
    </r>
    <r>
      <rPr>
        <sz val="10"/>
        <rFont val="WenQuanYi Zen Hei"/>
        <family val="2"/>
      </rPr>
      <t xml:space="preserve">か月 </t>
    </r>
    <r>
      <rPr>
        <sz val="10"/>
        <rFont val="Meiryo UI"/>
        <family val="0"/>
        <charset val="1"/>
      </rPr>
      <t xml:space="preserve">2026-07-07</t>
    </r>
    <r>
      <rPr>
        <sz val="10"/>
        <rFont val="WenQuanYi Zen Hei"/>
        <family val="2"/>
      </rPr>
      <t xml:space="preserve">〜</t>
    </r>
    <r>
      <rPr>
        <sz val="10"/>
        <rFont val="Meiryo UI"/>
        <family val="0"/>
        <charset val="1"/>
      </rPr>
      <t xml:space="preserve">2026-10-06</t>
    </r>
    <r>
      <rPr>
        <sz val="10"/>
        <rFont val="WenQuanYi Zen Hei"/>
        <family val="2"/>
      </rPr>
      <t xml:space="preserve">／過去</t>
    </r>
    <r>
      <rPr>
        <sz val="10"/>
        <rFont val="Meiryo UI"/>
        <family val="0"/>
        <charset val="1"/>
      </rPr>
      <t xml:space="preserve">28</t>
    </r>
    <r>
      <rPr>
        <sz val="10"/>
        <rFont val="WenQuanYi Zen Hei"/>
        <family val="2"/>
      </rPr>
      <t xml:space="preserve">日／過去</t>
    </r>
    <r>
      <rPr>
        <sz val="10"/>
        <rFont val="Meiryo UI"/>
        <family val="0"/>
        <charset val="1"/>
      </rPr>
      <t xml:space="preserve">7</t>
    </r>
    <r>
      <rPr>
        <sz val="10"/>
        <rFont val="WenQuanYi Zen Hei"/>
        <family val="2"/>
      </rPr>
      <t xml:space="preserve">日。クエリ・ページは画面エクスポートの上位</t>
    </r>
    <r>
      <rPr>
        <sz val="10"/>
        <rFont val="Meiryo UI"/>
        <family val="0"/>
        <charset val="1"/>
      </rPr>
      <t xml:space="preserve">1,000</t>
    </r>
    <r>
      <rPr>
        <sz val="10"/>
        <rFont val="WenQuanYi Zen Hei"/>
        <family val="2"/>
      </rPr>
      <t xml:space="preserve">行</t>
    </r>
  </si>
  <si>
    <t xml:space="preserve">A8.net</t>
  </si>
  <si>
    <r>
      <rPr>
        <sz val="10"/>
        <rFont val="WenQuanYi Zen Hei"/>
        <family val="2"/>
      </rPr>
      <t xml:space="preserve">月次レポート・プログラム別（</t>
    </r>
    <r>
      <rPr>
        <sz val="10"/>
        <rFont val="Meiryo UI"/>
        <family val="0"/>
        <charset val="1"/>
      </rPr>
      <t xml:space="preserve">2026</t>
    </r>
    <r>
      <rPr>
        <sz val="10"/>
        <rFont val="WenQuanYi Zen Hei"/>
        <family val="2"/>
      </rPr>
      <t xml:space="preserve">年</t>
    </r>
    <r>
      <rPr>
        <sz val="10"/>
        <rFont val="Meiryo UI"/>
        <family val="0"/>
        <charset val="1"/>
      </rPr>
      <t xml:space="preserve">1</t>
    </r>
    <r>
      <rPr>
        <sz val="10"/>
        <rFont val="WenQuanYi Zen Hei"/>
        <family val="2"/>
      </rPr>
      <t xml:space="preserve">月〜</t>
    </r>
    <r>
      <rPr>
        <sz val="10"/>
        <rFont val="Meiryo UI"/>
        <family val="0"/>
        <charset val="1"/>
      </rPr>
      <t xml:space="preserve">10</t>
    </r>
    <r>
      <rPr>
        <sz val="10"/>
        <rFont val="WenQuanYi Zen Hei"/>
        <family val="2"/>
      </rPr>
      <t xml:space="preserve">月）</t>
    </r>
  </si>
  <si>
    <t xml:space="preserve">バリューコマース</t>
  </si>
  <si>
    <r>
      <rPr>
        <sz val="10"/>
        <rFont val="WenQuanYi Zen Hei"/>
        <family val="2"/>
      </rPr>
      <t xml:space="preserve">広告主別・日別（</t>
    </r>
    <r>
      <rPr>
        <sz val="10"/>
        <rFont val="Meiryo UI"/>
        <family val="0"/>
        <charset val="1"/>
      </rPr>
      <t xml:space="preserve">2026/09/10</t>
    </r>
    <r>
      <rPr>
        <sz val="10"/>
        <rFont val="WenQuanYi Zen Hei"/>
        <family val="2"/>
      </rPr>
      <t xml:space="preserve">〜</t>
    </r>
    <r>
      <rPr>
        <sz val="10"/>
        <rFont val="Meiryo UI"/>
        <family val="0"/>
        <charset val="1"/>
      </rPr>
      <t xml:space="preserve">10/10</t>
    </r>
    <r>
      <rPr>
        <sz val="10"/>
        <rFont val="WenQuanYi Zen Hei"/>
        <family val="2"/>
      </rPr>
      <t xml:space="preserve">）</t>
    </r>
  </si>
  <si>
    <t xml:space="preserve">もしもアフィリエイト</t>
  </si>
  <si>
    <r>
      <rPr>
        <sz val="10"/>
        <rFont val="WenQuanYi Zen Hei"/>
        <family val="2"/>
      </rPr>
      <t xml:space="preserve">サイト別</t>
    </r>
    <r>
      <rPr>
        <sz val="10"/>
        <rFont val="Meiryo UI"/>
        <family val="0"/>
        <charset val="1"/>
      </rPr>
      <t xml:space="preserve">KPI</t>
    </r>
    <r>
      <rPr>
        <sz val="10"/>
        <rFont val="WenQuanYi Zen Hei"/>
        <family val="2"/>
      </rPr>
      <t xml:space="preserve">（期間はエクスポート時の設定）</t>
    </r>
  </si>
  <si>
    <t xml:space="preserve">前提・制約（必ずお読みください）</t>
  </si>
  <si>
    <t xml:space="preserve">・分析環境からサイトに接続できなかったため、記事本文と現在のアフィリエイトリンクの配置は確認していません。現在のタイトルは検索結果で確認できたものだけ記載しています。</t>
  </si>
  <si>
    <r>
      <rPr>
        <sz val="10"/>
        <rFont val="WenQuanYi Zen Hei"/>
        <family val="2"/>
      </rPr>
      <t xml:space="preserve">・カニバリゼーションは推定です。</t>
    </r>
    <r>
      <rPr>
        <sz val="10"/>
        <rFont val="Meiryo UI"/>
        <family val="0"/>
        <charset val="1"/>
      </rPr>
      <t xml:space="preserve">GSC</t>
    </r>
    <r>
      <rPr>
        <sz val="10"/>
        <rFont val="WenQuanYi Zen Hei"/>
        <family val="2"/>
      </rPr>
      <t xml:space="preserve">の画面エクスポートには「どのクエリでどの記事が表示されたか」の組み合わせが含まれないため、クエリの文言と記事のテーマから判定しました。確定には「カニバリ分析」シートの手順で</t>
    </r>
    <r>
      <rPr>
        <sz val="10"/>
        <rFont val="Meiryo UI"/>
        <family val="0"/>
        <charset val="1"/>
      </rPr>
      <t xml:space="preserve">GSC</t>
    </r>
    <r>
      <rPr>
        <sz val="10"/>
        <rFont val="WenQuanYi Zen Hei"/>
        <family val="2"/>
      </rPr>
      <t xml:space="preserve">を確認してください。</t>
    </r>
  </si>
  <si>
    <r>
      <rPr>
        <sz val="10"/>
        <rFont val="WenQuanYi Zen Hei"/>
        <family val="2"/>
      </rPr>
      <t xml:space="preserve">・「関連クエリ（推定）」は、記事マスタ（</t>
    </r>
    <r>
      <rPr>
        <sz val="10"/>
        <rFont val="Meiryo UI"/>
        <family val="0"/>
        <charset val="1"/>
      </rPr>
      <t xml:space="preserve">data/articles/article_master.csv</t>
    </r>
    <r>
      <rPr>
        <sz val="10"/>
        <rFont val="WenQuanYi Zen Hei"/>
        <family val="2"/>
      </rPr>
      <t xml:space="preserve">）のパターンでクエリを記事に割り当てたものです。</t>
    </r>
    <r>
      <rPr>
        <sz val="10"/>
        <rFont val="Meiryo UI"/>
        <family val="0"/>
        <charset val="1"/>
      </rPr>
      <t xml:space="preserve">1</t>
    </r>
    <r>
      <rPr>
        <sz val="10"/>
        <rFont val="WenQuanYi Zen Hei"/>
        <family val="2"/>
      </rPr>
      <t xml:space="preserve">つのクエリが複数の記事に割り当たることがあります。</t>
    </r>
  </si>
  <si>
    <r>
      <rPr>
        <sz val="10"/>
        <rFont val="WenQuanYi Zen Hei"/>
        <family val="2"/>
      </rPr>
      <t xml:space="preserve">・クエリ表は上位</t>
    </r>
    <r>
      <rPr>
        <sz val="10"/>
        <rFont val="Meiryo UI"/>
        <family val="0"/>
        <charset val="1"/>
      </rPr>
      <t xml:space="preserve">1,000</t>
    </r>
    <r>
      <rPr>
        <sz val="10"/>
        <rFont val="WenQuanYi Zen Hei"/>
        <family val="2"/>
      </rPr>
      <t xml:space="preserve">行で、匿名化されたクエリは含みません。クエリの合計はサイト全体の合計より小さくなります。サイト全体の合計はデバイス別の値を使っています。</t>
    </r>
  </si>
  <si>
    <r>
      <rPr>
        <sz val="10"/>
        <rFont val="WenQuanYi Zen Hei"/>
        <family val="2"/>
      </rPr>
      <t xml:space="preserve">・マイクロコピー中のサービス仕様（無料で口コミを見られる条件、年収の目安など）は公式情報で確認していません。掲載前に必ず公式サイトと</t>
    </r>
    <r>
      <rPr>
        <sz val="10"/>
        <rFont val="Meiryo UI"/>
        <family val="0"/>
        <charset val="1"/>
      </rPr>
      <t xml:space="preserve">ASP</t>
    </r>
    <r>
      <rPr>
        <sz val="10"/>
        <rFont val="WenQuanYi Zen Hei"/>
        <family val="2"/>
      </rPr>
      <t xml:space="preserve">の規約を確認してください。</t>
    </r>
  </si>
  <si>
    <r>
      <rPr>
        <sz val="10"/>
        <rFont val="WenQuanYi Zen Hei"/>
        <family val="2"/>
      </rPr>
      <t xml:space="preserve">・優先順位は「（月間クリック＋取りこぼし見込み）</t>
    </r>
    <r>
      <rPr>
        <sz val="10"/>
        <rFont val="Meiryo UI"/>
        <family val="0"/>
        <charset val="1"/>
      </rPr>
      <t xml:space="preserve">× </t>
    </r>
    <r>
      <rPr>
        <sz val="10"/>
        <rFont val="WenQuanYi Zen Hei"/>
        <family val="2"/>
      </rPr>
      <t xml:space="preserve">テーマの収益性 ＋ カニバリの深刻度」のスコアに、人の判断（重点</t>
    </r>
    <r>
      <rPr>
        <sz val="10"/>
        <rFont val="Meiryo UI"/>
        <family val="0"/>
        <charset val="1"/>
      </rPr>
      <t xml:space="preserve">9</t>
    </r>
    <r>
      <rPr>
        <sz val="10"/>
        <rFont val="WenQuanYi Zen Hei"/>
        <family val="2"/>
      </rPr>
      <t xml:space="preserve">記事の固定など）を加えて決めています。</t>
    </r>
  </si>
  <si>
    <r>
      <rPr>
        <b val="true"/>
        <sz val="12"/>
        <color rgb="FF1F3864"/>
        <rFont val="WenQuanYi Zen Hei"/>
        <family val="2"/>
      </rPr>
      <t xml:space="preserve">目標</t>
    </r>
    <r>
      <rPr>
        <b val="true"/>
        <sz val="12"/>
        <color rgb="FF1F3864"/>
        <rFont val="Meiryo UI"/>
        <family val="0"/>
        <charset val="1"/>
      </rPr>
      <t xml:space="preserve">CTR</t>
    </r>
    <r>
      <rPr>
        <b val="true"/>
        <sz val="12"/>
        <color rgb="FF1F3864"/>
        <rFont val="WenQuanYi Zen Hei"/>
        <family val="2"/>
      </rPr>
      <t xml:space="preserve">（平均掲載順位別）※「全記事</t>
    </r>
    <r>
      <rPr>
        <b val="true"/>
        <sz val="12"/>
        <color rgb="FF1F3864"/>
        <rFont val="Meiryo UI"/>
        <family val="0"/>
        <charset val="1"/>
      </rPr>
      <t xml:space="preserve">_</t>
    </r>
    <r>
      <rPr>
        <b val="true"/>
        <sz val="12"/>
        <color rgb="FF1F3864"/>
        <rFont val="WenQuanYi Zen Hei"/>
        <family val="2"/>
      </rPr>
      <t xml:space="preserve">修正点」の取りこぼし見込みの計算に使用。数値を変えると再計算されます</t>
    </r>
  </si>
  <si>
    <r>
      <rPr>
        <sz val="9"/>
        <color rgb="FF595959"/>
        <rFont val="WenQuanYi Zen Hei"/>
        <family val="2"/>
      </rPr>
      <t xml:space="preserve">想定値の根拠：サイト内で</t>
    </r>
    <r>
      <rPr>
        <sz val="9"/>
        <color rgb="FF595959"/>
        <rFont val="Meiryo UI"/>
        <family val="0"/>
        <charset val="1"/>
      </rPr>
      <t xml:space="preserve">3</t>
    </r>
    <r>
      <rPr>
        <sz val="9"/>
        <color rgb="FF595959"/>
        <rFont val="WenQuanYi Zen Hei"/>
        <family val="2"/>
      </rPr>
      <t xml:space="preserve">か月の表示</t>
    </r>
    <r>
      <rPr>
        <sz val="9"/>
        <color rgb="FF595959"/>
        <rFont val="Meiryo UI"/>
        <family val="0"/>
        <charset val="1"/>
      </rPr>
      <t xml:space="preserve">300</t>
    </r>
    <r>
      <rPr>
        <sz val="9"/>
        <color rgb="FF595959"/>
        <rFont val="WenQuanYi Zen Hei"/>
        <family val="2"/>
      </rPr>
      <t xml:space="preserve">回以上の記事の実績（</t>
    </r>
    <r>
      <rPr>
        <sz val="9"/>
        <color rgb="FF595959"/>
        <rFont val="Meiryo UI"/>
        <family val="0"/>
        <charset val="1"/>
      </rPr>
      <t xml:space="preserve">6</t>
    </r>
    <r>
      <rPr>
        <sz val="9"/>
        <color rgb="FF595959"/>
        <rFont val="WenQuanYi Zen Hei"/>
        <family val="2"/>
      </rPr>
      <t xml:space="preserve">〜</t>
    </r>
    <r>
      <rPr>
        <sz val="9"/>
        <color rgb="FF595959"/>
        <rFont val="Meiryo UI"/>
        <family val="0"/>
        <charset val="1"/>
      </rPr>
      <t xml:space="preserve">9</t>
    </r>
    <r>
      <rPr>
        <sz val="9"/>
        <color rgb="FF595959"/>
        <rFont val="WenQuanYi Zen Hei"/>
        <family val="2"/>
      </rPr>
      <t xml:space="preserve">位の中央値は約</t>
    </r>
    <r>
      <rPr>
        <sz val="9"/>
        <color rgb="FF595959"/>
        <rFont val="Meiryo UI"/>
        <family val="0"/>
        <charset val="1"/>
      </rPr>
      <t xml:space="preserve">3.5%</t>
    </r>
    <r>
      <rPr>
        <sz val="9"/>
        <color rgb="FF595959"/>
        <rFont val="WenQuanYi Zen Hei"/>
        <family val="2"/>
      </rPr>
      <t xml:space="preserve">、</t>
    </r>
    <r>
      <rPr>
        <sz val="9"/>
        <color rgb="FF595959"/>
        <rFont val="Meiryo UI"/>
        <family val="0"/>
        <charset val="1"/>
      </rPr>
      <t xml:space="preserve">5</t>
    </r>
    <r>
      <rPr>
        <sz val="9"/>
        <color rgb="FF595959"/>
        <rFont val="WenQuanYi Zen Hei"/>
        <family val="2"/>
      </rPr>
      <t xml:space="preserve">位は約</t>
    </r>
    <r>
      <rPr>
        <sz val="9"/>
        <color rgb="FF595959"/>
        <rFont val="Meiryo UI"/>
        <family val="0"/>
        <charset val="1"/>
      </rPr>
      <t xml:space="preserve">10%</t>
    </r>
    <r>
      <rPr>
        <sz val="9"/>
        <color rgb="FF595959"/>
        <rFont val="WenQuanYi Zen Hei"/>
        <family val="2"/>
      </rPr>
      <t xml:space="preserve">）を基に、上位水準として設定。</t>
    </r>
  </si>
  <si>
    <t xml:space="preserve">平均掲載順位</t>
  </si>
  <si>
    <r>
      <rPr>
        <b val="true"/>
        <sz val="10"/>
        <color rgb="FFFFFFFF"/>
        <rFont val="WenQuanYi Zen Hei"/>
        <family val="2"/>
      </rPr>
      <t xml:space="preserve">目標</t>
    </r>
    <r>
      <rPr>
        <b val="true"/>
        <sz val="10"/>
        <color rgb="FFFFFFFF"/>
        <rFont val="Meiryo UI"/>
        <family val="0"/>
        <charset val="1"/>
      </rPr>
      <t xml:space="preserve">CTR</t>
    </r>
  </si>
  <si>
    <t xml:space="preserve">用語</t>
  </si>
  <si>
    <t xml:space="preserve">意味</t>
  </si>
  <si>
    <t xml:space="preserve">CTR</t>
  </si>
  <si>
    <t xml:space="preserve">検索結果に表示された回数のうち、クリックされた割合</t>
  </si>
  <si>
    <t xml:space="preserve">検索結果での平均順位。記事単位の値は、その記事が表示された全クエリの平均</t>
  </si>
  <si>
    <t xml:space="preserve">カニバリ（カニバリゼーション）</t>
  </si>
  <si>
    <t xml:space="preserve">サイト内の複数の記事が同じ検索意図を取り合い、評価が分散して順位が伸びない状態</t>
  </si>
  <si>
    <t xml:space="preserve">導線</t>
  </si>
  <si>
    <t xml:space="preserve">記事内でアフィリエイトリンク（ボタン・テキストリンク）へ読者を誘導する流れ</t>
  </si>
  <si>
    <t xml:space="preserve">取りこぼし見込み</t>
  </si>
  <si>
    <r>
      <rPr>
        <sz val="10"/>
        <rFont val="WenQuanYi Zen Hei"/>
        <family val="2"/>
      </rPr>
      <t xml:space="preserve">直近</t>
    </r>
    <r>
      <rPr>
        <sz val="10"/>
        <rFont val="Meiryo UI"/>
        <family val="0"/>
        <charset val="1"/>
      </rPr>
      <t xml:space="preserve">28</t>
    </r>
    <r>
      <rPr>
        <sz val="10"/>
        <rFont val="WenQuanYi Zen Hei"/>
        <family val="2"/>
      </rPr>
      <t xml:space="preserve">日の表示回数 </t>
    </r>
    <r>
      <rPr>
        <sz val="10"/>
        <rFont val="Meiryo UI"/>
        <family val="0"/>
        <charset val="1"/>
      </rPr>
      <t xml:space="preserve">× </t>
    </r>
    <r>
      <rPr>
        <sz val="10"/>
        <rFont val="WenQuanYi Zen Hei"/>
        <family val="2"/>
      </rPr>
      <t xml:space="preserve">（目標</t>
    </r>
    <r>
      <rPr>
        <sz val="10"/>
        <rFont val="Meiryo UI"/>
        <family val="0"/>
        <charset val="1"/>
      </rPr>
      <t xml:space="preserve">CTR − </t>
    </r>
    <r>
      <rPr>
        <sz val="10"/>
        <rFont val="WenQuanYi Zen Hei"/>
        <family val="2"/>
      </rPr>
      <t xml:space="preserve">現在の</t>
    </r>
    <r>
      <rPr>
        <sz val="10"/>
        <rFont val="Meiryo UI"/>
        <family val="0"/>
        <charset val="1"/>
      </rPr>
      <t xml:space="preserve">CTR</t>
    </r>
    <r>
      <rPr>
        <sz val="10"/>
        <rFont val="WenQuanYi Zen Hei"/>
        <family val="2"/>
      </rPr>
      <t xml:space="preserve">）を月換算した、追加で取れる可能性のあるクリック数</t>
    </r>
  </si>
  <si>
    <r>
      <rPr>
        <sz val="10"/>
        <rFont val="Meiryo UI"/>
        <family val="0"/>
        <charset val="1"/>
      </rPr>
      <t xml:space="preserve">301</t>
    </r>
    <r>
      <rPr>
        <sz val="10"/>
        <rFont val="WenQuanYi Zen Hei"/>
        <family val="2"/>
      </rPr>
      <t xml:space="preserve">リダイレクト</t>
    </r>
  </si>
  <si>
    <r>
      <rPr>
        <sz val="10"/>
        <rFont val="WenQuanYi Zen Hei"/>
        <family val="2"/>
      </rPr>
      <t xml:space="preserve">統合した記事の古い</t>
    </r>
    <r>
      <rPr>
        <sz val="10"/>
        <rFont val="Meiryo UI"/>
        <family val="0"/>
        <charset val="1"/>
      </rPr>
      <t xml:space="preserve">URL</t>
    </r>
    <r>
      <rPr>
        <sz val="10"/>
        <rFont val="WenQuanYi Zen Hei"/>
        <family val="2"/>
      </rPr>
      <t xml:space="preserve">を新しい</t>
    </r>
    <r>
      <rPr>
        <sz val="10"/>
        <rFont val="Meiryo UI"/>
        <family val="0"/>
        <charset val="1"/>
      </rPr>
      <t xml:space="preserve">URL</t>
    </r>
    <r>
      <rPr>
        <sz val="10"/>
        <rFont val="WenQuanYi Zen Hei"/>
        <family val="2"/>
      </rPr>
      <t xml:space="preserve">へ恒久的に転送する設定。評価を引き継げる</t>
    </r>
  </si>
  <si>
    <t xml:space="preserve">サマリー：結論と主要指標</t>
  </si>
  <si>
    <r>
      <rPr>
        <b val="true"/>
        <sz val="12"/>
        <color rgb="FF1F3864"/>
        <rFont val="WenQuanYi Zen Hei"/>
        <family val="2"/>
      </rPr>
      <t xml:space="preserve">結論（</t>
    </r>
    <r>
      <rPr>
        <b val="true"/>
        <sz val="12"/>
        <color rgb="FF1F3864"/>
        <rFont val="Meiryo UI"/>
        <family val="0"/>
        <charset val="1"/>
      </rPr>
      <t xml:space="preserve">3</t>
    </r>
    <r>
      <rPr>
        <b val="true"/>
        <sz val="12"/>
        <color rgb="FF1F3864"/>
        <rFont val="WenQuanYi Zen Hei"/>
        <family val="2"/>
      </rPr>
      <t xml:space="preserve">行）</t>
    </r>
  </si>
  <si>
    <r>
      <rPr>
        <sz val="10"/>
        <rFont val="WenQuanYi Zen Hei"/>
        <family val="2"/>
      </rPr>
      <t xml:space="preserve">① 集客は立ち上がっている（クリック</t>
    </r>
    <r>
      <rPr>
        <sz val="10"/>
        <rFont val="Meiryo UI"/>
        <family val="0"/>
        <charset val="1"/>
      </rPr>
      <t xml:space="preserve">/</t>
    </r>
    <r>
      <rPr>
        <sz val="10"/>
        <rFont val="WenQuanYi Zen Hei"/>
        <family val="2"/>
      </rPr>
      <t xml:space="preserve">日 </t>
    </r>
    <r>
      <rPr>
        <sz val="10"/>
        <rFont val="Meiryo UI"/>
        <family val="0"/>
        <charset val="1"/>
      </rPr>
      <t xml:space="preserve">119→157→202</t>
    </r>
    <r>
      <rPr>
        <sz val="10"/>
        <rFont val="WenQuanYi Zen Hei"/>
        <family val="2"/>
      </rPr>
      <t xml:space="preserve">）。一方で収益導線が主要記事にほぼ無く、アフィリエイトのクリックは流入の約</t>
    </r>
    <r>
      <rPr>
        <sz val="10"/>
        <rFont val="Meiryo UI"/>
        <family val="0"/>
        <charset val="1"/>
      </rPr>
      <t xml:space="preserve">0.5%</t>
    </r>
    <r>
      <rPr>
        <sz val="10"/>
        <rFont val="WenQuanYi Zen Hei"/>
        <family val="2"/>
      </rPr>
      <t xml:space="preserve">。収益</t>
    </r>
    <r>
      <rPr>
        <sz val="10"/>
        <rFont val="Meiryo UI"/>
        <family val="0"/>
        <charset val="1"/>
      </rPr>
      <t xml:space="preserve">0</t>
    </r>
    <r>
      <rPr>
        <sz val="10"/>
        <rFont val="WenQuanYi Zen Hei"/>
        <family val="2"/>
      </rPr>
      <t xml:space="preserve">円の最大の原因は「配置の良し悪し」以前に「主要記事に導線がない」こと。</t>
    </r>
  </si>
  <si>
    <r>
      <rPr>
        <sz val="10"/>
        <rFont val="WenQuanYi Zen Hei"/>
        <family val="2"/>
      </rPr>
      <t xml:space="preserve">② 最初の収益源は転職会議（バリューコマース・無料会員登録）。</t>
    </r>
    <r>
      <rPr>
        <sz val="10"/>
        <rFont val="Meiryo UI"/>
        <family val="0"/>
        <charset val="1"/>
      </rPr>
      <t xml:space="preserve">9/12</t>
    </r>
    <r>
      <rPr>
        <sz val="10"/>
        <rFont val="WenQuanYi Zen Hei"/>
        <family val="2"/>
      </rPr>
      <t xml:space="preserve">に</t>
    </r>
    <r>
      <rPr>
        <sz val="10"/>
        <rFont val="Meiryo UI"/>
        <family val="0"/>
        <charset val="1"/>
      </rPr>
      <t xml:space="preserve">1</t>
    </r>
    <r>
      <rPr>
        <sz val="10"/>
        <rFont val="WenQuanYi Zen Hei"/>
        <family val="2"/>
      </rPr>
      <t xml:space="preserve">件・</t>
    </r>
    <r>
      <rPr>
        <sz val="10"/>
        <rFont val="Meiryo UI"/>
        <family val="0"/>
        <charset val="1"/>
      </rPr>
      <t xml:space="preserve">330</t>
    </r>
    <r>
      <rPr>
        <sz val="10"/>
        <rFont val="WenQuanYi Zen Hei"/>
        <family val="2"/>
      </rPr>
      <t xml:space="preserve">円が実際に発生（未承認）しており、</t>
    </r>
    <r>
      <rPr>
        <sz val="10"/>
        <rFont val="Meiryo UI"/>
        <family val="0"/>
        <charset val="1"/>
      </rPr>
      <t xml:space="preserve">OpenWork</t>
    </r>
    <r>
      <rPr>
        <sz val="10"/>
        <rFont val="WenQuanYi Zen Hei"/>
        <family val="2"/>
      </rPr>
      <t xml:space="preserve">・企業研究・ブラック求人の読者と最も相性が良い。</t>
    </r>
  </si>
  <si>
    <r>
      <rPr>
        <sz val="10"/>
        <rFont val="WenQuanYi Zen Hei"/>
        <family val="2"/>
      </rPr>
      <t xml:space="preserve">③ カニバリは全体の順位低下の原因ではない（平均順位</t>
    </r>
    <r>
      <rPr>
        <sz val="10"/>
        <rFont val="Meiryo UI"/>
        <family val="0"/>
        <charset val="1"/>
      </rPr>
      <t xml:space="preserve">8.9→7.1</t>
    </r>
    <r>
      <rPr>
        <sz val="10"/>
        <rFont val="WenQuanYi Zen Hei"/>
        <family val="2"/>
      </rPr>
      <t xml:space="preserve">に改善）。ただし転職会議・リクルートエージェント・</t>
    </r>
    <r>
      <rPr>
        <sz val="10"/>
        <rFont val="Meiryo UI"/>
        <family val="0"/>
        <charset val="1"/>
      </rPr>
      <t xml:space="preserve">AI</t>
    </r>
    <r>
      <rPr>
        <sz val="10"/>
        <rFont val="WenQuanYi Zen Hei"/>
        <family val="2"/>
      </rPr>
      <t xml:space="preserve">履歴書・書類選考・</t>
    </r>
    <r>
      <rPr>
        <sz val="10"/>
        <rFont val="Meiryo UI"/>
        <family val="0"/>
        <charset val="1"/>
      </rPr>
      <t xml:space="preserve">SIer</t>
    </r>
    <r>
      <rPr>
        <sz val="10"/>
        <rFont val="WenQuanYi Zen Hei"/>
        <family val="2"/>
      </rPr>
      <t xml:space="preserve">一覧など一部のグループでは評価の分散が起きている。</t>
    </r>
  </si>
  <si>
    <t xml:space="preserve">検索パフォーマンス（期間別）</t>
  </si>
  <si>
    <t xml:space="preserve">期間</t>
  </si>
  <si>
    <t xml:space="preserve">日数</t>
  </si>
  <si>
    <t xml:space="preserve">クリック</t>
  </si>
  <si>
    <t xml:space="preserve">表示回数</t>
  </si>
  <si>
    <r>
      <rPr>
        <b val="true"/>
        <sz val="10"/>
        <color rgb="FFFFFFFF"/>
        <rFont val="WenQuanYi Zen Hei"/>
        <family val="2"/>
      </rPr>
      <t xml:space="preserve">クリック</t>
    </r>
    <r>
      <rPr>
        <b val="true"/>
        <sz val="10"/>
        <color rgb="FFFFFFFF"/>
        <rFont val="Meiryo UI"/>
        <family val="0"/>
        <charset val="1"/>
      </rPr>
      <t xml:space="preserve">/</t>
    </r>
    <r>
      <rPr>
        <b val="true"/>
        <sz val="10"/>
        <color rgb="FFFFFFFF"/>
        <rFont val="WenQuanYi Zen Hei"/>
        <family val="2"/>
      </rPr>
      <t xml:space="preserve">日</t>
    </r>
  </si>
  <si>
    <r>
      <rPr>
        <sz val="10"/>
        <rFont val="WenQuanYi Zen Hei"/>
        <family val="2"/>
      </rPr>
      <t xml:space="preserve">過去</t>
    </r>
    <r>
      <rPr>
        <sz val="10"/>
        <rFont val="Meiryo UI"/>
        <family val="0"/>
        <charset val="1"/>
      </rPr>
      <t xml:space="preserve">3</t>
    </r>
    <r>
      <rPr>
        <sz val="10"/>
        <rFont val="WenQuanYi Zen Hei"/>
        <family val="2"/>
      </rPr>
      <t xml:space="preserve">か月</t>
    </r>
  </si>
  <si>
    <r>
      <rPr>
        <sz val="10"/>
        <rFont val="WenQuanYi Zen Hei"/>
        <family val="2"/>
      </rPr>
      <t xml:space="preserve">過去</t>
    </r>
    <r>
      <rPr>
        <sz val="10"/>
        <rFont val="Meiryo UI"/>
        <family val="0"/>
        <charset val="1"/>
      </rPr>
      <t xml:space="preserve">28</t>
    </r>
    <r>
      <rPr>
        <sz val="10"/>
        <rFont val="WenQuanYi Zen Hei"/>
        <family val="2"/>
      </rPr>
      <t xml:space="preserve">日</t>
    </r>
  </si>
  <si>
    <r>
      <rPr>
        <sz val="10"/>
        <rFont val="WenQuanYi Zen Hei"/>
        <family val="2"/>
      </rPr>
      <t xml:space="preserve">過去</t>
    </r>
    <r>
      <rPr>
        <sz val="10"/>
        <rFont val="Meiryo UI"/>
        <family val="0"/>
        <charset val="1"/>
      </rPr>
      <t xml:space="preserve">7</t>
    </r>
    <r>
      <rPr>
        <sz val="10"/>
        <rFont val="WenQuanYi Zen Hei"/>
        <family val="2"/>
      </rPr>
      <t xml:space="preserve">日</t>
    </r>
  </si>
  <si>
    <t xml:space="preserve">収益の現状（アフィリエイト）</t>
  </si>
  <si>
    <t xml:space="preserve">ASP</t>
  </si>
  <si>
    <t xml:space="preserve">表示</t>
  </si>
  <si>
    <t xml:space="preserve">発生件数</t>
  </si>
  <si>
    <t xml:space="preserve">発生金額（円）</t>
  </si>
  <si>
    <t xml:space="preserve">メモ</t>
  </si>
  <si>
    <r>
      <rPr>
        <sz val="10"/>
        <rFont val="WenQuanYi Zen Hei"/>
        <family val="2"/>
      </rPr>
      <t xml:space="preserve">バリューコマース（</t>
    </r>
    <r>
      <rPr>
        <sz val="10"/>
        <rFont val="Meiryo UI"/>
        <family val="0"/>
        <charset val="1"/>
      </rPr>
      <t xml:space="preserve">9/10</t>
    </r>
    <r>
      <rPr>
        <sz val="10"/>
        <rFont val="WenQuanYi Zen Hei"/>
        <family val="2"/>
      </rPr>
      <t xml:space="preserve">〜</t>
    </r>
    <r>
      <rPr>
        <sz val="10"/>
        <rFont val="Meiryo UI"/>
        <family val="0"/>
        <charset val="1"/>
      </rPr>
      <t xml:space="preserve">10/10</t>
    </r>
    <r>
      <rPr>
        <sz val="10"/>
        <rFont val="WenQuanYi Zen Hei"/>
        <family val="2"/>
      </rPr>
      <t xml:space="preserve">）</t>
    </r>
  </si>
  <si>
    <r>
      <rPr>
        <sz val="10"/>
        <rFont val="WenQuanYi Zen Hei"/>
        <family val="2"/>
      </rPr>
      <t xml:space="preserve">転職会議で</t>
    </r>
    <r>
      <rPr>
        <sz val="10"/>
        <rFont val="Meiryo UI"/>
        <family val="0"/>
        <charset val="1"/>
      </rPr>
      <t xml:space="preserve">1</t>
    </r>
    <r>
      <rPr>
        <sz val="10"/>
        <rFont val="WenQuanYi Zen Hei"/>
        <family val="2"/>
      </rPr>
      <t xml:space="preserve">件・</t>
    </r>
    <r>
      <rPr>
        <sz val="10"/>
        <rFont val="Meiryo UI"/>
        <family val="0"/>
        <charset val="1"/>
      </rPr>
      <t xml:space="preserve">330</t>
    </r>
    <r>
      <rPr>
        <sz val="10"/>
        <rFont val="WenQuanYi Zen Hei"/>
        <family val="2"/>
      </rPr>
      <t xml:space="preserve">円発生（未承認）。じゃらん・一休は無関係な広告</t>
    </r>
  </si>
  <si>
    <r>
      <rPr>
        <sz val="10"/>
        <rFont val="Meiryo UI"/>
        <family val="0"/>
        <charset val="1"/>
      </rPr>
      <t xml:space="preserve">A8.net</t>
    </r>
    <r>
      <rPr>
        <sz val="10"/>
        <rFont val="WenQuanYi Zen Hei"/>
        <family val="2"/>
      </rPr>
      <t xml:space="preserve">（</t>
    </r>
    <r>
      <rPr>
        <sz val="10"/>
        <rFont val="Meiryo UI"/>
        <family val="0"/>
        <charset val="1"/>
      </rPr>
      <t xml:space="preserve">10</t>
    </r>
    <r>
      <rPr>
        <sz val="10"/>
        <rFont val="WenQuanYi Zen Hei"/>
        <family val="2"/>
      </rPr>
      <t xml:space="preserve">月・途中）</t>
    </r>
  </si>
  <si>
    <r>
      <rPr>
        <sz val="10"/>
        <rFont val="WenQuanYi Zen Hei"/>
        <family val="2"/>
      </rPr>
      <t xml:space="preserve">表示が</t>
    </r>
    <r>
      <rPr>
        <sz val="10"/>
        <rFont val="Meiryo UI"/>
        <family val="0"/>
        <charset val="1"/>
      </rPr>
      <t xml:space="preserve">7</t>
    </r>
    <r>
      <rPr>
        <sz val="10"/>
        <rFont val="WenQuanYi Zen Hei"/>
        <family val="2"/>
      </rPr>
      <t xml:space="preserve">月</t>
    </r>
    <r>
      <rPr>
        <sz val="10"/>
        <rFont val="Meiryo UI"/>
        <family val="0"/>
        <charset val="1"/>
      </rPr>
      <t xml:space="preserve">324→10</t>
    </r>
    <r>
      <rPr>
        <sz val="10"/>
        <rFont val="WenQuanYi Zen Hei"/>
        <family val="2"/>
      </rPr>
      <t xml:space="preserve">月</t>
    </r>
    <r>
      <rPr>
        <sz val="10"/>
        <rFont val="Meiryo UI"/>
        <family val="0"/>
        <charset val="1"/>
      </rPr>
      <t xml:space="preserve">51</t>
    </r>
    <r>
      <rPr>
        <sz val="10"/>
        <rFont val="WenQuanYi Zen Hei"/>
        <family val="2"/>
      </rPr>
      <t xml:space="preserve">と減少（流入増と逆行）</t>
    </r>
  </si>
  <si>
    <t xml:space="preserve">期間はエクスポート時の設定</t>
  </si>
  <si>
    <t xml:space="preserve">合計</t>
  </si>
  <si>
    <r>
      <rPr>
        <sz val="10"/>
        <rFont val="WenQuanYi Zen Hei"/>
        <family val="2"/>
      </rPr>
      <t xml:space="preserve">検索流入（</t>
    </r>
    <r>
      <rPr>
        <sz val="10"/>
        <rFont val="Meiryo UI"/>
        <family val="0"/>
        <charset val="1"/>
      </rPr>
      <t xml:space="preserve">28</t>
    </r>
    <r>
      <rPr>
        <sz val="10"/>
        <rFont val="WenQuanYi Zen Hei"/>
        <family val="2"/>
      </rPr>
      <t xml:space="preserve">日・月換算）に対するアフィリエイトクリック率（</t>
    </r>
    <r>
      <rPr>
        <sz val="10"/>
        <rFont val="Meiryo UI"/>
        <family val="0"/>
        <charset val="1"/>
      </rPr>
      <t xml:space="preserve">VC</t>
    </r>
    <r>
      <rPr>
        <sz val="10"/>
        <rFont val="WenQuanYi Zen Hei"/>
        <family val="2"/>
      </rPr>
      <t xml:space="preserve">＋</t>
    </r>
    <r>
      <rPr>
        <sz val="10"/>
        <rFont val="Meiryo UI"/>
        <family val="0"/>
        <charset val="1"/>
      </rPr>
      <t xml:space="preserve">A8</t>
    </r>
    <r>
      <rPr>
        <sz val="10"/>
        <rFont val="WenQuanYi Zen Hei"/>
        <family val="2"/>
      </rPr>
      <t xml:space="preserve">の直近月）</t>
    </r>
  </si>
  <si>
    <t xml:space="preserve">仮説の検証結果</t>
  </si>
  <si>
    <t xml:space="preserve">仮説</t>
  </si>
  <si>
    <t xml:space="preserve">判定</t>
  </si>
  <si>
    <t xml:space="preserve">根拠</t>
  </si>
  <si>
    <t xml:space="preserve">カニバリで順位が低下している</t>
  </si>
  <si>
    <t xml:space="preserve">一部のみ正しい</t>
  </si>
  <si>
    <r>
      <rPr>
        <sz val="10"/>
        <rFont val="WenQuanYi Zen Hei"/>
        <family val="2"/>
      </rPr>
      <t xml:space="preserve">サイト全体の平均順位は</t>
    </r>
    <r>
      <rPr>
        <sz val="10"/>
        <rFont val="Meiryo UI"/>
        <family val="0"/>
        <charset val="1"/>
      </rPr>
      <t xml:space="preserve">8.9→7.1</t>
    </r>
    <r>
      <rPr>
        <sz val="10"/>
        <rFont val="WenQuanYi Zen Hei"/>
        <family val="2"/>
      </rPr>
      <t xml:space="preserve">に改善しており、全体の主因ではない。ただし転職会議・リクルートエージェント・</t>
    </r>
    <r>
      <rPr>
        <sz val="10"/>
        <rFont val="Meiryo UI"/>
        <family val="0"/>
        <charset val="1"/>
      </rPr>
      <t xml:space="preserve">AI</t>
    </r>
    <r>
      <rPr>
        <sz val="10"/>
        <rFont val="WenQuanYi Zen Hei"/>
        <family val="2"/>
      </rPr>
      <t xml:space="preserve">履歴書・書類選考・</t>
    </r>
    <r>
      <rPr>
        <sz val="10"/>
        <rFont val="Meiryo UI"/>
        <family val="0"/>
        <charset val="1"/>
      </rPr>
      <t xml:space="preserve">SIer</t>
    </r>
    <r>
      <rPr>
        <sz val="10"/>
        <rFont val="WenQuanYi Zen Hei"/>
        <family val="2"/>
      </rPr>
      <t xml:space="preserve">一覧・応募経路などのグループで評価の分散が強く疑われ、</t>
    </r>
    <r>
      <rPr>
        <sz val="10"/>
        <rFont val="Meiryo UI"/>
        <family val="0"/>
        <charset val="1"/>
      </rPr>
      <t xml:space="preserve">AI</t>
    </r>
    <r>
      <rPr>
        <sz val="10"/>
        <rFont val="WenQuanYi Zen Hei"/>
        <family val="2"/>
      </rPr>
      <t xml:space="preserve">履歴書記事は</t>
    </r>
    <r>
      <rPr>
        <sz val="10"/>
        <rFont val="Meiryo UI"/>
        <family val="0"/>
        <charset val="1"/>
      </rPr>
      <t xml:space="preserve">7.5→8.6</t>
    </r>
    <r>
      <rPr>
        <sz val="10"/>
        <rFont val="WenQuanYi Zen Hei"/>
        <family val="2"/>
      </rPr>
      <t xml:space="preserve">位に実際に低下。</t>
    </r>
  </si>
  <si>
    <t xml:space="preserve">アフィリエイト導線・配置が悪い</t>
  </si>
  <si>
    <t xml:space="preserve">正しい（配置以前の問題）</t>
  </si>
  <si>
    <r>
      <rPr>
        <sz val="10"/>
        <rFont val="WenQuanYi Zen Hei"/>
        <family val="2"/>
      </rPr>
      <t xml:space="preserve">検索流入 月約</t>
    </r>
    <r>
      <rPr>
        <sz val="10"/>
        <rFont val="Meiryo UI"/>
        <family val="0"/>
        <charset val="1"/>
      </rPr>
      <t xml:space="preserve">4,700</t>
    </r>
    <r>
      <rPr>
        <sz val="10"/>
        <rFont val="WenQuanYi Zen Hei"/>
        <family val="2"/>
      </rPr>
      <t xml:space="preserve">に対し、</t>
    </r>
    <r>
      <rPr>
        <sz val="10"/>
        <rFont val="Meiryo UI"/>
        <family val="0"/>
        <charset val="1"/>
      </rPr>
      <t xml:space="preserve">ASP</t>
    </r>
    <r>
      <rPr>
        <sz val="10"/>
        <rFont val="WenQuanYi Zen Hei"/>
        <family val="2"/>
      </rPr>
      <t xml:space="preserve">の表示は流入の</t>
    </r>
    <r>
      <rPr>
        <sz val="10"/>
        <rFont val="Meiryo UI"/>
        <family val="0"/>
        <charset val="1"/>
      </rPr>
      <t xml:space="preserve">1</t>
    </r>
    <r>
      <rPr>
        <sz val="10"/>
        <rFont val="WenQuanYi Zen Hei"/>
        <family val="2"/>
      </rPr>
      <t xml:space="preserve">〜</t>
    </r>
    <r>
      <rPr>
        <sz val="10"/>
        <rFont val="Meiryo UI"/>
        <family val="0"/>
        <charset val="1"/>
      </rPr>
      <t xml:space="preserve">2</t>
    </r>
    <r>
      <rPr>
        <sz val="10"/>
        <rFont val="WenQuanYi Zen Hei"/>
        <family val="2"/>
      </rPr>
      <t xml:space="preserve">割程度と推定。</t>
    </r>
    <r>
      <rPr>
        <sz val="10"/>
        <rFont val="Meiryo UI"/>
        <family val="0"/>
        <charset val="1"/>
      </rPr>
      <t xml:space="preserve">A8</t>
    </r>
    <r>
      <rPr>
        <sz val="10"/>
        <rFont val="WenQuanYi Zen Hei"/>
        <family val="2"/>
      </rPr>
      <t xml:space="preserve">の表示は流入が倍増したのに</t>
    </r>
    <r>
      <rPr>
        <sz val="10"/>
        <rFont val="Meiryo UI"/>
        <family val="0"/>
        <charset val="1"/>
      </rPr>
      <t xml:space="preserve">7</t>
    </r>
    <r>
      <rPr>
        <sz val="10"/>
        <rFont val="WenQuanYi Zen Hei"/>
        <family val="2"/>
      </rPr>
      <t xml:space="preserve">月</t>
    </r>
    <r>
      <rPr>
        <sz val="10"/>
        <rFont val="Meiryo UI"/>
        <family val="0"/>
        <charset val="1"/>
      </rPr>
      <t xml:space="preserve">324→10</t>
    </r>
    <r>
      <rPr>
        <sz val="10"/>
        <rFont val="WenQuanYi Zen Hei"/>
        <family val="2"/>
      </rPr>
      <t xml:space="preserve">月</t>
    </r>
    <r>
      <rPr>
        <sz val="10"/>
        <rFont val="Meiryo UI"/>
        <family val="0"/>
        <charset val="1"/>
      </rPr>
      <t xml:space="preserve">51</t>
    </r>
    <r>
      <rPr>
        <sz val="10"/>
        <rFont val="WenQuanYi Zen Hei"/>
        <family val="2"/>
      </rPr>
      <t xml:space="preserve">へ減少。主要記事にそもそも導線がない可能性が高い。</t>
    </r>
  </si>
  <si>
    <r>
      <rPr>
        <sz val="10"/>
        <rFont val="Meiryo UI"/>
        <family val="0"/>
        <charset val="1"/>
      </rPr>
      <t xml:space="preserve">CTR</t>
    </r>
    <r>
      <rPr>
        <sz val="10"/>
        <rFont val="WenQuanYi Zen Hei"/>
        <family val="2"/>
      </rPr>
      <t xml:space="preserve">をさらに伸ばす必要がある</t>
    </r>
  </si>
  <si>
    <t xml:space="preserve">記事によって正しい</t>
  </si>
  <si>
    <r>
      <rPr>
        <sz val="10"/>
        <rFont val="Meiryo UI"/>
        <family val="0"/>
        <charset val="1"/>
      </rPr>
      <t xml:space="preserve">OpenWork</t>
    </r>
    <r>
      <rPr>
        <sz val="10"/>
        <rFont val="WenQuanYi Zen Hei"/>
        <family val="2"/>
      </rPr>
      <t xml:space="preserve">グラフ記事（</t>
    </r>
    <r>
      <rPr>
        <sz val="10"/>
        <rFont val="Meiryo UI"/>
        <family val="0"/>
        <charset val="1"/>
      </rPr>
      <t xml:space="preserve">18.6%</t>
    </r>
    <r>
      <rPr>
        <sz val="10"/>
        <rFont val="WenQuanYi Zen Hei"/>
        <family val="2"/>
      </rPr>
      <t xml:space="preserve">）や富士通記事（</t>
    </r>
    <r>
      <rPr>
        <sz val="10"/>
        <rFont val="Meiryo UI"/>
        <family val="0"/>
        <charset val="1"/>
      </rPr>
      <t xml:space="preserve">7.2%</t>
    </r>
    <r>
      <rPr>
        <sz val="10"/>
        <rFont val="WenQuanYi Zen Hei"/>
        <family val="2"/>
      </rPr>
      <t xml:space="preserve">）は十分高い。転職会議系（</t>
    </r>
    <r>
      <rPr>
        <sz val="10"/>
        <rFont val="Meiryo UI"/>
        <family val="0"/>
        <charset val="1"/>
      </rPr>
      <t xml:space="preserve">1.0</t>
    </r>
    <r>
      <rPr>
        <sz val="10"/>
        <rFont val="WenQuanYi Zen Hei"/>
        <family val="2"/>
      </rPr>
      <t xml:space="preserve">〜</t>
    </r>
    <r>
      <rPr>
        <sz val="10"/>
        <rFont val="Meiryo UI"/>
        <family val="0"/>
        <charset val="1"/>
      </rPr>
      <t xml:space="preserve">1.9%</t>
    </r>
    <r>
      <rPr>
        <sz val="10"/>
        <rFont val="WenQuanYi Zen Hei"/>
        <family val="2"/>
      </rPr>
      <t xml:space="preserve">）、</t>
    </r>
    <r>
      <rPr>
        <sz val="10"/>
        <rFont val="Meiryo UI"/>
        <family val="0"/>
        <charset val="1"/>
      </rPr>
      <t xml:space="preserve">IPA</t>
    </r>
    <r>
      <rPr>
        <sz val="10"/>
        <rFont val="WenQuanYi Zen Hei"/>
        <family val="2"/>
      </rPr>
      <t xml:space="preserve">改編（</t>
    </r>
    <r>
      <rPr>
        <sz val="10"/>
        <rFont val="Meiryo UI"/>
        <family val="0"/>
        <charset val="1"/>
      </rPr>
      <t xml:space="preserve">2.5%</t>
    </r>
    <r>
      <rPr>
        <sz val="10"/>
        <rFont val="WenQuanYi Zen Hei"/>
        <family val="2"/>
      </rPr>
      <t xml:space="preserve">）、</t>
    </r>
    <r>
      <rPr>
        <sz val="10"/>
        <rFont val="Meiryo UI"/>
        <family val="0"/>
        <charset val="1"/>
      </rPr>
      <t xml:space="preserve">AI</t>
    </r>
    <r>
      <rPr>
        <sz val="10"/>
        <rFont val="WenQuanYi Zen Hei"/>
        <family val="2"/>
      </rPr>
      <t xml:space="preserve">履歴書（</t>
    </r>
    <r>
      <rPr>
        <sz val="10"/>
        <rFont val="Meiryo UI"/>
        <family val="0"/>
        <charset val="1"/>
      </rPr>
      <t xml:space="preserve">0.7%</t>
    </r>
    <r>
      <rPr>
        <sz val="10"/>
        <rFont val="WenQuanYi Zen Hei"/>
        <family val="2"/>
      </rPr>
      <t xml:space="preserve">）、アットホーム（</t>
    </r>
    <r>
      <rPr>
        <sz val="10"/>
        <rFont val="Meiryo UI"/>
        <family val="0"/>
        <charset val="1"/>
      </rPr>
      <t xml:space="preserve">1.0%</t>
    </r>
    <r>
      <rPr>
        <sz val="10"/>
        <rFont val="WenQuanYi Zen Hei"/>
        <family val="2"/>
      </rPr>
      <t xml:space="preserve">）、「社名変更 やばい」（</t>
    </r>
    <r>
      <rPr>
        <sz val="10"/>
        <rFont val="Meiryo UI"/>
        <family val="0"/>
        <charset val="1"/>
      </rPr>
      <t xml:space="preserve">2</t>
    </r>
    <r>
      <rPr>
        <sz val="10"/>
        <rFont val="WenQuanYi Zen Hei"/>
        <family val="2"/>
      </rPr>
      <t xml:space="preserve">位で</t>
    </r>
    <r>
      <rPr>
        <sz val="10"/>
        <rFont val="Meiryo UI"/>
        <family val="0"/>
        <charset val="1"/>
      </rPr>
      <t xml:space="preserve">CTR2%</t>
    </r>
    <r>
      <rPr>
        <sz val="10"/>
        <rFont val="WenQuanYi Zen Hei"/>
        <family val="2"/>
      </rPr>
      <t xml:space="preserve">）は明確に低い。</t>
    </r>
  </si>
  <si>
    <r>
      <rPr>
        <b val="true"/>
        <sz val="12"/>
        <color rgb="FF1F3864"/>
        <rFont val="WenQuanYi Zen Hei"/>
        <family val="2"/>
      </rPr>
      <t xml:space="preserve">最優先の対応（今週〜</t>
    </r>
    <r>
      <rPr>
        <b val="true"/>
        <sz val="12"/>
        <color rgb="FF1F3864"/>
        <rFont val="Meiryo UI"/>
        <family val="0"/>
        <charset val="1"/>
      </rPr>
      <t xml:space="preserve">2</t>
    </r>
    <r>
      <rPr>
        <b val="true"/>
        <sz val="12"/>
        <color rgb="FF1F3864"/>
        <rFont val="WenQuanYi Zen Hei"/>
        <family val="2"/>
      </rPr>
      <t xml:space="preserve">週間）</t>
    </r>
  </si>
  <si>
    <t xml:space="preserve">No</t>
  </si>
  <si>
    <t xml:space="preserve">対応</t>
  </si>
  <si>
    <t xml:space="preserve">1</t>
  </si>
  <si>
    <t xml:space="preserve">無関係な広告の撤去</t>
  </si>
  <si>
    <r>
      <rPr>
        <sz val="10"/>
        <rFont val="WenQuanYi Zen Hei"/>
        <family val="2"/>
      </rPr>
      <t xml:space="preserve">バリューコマースのじゃらん</t>
    </r>
    <r>
      <rPr>
        <sz val="10"/>
        <rFont val="Meiryo UI"/>
        <family val="0"/>
        <charset val="1"/>
      </rPr>
      <t xml:space="preserve">net</t>
    </r>
    <r>
      <rPr>
        <sz val="10"/>
        <rFont val="WenQuanYi Zen Hei"/>
        <family val="2"/>
      </rPr>
      <t xml:space="preserve">・一休</t>
    </r>
    <r>
      <rPr>
        <sz val="10"/>
        <rFont val="Meiryo UI"/>
        <family val="0"/>
        <charset val="1"/>
      </rPr>
      <t xml:space="preserve">.com</t>
    </r>
    <r>
      <rPr>
        <sz val="10"/>
        <rFont val="WenQuanYi Zen Hei"/>
        <family val="2"/>
      </rPr>
      <t xml:space="preserve">の表示元（自動広告・ウィジェット等）を特定して撤去</t>
    </r>
  </si>
  <si>
    <t xml:space="preserve">2</t>
  </si>
  <si>
    <r>
      <rPr>
        <sz val="10"/>
        <rFont val="WenQuanYi Zen Hei"/>
        <family val="2"/>
      </rPr>
      <t xml:space="preserve">壊れた</t>
    </r>
    <r>
      <rPr>
        <sz val="10"/>
        <rFont val="Meiryo UI"/>
        <family val="0"/>
        <charset val="1"/>
      </rPr>
      <t xml:space="preserve">URL</t>
    </r>
    <r>
      <rPr>
        <sz val="10"/>
        <rFont val="WenQuanYi Zen Hei"/>
        <family val="2"/>
      </rPr>
      <t xml:space="preserve">の修正</t>
    </r>
  </si>
  <si>
    <r>
      <rPr>
        <sz val="10"/>
        <rFont val="WenQuanYi Zen Hei"/>
        <family val="2"/>
      </rPr>
      <t xml:space="preserve">「</t>
    </r>
    <r>
      <rPr>
        <sz val="10"/>
        <rFont val="Meiryo UI"/>
        <family val="0"/>
        <charset val="1"/>
      </rPr>
      <t xml:space="preserve">URL</t>
    </r>
    <r>
      <rPr>
        <sz val="10"/>
        <rFont val="WenQuanYi Zen Hei"/>
        <family val="2"/>
      </rPr>
      <t xml:space="preserve">・技術課題」シートの手順で、</t>
    </r>
    <r>
      <rPr>
        <sz val="10"/>
        <rFont val="Meiryo UI"/>
        <family val="0"/>
        <charset val="1"/>
      </rPr>
      <t xml:space="preserve">https</t>
    </r>
    <r>
      <rPr>
        <sz val="10"/>
        <rFont val="WenQuanYi Zen Hei"/>
        <family val="2"/>
      </rPr>
      <t xml:space="preserve">抜けリンク・末尾「</t>
    </r>
    <r>
      <rPr>
        <sz val="10"/>
        <rFont val="Meiryo UI"/>
        <family val="0"/>
        <charset val="1"/>
      </rPr>
      <t xml:space="preserve">]</t>
    </r>
    <r>
      <rPr>
        <sz val="10"/>
        <rFont val="WenQuanYi Zen Hei"/>
        <family val="2"/>
      </rPr>
      <t xml:space="preserve">」・</t>
    </r>
    <r>
      <rPr>
        <sz val="10"/>
        <rFont val="Meiryo UI"/>
        <family val="0"/>
        <charset val="1"/>
      </rPr>
      <t xml:space="preserve">www</t>
    </r>
    <r>
      <rPr>
        <sz val="10"/>
        <rFont val="WenQuanYi Zen Hei"/>
        <family val="2"/>
      </rPr>
      <t xml:space="preserve">付きを修正</t>
    </r>
  </si>
  <si>
    <t xml:space="preserve">3</t>
  </si>
  <si>
    <r>
      <rPr>
        <sz val="10"/>
        <rFont val="Meiryo UI"/>
        <family val="0"/>
        <charset val="1"/>
      </rPr>
      <t xml:space="preserve">A8</t>
    </r>
    <r>
      <rPr>
        <sz val="10"/>
        <rFont val="WenQuanYi Zen Hei"/>
        <family val="2"/>
      </rPr>
      <t xml:space="preserve">広告の棚卸し</t>
    </r>
  </si>
  <si>
    <t xml:space="preserve">流入増に反して表示が減っている原因（バナーの削除・設置記事の偏り）を確認</t>
  </si>
  <si>
    <t xml:space="preserve">4</t>
  </si>
  <si>
    <r>
      <rPr>
        <sz val="10"/>
        <rFont val="WenQuanYi Zen Hei"/>
        <family val="2"/>
      </rPr>
      <t xml:space="preserve">重点記事（優先</t>
    </r>
    <r>
      <rPr>
        <sz val="10"/>
        <rFont val="Meiryo UI"/>
        <family val="0"/>
        <charset val="1"/>
      </rPr>
      <t xml:space="preserve">1</t>
    </r>
    <r>
      <rPr>
        <sz val="10"/>
        <rFont val="WenQuanYi Zen Hei"/>
        <family val="2"/>
      </rPr>
      <t xml:space="preserve">）</t>
    </r>
  </si>
  <si>
    <r>
      <rPr>
        <sz val="10"/>
        <rFont val="Meiryo UI"/>
        <family val="0"/>
        <charset val="1"/>
      </rPr>
      <t xml:space="preserve">/tenshokukaigi-kuchikomi-mikata-tsukaikata/</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</si>
  <si>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5</t>
  </si>
  <si>
    <r>
      <rPr>
        <sz val="10"/>
        <rFont val="WenQuanYi Zen Hei"/>
        <family val="2"/>
      </rPr>
      <t xml:space="preserve">重点記事（優先</t>
    </r>
    <r>
      <rPr>
        <sz val="10"/>
        <rFont val="Meiryo UI"/>
        <family val="0"/>
        <charset val="1"/>
      </rPr>
      <t xml:space="preserve">2</t>
    </r>
    <r>
      <rPr>
        <sz val="10"/>
        <rFont val="WenQuanYi Zen Hei"/>
        <family val="2"/>
      </rPr>
      <t xml:space="preserve">）</t>
    </r>
  </si>
  <si>
    <r>
      <rPr>
        <sz val="10"/>
        <rFont val="Meiryo UI"/>
        <family val="0"/>
        <charset val="1"/>
      </rPr>
      <t xml:space="preserve">/openwork-tsukaikata/</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</si>
  <si>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6</t>
  </si>
  <si>
    <r>
      <rPr>
        <sz val="10"/>
        <rFont val="WenQuanYi Zen Hei"/>
        <family val="2"/>
      </rPr>
      <t xml:space="preserve">重点記事（優先</t>
    </r>
    <r>
      <rPr>
        <sz val="10"/>
        <rFont val="Meiryo UI"/>
        <family val="0"/>
        <charset val="1"/>
      </rPr>
      <t xml:space="preserve">3</t>
    </r>
    <r>
      <rPr>
        <sz val="10"/>
        <rFont val="WenQuanYi Zen Hei"/>
        <family val="2"/>
      </rPr>
      <t xml:space="preserve">）</t>
    </r>
  </si>
  <si>
    <r>
      <rPr>
        <sz val="10"/>
        <rFont val="Meiryo UI"/>
        <family val="0"/>
        <charset val="1"/>
      </rPr>
      <t xml:space="preserve">/openwork-graph-mikata/</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</si>
  <si>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7</t>
  </si>
  <si>
    <r>
      <rPr>
        <sz val="10"/>
        <rFont val="WenQuanYi Zen Hei"/>
        <family val="2"/>
      </rPr>
      <t xml:space="preserve">重点記事（優先</t>
    </r>
    <r>
      <rPr>
        <sz val="10"/>
        <rFont val="Meiryo UI"/>
        <family val="0"/>
        <charset val="1"/>
      </rPr>
      <t xml:space="preserve">4</t>
    </r>
    <r>
      <rPr>
        <sz val="10"/>
        <rFont val="WenQuanYi Zen Hei"/>
        <family val="2"/>
      </rPr>
      <t xml:space="preserve">）</t>
    </r>
  </si>
  <si>
    <r>
      <rPr>
        <sz val="10"/>
        <rFont val="Meiryo UI"/>
        <family val="0"/>
        <charset val="1"/>
      </rPr>
      <t xml:space="preserve">/fujitsu-nenshu-hyouka-jinji-me/</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</si>
  <si>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8</t>
  </si>
  <si>
    <r>
      <rPr>
        <sz val="10"/>
        <rFont val="WenQuanYi Zen Hei"/>
        <family val="2"/>
      </rPr>
      <t xml:space="preserve">重点記事（優先</t>
    </r>
    <r>
      <rPr>
        <sz val="10"/>
        <rFont val="Meiryo UI"/>
        <family val="0"/>
        <charset val="1"/>
      </rPr>
      <t xml:space="preserve">5</t>
    </r>
    <r>
      <rPr>
        <sz val="10"/>
        <rFont val="WenQuanYi Zen Hei"/>
        <family val="2"/>
      </rPr>
      <t xml:space="preserve">）</t>
    </r>
  </si>
  <si>
    <r>
      <rPr>
        <sz val="10"/>
        <rFont val="Meiryo UI"/>
        <family val="0"/>
        <charset val="1"/>
      </rPr>
      <t xml:space="preserve">/recruit-agent-hyoban/</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</si>
  <si>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9</t>
  </si>
  <si>
    <r>
      <rPr>
        <sz val="10"/>
        <rFont val="WenQuanYi Zen Hei"/>
        <family val="2"/>
      </rPr>
      <t xml:space="preserve">重点記事（優先</t>
    </r>
    <r>
      <rPr>
        <sz val="10"/>
        <rFont val="Meiryo UI"/>
        <family val="0"/>
        <charset val="1"/>
      </rPr>
      <t xml:space="preserve">6</t>
    </r>
    <r>
      <rPr>
        <sz val="10"/>
        <rFont val="WenQuanYi Zen Hei"/>
        <family val="2"/>
      </rPr>
      <t xml:space="preserve">）</t>
    </r>
  </si>
  <si>
    <r>
      <rPr>
        <sz val="10"/>
        <rFont val="Meiryo UI"/>
        <family val="0"/>
        <charset val="1"/>
      </rPr>
      <t xml:space="preserve">/ipa-exam-reform-2027/</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</si>
  <si>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10</t>
  </si>
  <si>
    <r>
      <rPr>
        <sz val="10"/>
        <rFont val="WenQuanYi Zen Hei"/>
        <family val="2"/>
      </rPr>
      <t xml:space="preserve">重点記事（優先</t>
    </r>
    <r>
      <rPr>
        <sz val="10"/>
        <rFont val="Meiryo UI"/>
        <family val="0"/>
        <charset val="1"/>
      </rPr>
      <t xml:space="preserve">7</t>
    </r>
    <r>
      <rPr>
        <sz val="10"/>
        <rFont val="WenQuanYi Zen Hei"/>
        <family val="2"/>
      </rPr>
      <t xml:space="preserve">）</t>
    </r>
  </si>
  <si>
    <r>
      <rPr>
        <sz val="10"/>
        <rFont val="Meiryo UI"/>
        <family val="0"/>
        <charset val="1"/>
      </rPr>
      <t xml:space="preserve">/rirekisho-ai-bareru/</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</si>
  <si>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11</t>
  </si>
  <si>
    <r>
      <rPr>
        <sz val="10"/>
        <rFont val="WenQuanYi Zen Hei"/>
        <family val="2"/>
      </rPr>
      <t xml:space="preserve">重点記事（優先</t>
    </r>
    <r>
      <rPr>
        <sz val="10"/>
        <rFont val="Meiryo UI"/>
        <family val="0"/>
        <charset val="1"/>
      </rPr>
      <t xml:space="preserve">8</t>
    </r>
    <r>
      <rPr>
        <sz val="10"/>
        <rFont val="WenQuanYi Zen Hei"/>
        <family val="2"/>
      </rPr>
      <t xml:space="preserve">）</t>
    </r>
  </si>
  <si>
    <r>
      <rPr>
        <sz val="10"/>
        <rFont val="Meiryo UI"/>
        <family val="0"/>
        <charset val="1"/>
      </rPr>
      <t xml:space="preserve">/instant-offer-one-interview-black-company-warning/</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</si>
  <si>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12</t>
  </si>
  <si>
    <r>
      <rPr>
        <sz val="10"/>
        <rFont val="WenQuanYi Zen Hei"/>
        <family val="2"/>
      </rPr>
      <t xml:space="preserve">重点記事（優先</t>
    </r>
    <r>
      <rPr>
        <sz val="10"/>
        <rFont val="Meiryo UI"/>
        <family val="0"/>
        <charset val="1"/>
      </rPr>
      <t xml:space="preserve">9</t>
    </r>
    <r>
      <rPr>
        <sz val="10"/>
        <rFont val="WenQuanYi Zen Hei"/>
        <family val="2"/>
      </rPr>
      <t xml:space="preserve">）</t>
    </r>
  </si>
  <si>
    <r>
      <rPr>
        <sz val="10"/>
        <rFont val="Meiryo UI"/>
        <family val="0"/>
        <charset val="1"/>
      </rPr>
      <t xml:space="preserve">/it-tensyoku-agent-osusume/</t>
    </r>
    <r>
      <rPr>
        <sz val="10"/>
        <rFont val="WenQuanYi Zen Hei"/>
        <family val="2"/>
      </rPr>
      <t xml:space="preserve">：導線の設置 → </t>
    </r>
    <r>
      <rPr>
        <sz val="10"/>
        <rFont val="Meiryo UI"/>
        <family val="0"/>
        <charset val="1"/>
      </rPr>
      <t xml:space="preserve">2</t>
    </r>
    <r>
      <rPr>
        <sz val="10"/>
        <rFont val="WenQuanYi Zen Hei"/>
        <family val="2"/>
      </rPr>
      <t xml:space="preserve">週間後にタイトル変更（詳細は「重点</t>
    </r>
    <r>
      <rPr>
        <sz val="10"/>
        <rFont val="Meiryo UI"/>
        <family val="0"/>
        <charset val="1"/>
      </rPr>
      <t xml:space="preserve">9</t>
    </r>
    <r>
      <rPr>
        <sz val="10"/>
        <rFont val="WenQuanYi Zen Hei"/>
        <family val="2"/>
      </rPr>
      <t xml:space="preserve">記事</t>
    </r>
    <r>
      <rPr>
        <sz val="10"/>
        <rFont val="Meiryo UI"/>
        <family val="0"/>
        <charset val="1"/>
      </rPr>
      <t xml:space="preserve">_</t>
    </r>
    <r>
      <rPr>
        <sz val="10"/>
        <rFont val="WenQuanYi Zen Hei"/>
        <family val="2"/>
      </rPr>
      <t xml:space="preserve">詳細」）</t>
    </r>
  </si>
  <si>
    <t xml:space="preserve">現状のブログの良い点・悪い点</t>
  </si>
  <si>
    <t xml:space="preserve">根拠データと、それぞれの活かし方・対策</t>
  </si>
  <si>
    <t xml:space="preserve">区分</t>
  </si>
  <si>
    <t xml:space="preserve">分類</t>
  </si>
  <si>
    <t xml:space="preserve">根拠データ</t>
  </si>
  <si>
    <t xml:space="preserve">活かし方・対策</t>
  </si>
  <si>
    <t xml:space="preserve">良い点</t>
  </si>
  <si>
    <t xml:space="preserve">SEO</t>
  </si>
  <si>
    <t xml:space="preserve">検索流入が急成長している</t>
  </si>
  <si>
    <r>
      <rPr>
        <sz val="10"/>
        <rFont val="WenQuanYi Zen Hei"/>
        <family val="2"/>
      </rPr>
      <t xml:space="preserve">クリック</t>
    </r>
    <r>
      <rPr>
        <sz val="10"/>
        <rFont val="Meiryo UI"/>
        <family val="0"/>
        <charset val="1"/>
      </rPr>
      <t xml:space="preserve">/</t>
    </r>
    <r>
      <rPr>
        <sz val="10"/>
        <rFont val="WenQuanYi Zen Hei"/>
        <family val="2"/>
      </rPr>
      <t xml:space="preserve">日：</t>
    </r>
    <r>
      <rPr>
        <sz val="10"/>
        <rFont val="Meiryo UI"/>
        <family val="0"/>
        <charset val="1"/>
      </rPr>
      <t xml:space="preserve">3</t>
    </r>
    <r>
      <rPr>
        <sz val="10"/>
        <rFont val="WenQuanYi Zen Hei"/>
        <family val="2"/>
      </rPr>
      <t xml:space="preserve">か月平均</t>
    </r>
    <r>
      <rPr>
        <sz val="10"/>
        <rFont val="Meiryo UI"/>
        <family val="0"/>
        <charset val="1"/>
      </rPr>
      <t xml:space="preserve">119 → </t>
    </r>
    <r>
      <rPr>
        <sz val="10"/>
        <rFont val="WenQuanYi Zen Hei"/>
        <family val="2"/>
      </rPr>
      <t xml:space="preserve">直近</t>
    </r>
    <r>
      <rPr>
        <sz val="10"/>
        <rFont val="Meiryo UI"/>
        <family val="0"/>
        <charset val="1"/>
      </rPr>
      <t xml:space="preserve">28</t>
    </r>
    <r>
      <rPr>
        <sz val="10"/>
        <rFont val="WenQuanYi Zen Hei"/>
        <family val="2"/>
      </rPr>
      <t xml:space="preserve">日</t>
    </r>
    <r>
      <rPr>
        <sz val="10"/>
        <rFont val="Meiryo UI"/>
        <family val="0"/>
        <charset val="1"/>
      </rPr>
      <t xml:space="preserve">157 → </t>
    </r>
    <r>
      <rPr>
        <sz val="10"/>
        <rFont val="WenQuanYi Zen Hei"/>
        <family val="2"/>
      </rPr>
      <t xml:space="preserve">直近</t>
    </r>
    <r>
      <rPr>
        <sz val="10"/>
        <rFont val="Meiryo UI"/>
        <family val="0"/>
        <charset val="1"/>
      </rPr>
      <t xml:space="preserve">7</t>
    </r>
    <r>
      <rPr>
        <sz val="10"/>
        <rFont val="WenQuanYi Zen Hei"/>
        <family val="2"/>
      </rPr>
      <t xml:space="preserve">日</t>
    </r>
    <r>
      <rPr>
        <sz val="10"/>
        <rFont val="Meiryo UI"/>
        <family val="0"/>
        <charset val="1"/>
      </rPr>
      <t xml:space="preserve">202</t>
    </r>
    <r>
      <rPr>
        <sz val="10"/>
        <rFont val="WenQuanYi Zen Hei"/>
        <family val="2"/>
      </rPr>
      <t xml:space="preserve">。週次で約</t>
    </r>
    <r>
      <rPr>
        <sz val="10"/>
        <rFont val="Meiryo UI"/>
        <family val="0"/>
        <charset val="1"/>
      </rPr>
      <t xml:space="preserve">650→1,364</t>
    </r>
    <r>
      <rPr>
        <sz val="10"/>
        <rFont val="WenQuanYi Zen Hei"/>
        <family val="2"/>
      </rPr>
      <t xml:space="preserve">クリックに倍増</t>
    </r>
  </si>
  <si>
    <t xml:space="preserve">伸びている今のうちに導線を整えれば、収益化の機会がそのまま増える</t>
  </si>
  <si>
    <t xml:space="preserve">平均掲載順位が改善している</t>
  </si>
  <si>
    <r>
      <rPr>
        <sz val="10"/>
        <rFont val="WenQuanYi Zen Hei"/>
        <family val="2"/>
      </rPr>
      <t xml:space="preserve">サイト全体の平均順位 </t>
    </r>
    <r>
      <rPr>
        <sz val="10"/>
        <rFont val="Meiryo UI"/>
        <family val="0"/>
        <charset val="1"/>
      </rPr>
      <t xml:space="preserve">8.9</t>
    </r>
    <r>
      <rPr>
        <sz val="10"/>
        <rFont val="WenQuanYi Zen Hei"/>
        <family val="2"/>
      </rPr>
      <t xml:space="preserve">位（</t>
    </r>
    <r>
      <rPr>
        <sz val="10"/>
        <rFont val="Meiryo UI"/>
        <family val="0"/>
        <charset val="1"/>
      </rPr>
      <t xml:space="preserve">7</t>
    </r>
    <r>
      <rPr>
        <sz val="10"/>
        <rFont val="WenQuanYi Zen Hei"/>
        <family val="2"/>
      </rPr>
      <t xml:space="preserve">月上旬）→ </t>
    </r>
    <r>
      <rPr>
        <sz val="10"/>
        <rFont val="Meiryo UI"/>
        <family val="0"/>
        <charset val="1"/>
      </rPr>
      <t xml:space="preserve">7.1</t>
    </r>
    <r>
      <rPr>
        <sz val="10"/>
        <rFont val="WenQuanYi Zen Hei"/>
        <family val="2"/>
      </rPr>
      <t xml:space="preserve">位（直近</t>
    </r>
    <r>
      <rPr>
        <sz val="10"/>
        <rFont val="Meiryo UI"/>
        <family val="0"/>
        <charset val="1"/>
      </rPr>
      <t xml:space="preserve">7</t>
    </r>
    <r>
      <rPr>
        <sz val="10"/>
        <rFont val="WenQuanYi Zen Hei"/>
        <family val="2"/>
      </rPr>
      <t xml:space="preserve">日）</t>
    </r>
  </si>
  <si>
    <t xml:space="preserve">カニバリで全体の順位が落ちているわけではない。局所的な整理で十分</t>
  </si>
  <si>
    <t xml:space="preserve">コンテンツ</t>
  </si>
  <si>
    <r>
      <rPr>
        <sz val="10"/>
        <rFont val="WenQuanYi Zen Hei"/>
        <family val="2"/>
      </rPr>
      <t xml:space="preserve">「現役</t>
    </r>
    <r>
      <rPr>
        <sz val="10"/>
        <rFont val="Meiryo UI"/>
        <family val="0"/>
        <charset val="1"/>
      </rPr>
      <t xml:space="preserve">IT</t>
    </r>
    <r>
      <rPr>
        <sz val="10"/>
        <rFont val="WenQuanYi Zen Hei"/>
        <family val="2"/>
      </rPr>
      <t xml:space="preserve">人事」という一次情報の切り口が強い</t>
    </r>
  </si>
  <si>
    <r>
      <rPr>
        <sz val="10"/>
        <rFont val="Meiryo UI"/>
        <family val="0"/>
        <charset val="1"/>
      </rPr>
      <t xml:space="preserve">OpenWork</t>
    </r>
    <r>
      <rPr>
        <sz val="10"/>
        <rFont val="WenQuanYi Zen Hei"/>
        <family val="2"/>
      </rPr>
      <t xml:space="preserve">グラフ記事 </t>
    </r>
    <r>
      <rPr>
        <sz val="10"/>
        <rFont val="Meiryo UI"/>
        <family val="0"/>
        <charset val="1"/>
      </rPr>
      <t xml:space="preserve">CTR18.6%</t>
    </r>
    <r>
      <rPr>
        <sz val="10"/>
        <rFont val="WenQuanYi Zen Hei"/>
        <family val="2"/>
      </rPr>
      <t xml:space="preserve">、</t>
    </r>
    <r>
      <rPr>
        <sz val="10"/>
        <rFont val="Meiryo UI"/>
        <family val="0"/>
        <charset val="1"/>
      </rPr>
      <t xml:space="preserve">IT</t>
    </r>
    <r>
      <rPr>
        <sz val="10"/>
        <rFont val="WenQuanYi Zen Hei"/>
        <family val="2"/>
      </rPr>
      <t xml:space="preserve">ストラテジスト廃止 </t>
    </r>
    <r>
      <rPr>
        <sz val="10"/>
        <rFont val="Meiryo UI"/>
        <family val="0"/>
        <charset val="1"/>
      </rPr>
      <t xml:space="preserve">CTR19%</t>
    </r>
    <r>
      <rPr>
        <sz val="10"/>
        <rFont val="WenQuanYi Zen Hei"/>
        <family val="2"/>
      </rPr>
      <t xml:space="preserve">、</t>
    </r>
    <r>
      <rPr>
        <sz val="10"/>
        <rFont val="Meiryo UI"/>
        <family val="0"/>
        <charset val="1"/>
      </rPr>
      <t xml:space="preserve">DB</t>
    </r>
    <r>
      <rPr>
        <sz val="10"/>
        <rFont val="WenQuanYi Zen Hei"/>
        <family val="2"/>
      </rPr>
      <t xml:space="preserve">スペシャリスト廃止 </t>
    </r>
    <r>
      <rPr>
        <sz val="10"/>
        <rFont val="Meiryo UI"/>
        <family val="0"/>
        <charset val="1"/>
      </rPr>
      <t xml:space="preserve">CTR16%</t>
    </r>
    <r>
      <rPr>
        <sz val="10"/>
        <rFont val="WenQuanYi Zen Hei"/>
        <family val="2"/>
      </rPr>
      <t xml:space="preserve">、リクルートエージェント評判 </t>
    </r>
    <r>
      <rPr>
        <sz val="10"/>
        <rFont val="Meiryo UI"/>
        <family val="0"/>
        <charset val="1"/>
      </rPr>
      <t xml:space="preserve">CTR9.9%</t>
    </r>
  </si>
  <si>
    <t xml:space="preserve">「企業側から見た〜」をタイトル・導線の両方で打ち出す。これが他サイトに真似できない差別化</t>
  </si>
  <si>
    <t xml:space="preserve">勝ちパターンの型がある（試験名＋なくなる、口コミサイト＋見方）</t>
  </si>
  <si>
    <r>
      <rPr>
        <sz val="10"/>
        <rFont val="Meiryo UI"/>
        <family val="0"/>
        <charset val="1"/>
      </rPr>
      <t xml:space="preserve">*-haishi</t>
    </r>
    <r>
      <rPr>
        <sz val="10"/>
        <rFont val="WenQuanYi Zen Hei"/>
        <family val="2"/>
      </rPr>
      <t xml:space="preserve">シリーズの主要クエリは</t>
    </r>
    <r>
      <rPr>
        <sz val="10"/>
        <rFont val="Meiryo UI"/>
        <family val="0"/>
        <charset val="1"/>
      </rPr>
      <t xml:space="preserve">1</t>
    </r>
    <r>
      <rPr>
        <sz val="10"/>
        <rFont val="WenQuanYi Zen Hei"/>
        <family val="2"/>
      </rPr>
      <t xml:space="preserve">〜</t>
    </r>
    <r>
      <rPr>
        <sz val="10"/>
        <rFont val="Meiryo UI"/>
        <family val="0"/>
        <charset val="1"/>
      </rPr>
      <t xml:space="preserve">7</t>
    </r>
    <r>
      <rPr>
        <sz val="10"/>
        <rFont val="WenQuanYi Zen Hei"/>
        <family val="2"/>
      </rPr>
      <t xml:space="preserve">位、</t>
    </r>
    <r>
      <rPr>
        <sz val="10"/>
        <rFont val="Meiryo UI"/>
        <family val="0"/>
        <charset val="1"/>
      </rPr>
      <t xml:space="preserve">OpenWork</t>
    </r>
    <r>
      <rPr>
        <sz val="10"/>
        <rFont val="WenQuanYi Zen Hei"/>
        <family val="2"/>
      </rPr>
      <t xml:space="preserve">「形」「見方」で</t>
    </r>
    <r>
      <rPr>
        <sz val="10"/>
        <rFont val="Meiryo UI"/>
        <family val="0"/>
        <charset val="1"/>
      </rPr>
      <t xml:space="preserve">1</t>
    </r>
    <r>
      <rPr>
        <sz val="10"/>
        <rFont val="WenQuanYi Zen Hei"/>
        <family val="2"/>
      </rPr>
      <t xml:space="preserve">〜</t>
    </r>
    <r>
      <rPr>
        <sz val="10"/>
        <rFont val="Meiryo UI"/>
        <family val="0"/>
        <charset val="1"/>
      </rPr>
      <t xml:space="preserve">2</t>
    </r>
    <r>
      <rPr>
        <sz val="10"/>
        <rFont val="WenQuanYi Zen Hei"/>
        <family val="2"/>
      </rPr>
      <t xml:space="preserve">位</t>
    </r>
  </si>
  <si>
    <t xml:space="preserve">同じ型を応用情報（新規）・転職会議・他社企業研究に横展開</t>
  </si>
  <si>
    <t xml:space="preserve">時事・需要の波を捉えている</t>
  </si>
  <si>
    <r>
      <rPr>
        <sz val="10"/>
        <rFont val="Meiryo UI"/>
        <family val="0"/>
        <charset val="1"/>
      </rPr>
      <t xml:space="preserve">IPA</t>
    </r>
    <r>
      <rPr>
        <sz val="10"/>
        <rFont val="WenQuanYi Zen Hei"/>
        <family val="2"/>
      </rPr>
      <t xml:space="preserve">改編</t>
    </r>
    <r>
      <rPr>
        <sz val="10"/>
        <rFont val="Meiryo UI"/>
        <family val="0"/>
        <charset val="1"/>
      </rPr>
      <t xml:space="preserve">2027</t>
    </r>
    <r>
      <rPr>
        <sz val="10"/>
        <rFont val="WenQuanYi Zen Hei"/>
        <family val="2"/>
      </rPr>
      <t xml:space="preserve">の表示</t>
    </r>
    <r>
      <rPr>
        <sz val="10"/>
        <rFont val="Meiryo UI"/>
        <family val="0"/>
        <charset val="1"/>
      </rPr>
      <t xml:space="preserve">2.8</t>
    </r>
    <r>
      <rPr>
        <sz val="10"/>
        <rFont val="WenQuanYi Zen Hei"/>
        <family val="2"/>
      </rPr>
      <t xml:space="preserve">倍、富士通年収の日次クリック</t>
    </r>
    <r>
      <rPr>
        <sz val="10"/>
        <rFont val="Meiryo UI"/>
        <family val="0"/>
        <charset val="1"/>
      </rPr>
      <t xml:space="preserve">4→23</t>
    </r>
    <r>
      <rPr>
        <sz val="10"/>
        <rFont val="WenQuanYi Zen Hei"/>
        <family val="2"/>
      </rPr>
      <t xml:space="preserve">、</t>
    </r>
    <r>
      <rPr>
        <sz val="10"/>
        <rFont val="Meiryo UI"/>
        <family val="0"/>
        <charset val="1"/>
      </rPr>
      <t xml:space="preserve">NEC AI</t>
    </r>
    <r>
      <rPr>
        <sz val="10"/>
        <rFont val="WenQuanYi Zen Hei"/>
        <family val="2"/>
      </rPr>
      <t xml:space="preserve">部署の表示</t>
    </r>
    <r>
      <rPr>
        <sz val="10"/>
        <rFont val="Meiryo UI"/>
        <family val="0"/>
        <charset val="1"/>
      </rPr>
      <t xml:space="preserve">3</t>
    </r>
    <r>
      <rPr>
        <sz val="10"/>
        <rFont val="WenQuanYi Zen Hei"/>
        <family val="2"/>
      </rPr>
      <t xml:space="preserve">倍</t>
    </r>
  </si>
  <si>
    <t xml:space="preserve">最終更新日の明記と追記で、需要のピークを取り切る</t>
  </si>
  <si>
    <t xml:space="preserve">収益</t>
  </si>
  <si>
    <t xml:space="preserve">転職会議で成果発生の実績がある</t>
  </si>
  <si>
    <r>
      <rPr>
        <sz val="10"/>
        <rFont val="Meiryo UI"/>
        <family val="0"/>
        <charset val="1"/>
      </rPr>
      <t xml:space="preserve">VC</t>
    </r>
    <r>
      <rPr>
        <sz val="10"/>
        <rFont val="WenQuanYi Zen Hei"/>
        <family val="2"/>
      </rPr>
      <t xml:space="preserve">：転職会議 </t>
    </r>
    <r>
      <rPr>
        <sz val="10"/>
        <rFont val="Meiryo UI"/>
        <family val="0"/>
        <charset val="1"/>
      </rPr>
      <t xml:space="preserve">242</t>
    </r>
    <r>
      <rPr>
        <sz val="10"/>
        <rFont val="WenQuanYi Zen Hei"/>
        <family val="2"/>
      </rPr>
      <t xml:space="preserve">表示・</t>
    </r>
    <r>
      <rPr>
        <sz val="10"/>
        <rFont val="Meiryo UI"/>
        <family val="0"/>
        <charset val="1"/>
      </rPr>
      <t xml:space="preserve">3</t>
    </r>
    <r>
      <rPr>
        <sz val="10"/>
        <rFont val="WenQuanYi Zen Hei"/>
        <family val="2"/>
      </rPr>
      <t xml:space="preserve">クリック・</t>
    </r>
    <r>
      <rPr>
        <sz val="10"/>
        <rFont val="Meiryo UI"/>
        <family val="0"/>
        <charset val="1"/>
      </rPr>
      <t xml:space="preserve">1</t>
    </r>
    <r>
      <rPr>
        <sz val="10"/>
        <rFont val="WenQuanYi Zen Hei"/>
        <family val="2"/>
      </rPr>
      <t xml:space="preserve">件発生（</t>
    </r>
    <r>
      <rPr>
        <sz val="10"/>
        <rFont val="Meiryo UI"/>
        <family val="0"/>
        <charset val="1"/>
      </rPr>
      <t xml:space="preserve">330</t>
    </r>
    <r>
      <rPr>
        <sz val="10"/>
        <rFont val="WenQuanYi Zen Hei"/>
        <family val="2"/>
      </rPr>
      <t xml:space="preserve">円・未承認）</t>
    </r>
  </si>
  <si>
    <r>
      <rPr>
        <sz val="10"/>
        <rFont val="Meiryo UI"/>
        <family val="0"/>
        <charset val="1"/>
      </rPr>
      <t xml:space="preserve">OpenWork</t>
    </r>
    <r>
      <rPr>
        <sz val="10"/>
        <rFont val="WenQuanYi Zen Hei"/>
        <family val="2"/>
      </rPr>
      <t xml:space="preserve">・企業研究・ブラック求人の読者と最も相性が良い案件として全面展開</t>
    </r>
  </si>
  <si>
    <r>
      <rPr>
        <sz val="10"/>
        <rFont val="WenQuanYi Zen Hei"/>
        <family val="2"/>
      </rPr>
      <t xml:space="preserve">モバイルの順位・</t>
    </r>
    <r>
      <rPr>
        <sz val="10"/>
        <rFont val="Meiryo UI"/>
        <family val="0"/>
        <charset val="1"/>
      </rPr>
      <t xml:space="preserve">CTR</t>
    </r>
    <r>
      <rPr>
        <sz val="10"/>
        <rFont val="WenQuanYi Zen Hei"/>
        <family val="2"/>
      </rPr>
      <t xml:space="preserve">が良好</t>
    </r>
  </si>
  <si>
    <r>
      <rPr>
        <sz val="10"/>
        <rFont val="WenQuanYi Zen Hei"/>
        <family val="2"/>
      </rPr>
      <t xml:space="preserve">直近</t>
    </r>
    <r>
      <rPr>
        <sz val="10"/>
        <rFont val="Meiryo UI"/>
        <family val="0"/>
        <charset val="1"/>
      </rPr>
      <t xml:space="preserve">28</t>
    </r>
    <r>
      <rPr>
        <sz val="10"/>
        <rFont val="WenQuanYi Zen Hei"/>
        <family val="2"/>
      </rPr>
      <t xml:space="preserve">日：モバイル </t>
    </r>
    <r>
      <rPr>
        <sz val="10"/>
        <rFont val="Meiryo UI"/>
        <family val="0"/>
        <charset val="1"/>
      </rPr>
      <t xml:space="preserve">CTR5.7%</t>
    </r>
    <r>
      <rPr>
        <sz val="10"/>
        <rFont val="WenQuanYi Zen Hei"/>
        <family val="2"/>
      </rPr>
      <t xml:space="preserve">・</t>
    </r>
    <r>
      <rPr>
        <sz val="10"/>
        <rFont val="Meiryo UI"/>
        <family val="0"/>
        <charset val="1"/>
      </rPr>
      <t xml:space="preserve">7.0</t>
    </r>
    <r>
      <rPr>
        <sz val="10"/>
        <rFont val="WenQuanYi Zen Hei"/>
        <family val="2"/>
      </rPr>
      <t xml:space="preserve">位／</t>
    </r>
    <r>
      <rPr>
        <sz val="10"/>
        <rFont val="Meiryo UI"/>
        <family val="0"/>
        <charset val="1"/>
      </rPr>
      <t xml:space="preserve">PC 4.0%</t>
    </r>
    <r>
      <rPr>
        <sz val="10"/>
        <rFont val="WenQuanYi Zen Hei"/>
        <family val="2"/>
      </rPr>
      <t xml:space="preserve">・</t>
    </r>
    <r>
      <rPr>
        <sz val="10"/>
        <rFont val="Meiryo UI"/>
        <family val="0"/>
        <charset val="1"/>
      </rPr>
      <t xml:space="preserve">8.6</t>
    </r>
    <r>
      <rPr>
        <sz val="10"/>
        <rFont val="WenQuanYi Zen Hei"/>
        <family val="2"/>
      </rPr>
      <t xml:space="preserve">位</t>
    </r>
  </si>
  <si>
    <t xml:space="preserve">ボタン・ボックスはスマホでの見え方を最優先で設計</t>
  </si>
  <si>
    <t xml:space="preserve">悪い点</t>
  </si>
  <si>
    <t xml:space="preserve">収益導線が主要記事にほぼ存在しない</t>
  </si>
  <si>
    <r>
      <rPr>
        <sz val="10"/>
        <rFont val="WenQuanYi Zen Hei"/>
        <family val="2"/>
      </rPr>
      <t xml:space="preserve">検索流入 月約</t>
    </r>
    <r>
      <rPr>
        <sz val="10"/>
        <rFont val="Meiryo UI"/>
        <family val="0"/>
        <charset val="1"/>
      </rPr>
      <t xml:space="preserve">4,700</t>
    </r>
    <r>
      <rPr>
        <sz val="10"/>
        <rFont val="WenQuanYi Zen Hei"/>
        <family val="2"/>
      </rPr>
      <t xml:space="preserve">に対し、アフィリエイトのクリックは全</t>
    </r>
    <r>
      <rPr>
        <sz val="10"/>
        <rFont val="Meiryo UI"/>
        <family val="0"/>
        <charset val="1"/>
      </rPr>
      <t xml:space="preserve">ASP</t>
    </r>
    <r>
      <rPr>
        <sz val="10"/>
        <rFont val="WenQuanYi Zen Hei"/>
        <family val="2"/>
      </rPr>
      <t xml:space="preserve">合計で月約</t>
    </r>
    <r>
      <rPr>
        <sz val="10"/>
        <rFont val="Meiryo UI"/>
        <family val="0"/>
        <charset val="1"/>
      </rPr>
      <t xml:space="preserve">25</t>
    </r>
    <r>
      <rPr>
        <sz val="10"/>
        <rFont val="WenQuanYi Zen Hei"/>
        <family val="2"/>
      </rPr>
      <t xml:space="preserve">（約</t>
    </r>
    <r>
      <rPr>
        <sz val="10"/>
        <rFont val="Meiryo UI"/>
        <family val="0"/>
        <charset val="1"/>
      </rPr>
      <t xml:space="preserve">0.5%</t>
    </r>
    <r>
      <rPr>
        <sz val="10"/>
        <rFont val="WenQuanYi Zen Hei"/>
        <family val="2"/>
      </rPr>
      <t xml:space="preserve">）。</t>
    </r>
    <r>
      <rPr>
        <sz val="10"/>
        <rFont val="Meiryo UI"/>
        <family val="0"/>
        <charset val="1"/>
      </rPr>
      <t xml:space="preserve">A8</t>
    </r>
    <r>
      <rPr>
        <sz val="10"/>
        <rFont val="WenQuanYi Zen Hei"/>
        <family val="2"/>
      </rPr>
      <t xml:space="preserve">の表示は</t>
    </r>
    <r>
      <rPr>
        <sz val="10"/>
        <rFont val="Meiryo UI"/>
        <family val="0"/>
        <charset val="1"/>
      </rPr>
      <t xml:space="preserve">7</t>
    </r>
    <r>
      <rPr>
        <sz val="10"/>
        <rFont val="WenQuanYi Zen Hei"/>
        <family val="2"/>
      </rPr>
      <t xml:space="preserve">月</t>
    </r>
    <r>
      <rPr>
        <sz val="10"/>
        <rFont val="Meiryo UI"/>
        <family val="0"/>
        <charset val="1"/>
      </rPr>
      <t xml:space="preserve">324→10</t>
    </r>
    <r>
      <rPr>
        <sz val="10"/>
        <rFont val="WenQuanYi Zen Hei"/>
        <family val="2"/>
      </rPr>
      <t xml:space="preserve">月</t>
    </r>
    <r>
      <rPr>
        <sz val="10"/>
        <rFont val="Meiryo UI"/>
        <family val="0"/>
        <charset val="1"/>
      </rPr>
      <t xml:space="preserve">51</t>
    </r>
    <r>
      <rPr>
        <sz val="10"/>
        <rFont val="WenQuanYi Zen Hei"/>
        <family val="2"/>
      </rPr>
      <t xml:space="preserve">と、流入増に反して減少</t>
    </r>
  </si>
  <si>
    <r>
      <rPr>
        <sz val="10"/>
        <rFont val="WenQuanYi Zen Hei"/>
        <family val="2"/>
      </rPr>
      <t xml:space="preserve">上位</t>
    </r>
    <r>
      <rPr>
        <sz val="10"/>
        <rFont val="Meiryo UI"/>
        <family val="0"/>
        <charset val="1"/>
      </rPr>
      <t xml:space="preserve">9</t>
    </r>
    <r>
      <rPr>
        <sz val="10"/>
        <rFont val="WenQuanYi Zen Hei"/>
        <family val="2"/>
      </rPr>
      <t xml:space="preserve">記事に導線を設置。</t>
    </r>
    <r>
      <rPr>
        <sz val="10"/>
        <rFont val="Meiryo UI"/>
        <family val="0"/>
        <charset val="1"/>
      </rPr>
      <t xml:space="preserve">A8</t>
    </r>
    <r>
      <rPr>
        <sz val="10"/>
        <rFont val="WenQuanYi Zen Hei"/>
        <family val="2"/>
      </rPr>
      <t xml:space="preserve">広告の設置場所を棚卸し</t>
    </r>
  </si>
  <si>
    <t xml:space="preserve">読者と無関係な広告が表示されている</t>
  </si>
  <si>
    <r>
      <rPr>
        <sz val="10"/>
        <rFont val="Meiryo UI"/>
        <family val="0"/>
        <charset val="1"/>
      </rPr>
      <t xml:space="preserve">VC</t>
    </r>
    <r>
      <rPr>
        <sz val="10"/>
        <rFont val="WenQuanYi Zen Hei"/>
        <family val="2"/>
      </rPr>
      <t xml:space="preserve">：じゃらん</t>
    </r>
    <r>
      <rPr>
        <sz val="10"/>
        <rFont val="Meiryo UI"/>
        <family val="0"/>
        <charset val="1"/>
      </rPr>
      <t xml:space="preserve">net 34</t>
    </r>
    <r>
      <rPr>
        <sz val="10"/>
        <rFont val="WenQuanYi Zen Hei"/>
        <family val="2"/>
      </rPr>
      <t xml:space="preserve">表示、一休</t>
    </r>
    <r>
      <rPr>
        <sz val="10"/>
        <rFont val="Meiryo UI"/>
        <family val="0"/>
        <charset val="1"/>
      </rPr>
      <t xml:space="preserve">.com 34</t>
    </r>
    <r>
      <rPr>
        <sz val="10"/>
        <rFont val="WenQuanYi Zen Hei"/>
        <family val="2"/>
      </rPr>
      <t xml:space="preserve">表示（クリック</t>
    </r>
    <r>
      <rPr>
        <sz val="10"/>
        <rFont val="Meiryo UI"/>
        <family val="0"/>
        <charset val="1"/>
      </rPr>
      <t xml:space="preserve">0</t>
    </r>
    <r>
      <rPr>
        <sz val="10"/>
        <rFont val="WenQuanYi Zen Hei"/>
        <family val="2"/>
      </rPr>
      <t xml:space="preserve">）</t>
    </r>
  </si>
  <si>
    <t xml:space="preserve">表示元（自動広告・ウィジェット等）を特定して撤去</t>
  </si>
  <si>
    <t xml:space="preserve">流入の大半が「調べもの」で転職意欲の低い層</t>
  </si>
  <si>
    <r>
      <rPr>
        <sz val="10"/>
        <rFont val="WenQuanYi Zen Hei"/>
        <family val="2"/>
      </rPr>
      <t xml:space="preserve">流入上位は</t>
    </r>
    <r>
      <rPr>
        <sz val="10"/>
        <rFont val="Meiryo UI"/>
        <family val="0"/>
        <charset val="1"/>
      </rPr>
      <t xml:space="preserve">OpenWork</t>
    </r>
    <r>
      <rPr>
        <sz val="10"/>
        <rFont val="WenQuanYi Zen Hei"/>
        <family val="2"/>
      </rPr>
      <t xml:space="preserve">の使い方・試験の廃止情報。エージェント評判などの転職サービス記事への流入は全体の約</t>
    </r>
    <r>
      <rPr>
        <sz val="10"/>
        <rFont val="Meiryo UI"/>
        <family val="0"/>
        <charset val="1"/>
      </rPr>
      <t xml:space="preserve">6%</t>
    </r>
    <r>
      <rPr>
        <sz val="10"/>
        <rFont val="WenQuanYi Zen Hei"/>
        <family val="2"/>
      </rPr>
      <t xml:space="preserve">（直近</t>
    </r>
    <r>
      <rPr>
        <sz val="10"/>
        <rFont val="Meiryo UI"/>
        <family val="0"/>
        <charset val="1"/>
      </rPr>
      <t xml:space="preserve">28</t>
    </r>
    <r>
      <rPr>
        <sz val="10"/>
        <rFont val="WenQuanYi Zen Hei"/>
        <family val="2"/>
      </rPr>
      <t xml:space="preserve">日）</t>
    </r>
  </si>
  <si>
    <t xml:space="preserve">いきなりエージェントではなく、転職会議（無料登録）→スカウト→エージェントの順で段階的に誘導</t>
  </si>
  <si>
    <t xml:space="preserve">上位記事への依存度が高い</t>
  </si>
  <si>
    <r>
      <rPr>
        <sz val="10"/>
        <rFont val="WenQuanYi Zen Hei"/>
        <family val="2"/>
      </rPr>
      <t xml:space="preserve">上位</t>
    </r>
    <r>
      <rPr>
        <sz val="10"/>
        <rFont val="Meiryo UI"/>
        <family val="0"/>
        <charset val="1"/>
      </rPr>
      <t xml:space="preserve">10</t>
    </r>
    <r>
      <rPr>
        <sz val="10"/>
        <rFont val="WenQuanYi Zen Hei"/>
        <family val="2"/>
      </rPr>
      <t xml:space="preserve">記事でクリックの</t>
    </r>
    <r>
      <rPr>
        <sz val="10"/>
        <rFont val="Meiryo UI"/>
        <family val="0"/>
        <charset val="1"/>
      </rPr>
      <t xml:space="preserve">68%</t>
    </r>
    <r>
      <rPr>
        <sz val="10"/>
        <rFont val="WenQuanYi Zen Hei"/>
        <family val="2"/>
      </rPr>
      <t xml:space="preserve">。</t>
    </r>
    <r>
      <rPr>
        <sz val="10"/>
        <rFont val="Meiryo UI"/>
        <family val="0"/>
        <charset val="1"/>
      </rPr>
      <t xml:space="preserve">OpenWork</t>
    </r>
    <r>
      <rPr>
        <sz val="10"/>
        <rFont val="WenQuanYi Zen Hei"/>
        <family val="2"/>
      </rPr>
      <t xml:space="preserve">グラフ記事</t>
    </r>
    <r>
      <rPr>
        <sz val="10"/>
        <rFont val="Meiryo UI"/>
        <family val="0"/>
        <charset val="1"/>
      </rPr>
      <t xml:space="preserve">1</t>
    </r>
    <r>
      <rPr>
        <sz val="10"/>
        <rFont val="WenQuanYi Zen Hei"/>
        <family val="2"/>
      </rPr>
      <t xml:space="preserve">本で、</t>
    </r>
    <r>
      <rPr>
        <sz val="10"/>
        <rFont val="Meiryo UI"/>
        <family val="0"/>
        <charset val="1"/>
      </rPr>
      <t xml:space="preserve">3</t>
    </r>
    <r>
      <rPr>
        <sz val="10"/>
        <rFont val="WenQuanYi Zen Hei"/>
        <family val="2"/>
      </rPr>
      <t xml:space="preserve">か月では約</t>
    </r>
    <r>
      <rPr>
        <sz val="10"/>
        <rFont val="Meiryo UI"/>
        <family val="0"/>
        <charset val="1"/>
      </rPr>
      <t xml:space="preserve">25%</t>
    </r>
    <r>
      <rPr>
        <sz val="10"/>
        <rFont val="WenQuanYi Zen Hei"/>
        <family val="2"/>
      </rPr>
      <t xml:space="preserve">、直近</t>
    </r>
    <r>
      <rPr>
        <sz val="10"/>
        <rFont val="Meiryo UI"/>
        <family val="0"/>
        <charset val="1"/>
      </rPr>
      <t xml:space="preserve">28</t>
    </r>
    <r>
      <rPr>
        <sz val="10"/>
        <rFont val="WenQuanYi Zen Hei"/>
        <family val="2"/>
      </rPr>
      <t xml:space="preserve">日でも約</t>
    </r>
    <r>
      <rPr>
        <sz val="10"/>
        <rFont val="Meiryo UI"/>
        <family val="0"/>
        <charset val="1"/>
      </rPr>
      <t xml:space="preserve">17%</t>
    </r>
  </si>
  <si>
    <r>
      <rPr>
        <sz val="10"/>
        <rFont val="WenQuanYi Zen Hei"/>
        <family val="2"/>
      </rPr>
      <t xml:space="preserve">第</t>
    </r>
    <r>
      <rPr>
        <sz val="10"/>
        <rFont val="Meiryo UI"/>
        <family val="0"/>
        <charset val="1"/>
      </rPr>
      <t xml:space="preserve">2</t>
    </r>
    <r>
      <rPr>
        <sz val="10"/>
        <rFont val="WenQuanYi Zen Hei"/>
        <family val="2"/>
      </rPr>
      <t xml:space="preserve">・第</t>
    </r>
    <r>
      <rPr>
        <sz val="10"/>
        <rFont val="Meiryo UI"/>
        <family val="0"/>
        <charset val="1"/>
      </rPr>
      <t xml:space="preserve">3</t>
    </r>
    <r>
      <rPr>
        <sz val="10"/>
        <rFont val="WenQuanYi Zen Hei"/>
        <family val="2"/>
      </rPr>
      <t xml:space="preserve">の柱（富士通・</t>
    </r>
    <r>
      <rPr>
        <sz val="10"/>
        <rFont val="Meiryo UI"/>
        <family val="0"/>
        <charset val="1"/>
      </rPr>
      <t xml:space="preserve">NEC</t>
    </r>
    <r>
      <rPr>
        <sz val="10"/>
        <rFont val="WenQuanYi Zen Hei"/>
        <family val="2"/>
      </rPr>
      <t xml:space="preserve">・</t>
    </r>
    <r>
      <rPr>
        <sz val="10"/>
        <rFont val="Meiryo UI"/>
        <family val="0"/>
        <charset val="1"/>
      </rPr>
      <t xml:space="preserve">IPA</t>
    </r>
    <r>
      <rPr>
        <sz val="10"/>
        <rFont val="WenQuanYi Zen Hei"/>
        <family val="2"/>
      </rPr>
      <t xml:space="preserve">）を育てて分散</t>
    </r>
  </si>
  <si>
    <t xml:space="preserve">記事の重複（カニバリ）が一部のテーマで発生</t>
  </si>
  <si>
    <r>
      <rPr>
        <sz val="10"/>
        <rFont val="WenQuanYi Zen Hei"/>
        <family val="2"/>
      </rPr>
      <t xml:space="preserve">書類選考系</t>
    </r>
    <r>
      <rPr>
        <sz val="10"/>
        <rFont val="Meiryo UI"/>
        <family val="0"/>
        <charset val="1"/>
      </rPr>
      <t xml:space="preserve">10</t>
    </r>
    <r>
      <rPr>
        <sz val="10"/>
        <rFont val="WenQuanYi Zen Hei"/>
        <family val="2"/>
      </rPr>
      <t xml:space="preserve">記事で「書類選考 落ちる」が</t>
    </r>
    <r>
      <rPr>
        <sz val="10"/>
        <rFont val="Meiryo UI"/>
        <family val="0"/>
        <charset val="1"/>
      </rPr>
      <t xml:space="preserve">27</t>
    </r>
    <r>
      <rPr>
        <sz val="10"/>
        <rFont val="WenQuanYi Zen Hei"/>
        <family val="2"/>
      </rPr>
      <t xml:space="preserve">位、</t>
    </r>
    <r>
      <rPr>
        <sz val="10"/>
        <rFont val="Meiryo UI"/>
        <family val="0"/>
        <charset val="1"/>
      </rPr>
      <t xml:space="preserve">AI</t>
    </r>
    <r>
      <rPr>
        <sz val="10"/>
        <rFont val="WenQuanYi Zen Hei"/>
        <family val="2"/>
      </rPr>
      <t xml:space="preserve">履歴書は</t>
    </r>
    <r>
      <rPr>
        <sz val="10"/>
        <rFont val="Meiryo UI"/>
        <family val="0"/>
        <charset val="1"/>
      </rPr>
      <t xml:space="preserve">7.5→8.6</t>
    </r>
    <r>
      <rPr>
        <sz val="10"/>
        <rFont val="WenQuanYi Zen Hei"/>
        <family val="2"/>
      </rPr>
      <t xml:space="preserve">位に低下、ユーザー系</t>
    </r>
    <r>
      <rPr>
        <sz val="10"/>
        <rFont val="Meiryo UI"/>
        <family val="0"/>
        <charset val="1"/>
      </rPr>
      <t xml:space="preserve">SIer</t>
    </r>
    <r>
      <rPr>
        <sz val="10"/>
        <rFont val="WenQuanYi Zen Hei"/>
        <family val="2"/>
      </rPr>
      <t xml:space="preserve">は表記揺れで</t>
    </r>
    <r>
      <rPr>
        <sz val="10"/>
        <rFont val="Meiryo UI"/>
        <family val="0"/>
        <charset val="1"/>
      </rPr>
      <t xml:space="preserve">7.5</t>
    </r>
    <r>
      <rPr>
        <sz val="10"/>
        <rFont val="WenQuanYi Zen Hei"/>
        <family val="2"/>
      </rPr>
      <t xml:space="preserve">位と</t>
    </r>
    <r>
      <rPr>
        <sz val="10"/>
        <rFont val="Meiryo UI"/>
        <family val="0"/>
        <charset val="1"/>
      </rPr>
      <t xml:space="preserve">22.4</t>
    </r>
    <r>
      <rPr>
        <sz val="10"/>
        <rFont val="WenQuanYi Zen Hei"/>
        <family val="2"/>
      </rPr>
      <t xml:space="preserve">位に分裂</t>
    </r>
  </si>
  <si>
    <r>
      <rPr>
        <sz val="10"/>
        <rFont val="WenQuanYi Zen Hei"/>
        <family val="2"/>
      </rPr>
      <t xml:space="preserve">統合（</t>
    </r>
    <r>
      <rPr>
        <sz val="10"/>
        <rFont val="Meiryo UI"/>
        <family val="0"/>
        <charset val="1"/>
      </rPr>
      <t xml:space="preserve">301</t>
    </r>
    <r>
      <rPr>
        <sz val="10"/>
        <rFont val="WenQuanYi Zen Hei"/>
        <family val="2"/>
      </rPr>
      <t xml:space="preserve">）と役割分担。詳細は「カニバリ分析」シート</t>
    </r>
  </si>
  <si>
    <r>
      <rPr>
        <sz val="10"/>
        <rFont val="WenQuanYi Zen Hei"/>
        <family val="2"/>
      </rPr>
      <t xml:space="preserve">同じ順位でも</t>
    </r>
    <r>
      <rPr>
        <sz val="10"/>
        <rFont val="Meiryo UI"/>
        <family val="0"/>
        <charset val="1"/>
      </rPr>
      <t xml:space="preserve">CTR</t>
    </r>
    <r>
      <rPr>
        <sz val="10"/>
        <rFont val="WenQuanYi Zen Hei"/>
        <family val="2"/>
      </rPr>
      <t xml:space="preserve">が低い記事が多い</t>
    </r>
  </si>
  <si>
    <r>
      <rPr>
        <sz val="10"/>
        <rFont val="WenQuanYi Zen Hei"/>
        <family val="2"/>
      </rPr>
      <t xml:space="preserve">転職会議系 </t>
    </r>
    <r>
      <rPr>
        <sz val="10"/>
        <rFont val="Meiryo UI"/>
        <family val="0"/>
        <charset val="1"/>
      </rPr>
      <t xml:space="preserve">CTR1.0</t>
    </r>
    <r>
      <rPr>
        <sz val="10"/>
        <rFont val="WenQuanYi Zen Hei"/>
        <family val="2"/>
      </rPr>
      <t xml:space="preserve">〜</t>
    </r>
    <r>
      <rPr>
        <sz val="10"/>
        <rFont val="Meiryo UI"/>
        <family val="0"/>
        <charset val="1"/>
      </rPr>
      <t xml:space="preserve">1.9%</t>
    </r>
    <r>
      <rPr>
        <sz val="10"/>
        <rFont val="WenQuanYi Zen Hei"/>
        <family val="2"/>
      </rPr>
      <t xml:space="preserve">（</t>
    </r>
    <r>
      <rPr>
        <sz val="10"/>
        <rFont val="Meiryo UI"/>
        <family val="0"/>
        <charset val="1"/>
      </rPr>
      <t xml:space="preserve">OpenWork</t>
    </r>
    <r>
      <rPr>
        <sz val="10"/>
        <rFont val="WenQuanYi Zen Hei"/>
        <family val="2"/>
      </rPr>
      <t xml:space="preserve">系の</t>
    </r>
    <r>
      <rPr>
        <sz val="10"/>
        <rFont val="Meiryo UI"/>
        <family val="0"/>
        <charset val="1"/>
      </rPr>
      <t xml:space="preserve">1/6</t>
    </r>
    <r>
      <rPr>
        <sz val="10"/>
        <rFont val="WenQuanYi Zen Hei"/>
        <family val="2"/>
      </rPr>
      <t xml:space="preserve">）、「社名変更 やばい」は</t>
    </r>
    <r>
      <rPr>
        <sz val="10"/>
        <rFont val="Meiryo UI"/>
        <family val="0"/>
        <charset val="1"/>
      </rPr>
      <t xml:space="preserve">2</t>
    </r>
    <r>
      <rPr>
        <sz val="10"/>
        <rFont val="WenQuanYi Zen Hei"/>
        <family val="2"/>
      </rPr>
      <t xml:space="preserve">位で</t>
    </r>
    <r>
      <rPr>
        <sz val="10"/>
        <rFont val="Meiryo UI"/>
        <family val="0"/>
        <charset val="1"/>
      </rPr>
      <t xml:space="preserve">CTR2%</t>
    </r>
    <r>
      <rPr>
        <sz val="10"/>
        <rFont val="WenQuanYi Zen Hei"/>
        <family val="2"/>
      </rPr>
      <t xml:space="preserve">、</t>
    </r>
    <r>
      <rPr>
        <sz val="10"/>
        <rFont val="Meiryo UI"/>
        <family val="0"/>
        <charset val="1"/>
      </rPr>
      <t xml:space="preserve">AI</t>
    </r>
    <r>
      <rPr>
        <sz val="10"/>
        <rFont val="WenQuanYi Zen Hei"/>
        <family val="2"/>
      </rPr>
      <t xml:space="preserve">履歴書は</t>
    </r>
    <r>
      <rPr>
        <sz val="10"/>
        <rFont val="Meiryo UI"/>
        <family val="0"/>
        <charset val="1"/>
      </rPr>
      <t xml:space="preserve">7.5</t>
    </r>
    <r>
      <rPr>
        <sz val="10"/>
        <rFont val="WenQuanYi Zen Hei"/>
        <family val="2"/>
      </rPr>
      <t xml:space="preserve">位で</t>
    </r>
    <r>
      <rPr>
        <sz val="10"/>
        <rFont val="Meiryo UI"/>
        <family val="0"/>
        <charset val="1"/>
      </rPr>
      <t xml:space="preserve">CTR0.7%</t>
    </r>
  </si>
  <si>
    <r>
      <rPr>
        <sz val="10"/>
        <rFont val="WenQuanYi Zen Hei"/>
        <family val="2"/>
      </rPr>
      <t xml:space="preserve">タイトルで検索意図に即答する。重点記事のタイトル案は「全記事</t>
    </r>
    <r>
      <rPr>
        <sz val="10"/>
        <rFont val="Meiryo UI"/>
        <family val="0"/>
        <charset val="1"/>
      </rPr>
      <t xml:space="preserve">_</t>
    </r>
    <r>
      <rPr>
        <sz val="10"/>
        <rFont val="WenQuanYi Zen Hei"/>
        <family val="2"/>
      </rPr>
      <t xml:space="preserve">修正点」シート</t>
    </r>
  </si>
  <si>
    <t xml:space="preserve">技術</t>
  </si>
  <si>
    <r>
      <rPr>
        <sz val="10"/>
        <rFont val="WenQuanYi Zen Hei"/>
        <family val="2"/>
      </rPr>
      <t xml:space="preserve">壊れた</t>
    </r>
    <r>
      <rPr>
        <sz val="10"/>
        <rFont val="Meiryo UI"/>
        <family val="0"/>
        <charset val="1"/>
      </rPr>
      <t xml:space="preserve">URL</t>
    </r>
    <r>
      <rPr>
        <sz val="10"/>
        <rFont val="WenQuanYi Zen Hei"/>
        <family val="2"/>
      </rPr>
      <t xml:space="preserve">・不要な</t>
    </r>
    <r>
      <rPr>
        <sz val="10"/>
        <rFont val="Meiryo UI"/>
        <family val="0"/>
        <charset val="1"/>
      </rPr>
      <t xml:space="preserve">URL</t>
    </r>
    <r>
      <rPr>
        <sz val="10"/>
        <rFont val="WenQuanYi Zen Hei"/>
        <family val="2"/>
      </rPr>
      <t xml:space="preserve">がインデックスされている</t>
    </r>
  </si>
  <si>
    <r>
      <rPr>
        <sz val="10"/>
        <rFont val="Meiryo UI"/>
        <family val="0"/>
        <charset val="1"/>
      </rPr>
      <t xml:space="preserve">https</t>
    </r>
    <r>
      <rPr>
        <sz val="10"/>
        <rFont val="WenQuanYi Zen Hei"/>
        <family val="2"/>
      </rPr>
      <t xml:space="preserve">抜けのリンクが原因とみられる </t>
    </r>
    <r>
      <rPr>
        <sz val="10"/>
        <rFont val="Meiryo UI"/>
        <family val="0"/>
        <charset val="1"/>
      </rPr>
      <t xml:space="preserve">/saiyo-ura.com/</t>
    </r>
    <r>
      <rPr>
        <sz val="10"/>
        <rFont val="WenQuanYi Zen Hei"/>
        <family val="2"/>
      </rPr>
      <t xml:space="preserve">記事名</t>
    </r>
    <r>
      <rPr>
        <sz val="10"/>
        <rFont val="Meiryo UI"/>
        <family val="0"/>
        <charset val="1"/>
      </rPr>
      <t xml:space="preserve">/ </t>
    </r>
    <r>
      <rPr>
        <sz val="10"/>
        <rFont val="WenQuanYi Zen Hei"/>
        <family val="2"/>
      </rPr>
      <t xml:space="preserve">が</t>
    </r>
    <r>
      <rPr>
        <sz val="10"/>
        <rFont val="Meiryo UI"/>
        <family val="0"/>
        <charset val="1"/>
      </rPr>
      <t xml:space="preserve">4</t>
    </r>
    <r>
      <rPr>
        <sz val="10"/>
        <rFont val="WenQuanYi Zen Hei"/>
        <family val="2"/>
      </rPr>
      <t xml:space="preserve">件、末尾に「</t>
    </r>
    <r>
      <rPr>
        <sz val="10"/>
        <rFont val="Meiryo UI"/>
        <family val="0"/>
        <charset val="1"/>
      </rPr>
      <t xml:space="preserve">]</t>
    </r>
    <r>
      <rPr>
        <sz val="10"/>
        <rFont val="WenQuanYi Zen Hei"/>
        <family val="2"/>
      </rPr>
      <t xml:space="preserve">」の</t>
    </r>
    <r>
      <rPr>
        <sz val="10"/>
        <rFont val="Meiryo UI"/>
        <family val="0"/>
        <charset val="1"/>
      </rPr>
      <t xml:space="preserve">URL</t>
    </r>
    <r>
      <rPr>
        <sz val="10"/>
        <rFont val="WenQuanYi Zen Hei"/>
        <family val="2"/>
      </rPr>
      <t xml:space="preserve">、スラッシュなし</t>
    </r>
    <r>
      <rPr>
        <sz val="10"/>
        <rFont val="Meiryo UI"/>
        <family val="0"/>
        <charset val="1"/>
      </rPr>
      <t xml:space="preserve">URL</t>
    </r>
    <r>
      <rPr>
        <sz val="10"/>
        <rFont val="WenQuanYi Zen Hei"/>
        <family val="2"/>
      </rPr>
      <t xml:space="preserve">、</t>
    </r>
    <r>
      <rPr>
        <sz val="10"/>
        <rFont val="Meiryo UI"/>
        <family val="0"/>
        <charset val="1"/>
      </rPr>
      <t xml:space="preserve">www</t>
    </r>
    <r>
      <rPr>
        <sz val="10"/>
        <rFont val="WenQuanYi Zen Hei"/>
        <family val="2"/>
      </rPr>
      <t xml:space="preserve">付き</t>
    </r>
    <r>
      <rPr>
        <sz val="10"/>
        <rFont val="Meiryo UI"/>
        <family val="0"/>
        <charset val="1"/>
      </rPr>
      <t xml:space="preserve">URL</t>
    </r>
    <r>
      <rPr>
        <sz val="10"/>
        <rFont val="WenQuanYi Zen Hei"/>
        <family val="2"/>
      </rPr>
      <t xml:space="preserve">、タグ・カテゴリページ</t>
    </r>
  </si>
  <si>
    <r>
      <rPr>
        <sz val="10"/>
        <rFont val="WenQuanYi Zen Hei"/>
        <family val="2"/>
      </rPr>
      <t xml:space="preserve">「</t>
    </r>
    <r>
      <rPr>
        <sz val="10"/>
        <rFont val="Meiryo UI"/>
        <family val="0"/>
        <charset val="1"/>
      </rPr>
      <t xml:space="preserve">URL</t>
    </r>
    <r>
      <rPr>
        <sz val="10"/>
        <rFont val="WenQuanYi Zen Hei"/>
        <family val="2"/>
      </rPr>
      <t xml:space="preserve">・技術課題」シートの手順で修正</t>
    </r>
  </si>
  <si>
    <t xml:space="preserve">表示がほぼない記事が多い</t>
  </si>
  <si>
    <r>
      <rPr>
        <sz val="10"/>
        <rFont val="Meiryo UI"/>
        <family val="0"/>
        <charset val="1"/>
      </rPr>
      <t xml:space="preserve">139</t>
    </r>
    <r>
      <rPr>
        <sz val="10"/>
        <rFont val="WenQuanYi Zen Hei"/>
        <family val="2"/>
      </rPr>
      <t xml:space="preserve">記事中、</t>
    </r>
    <r>
      <rPr>
        <sz val="10"/>
        <rFont val="Meiryo UI"/>
        <family val="0"/>
        <charset val="1"/>
      </rPr>
      <t xml:space="preserve">3</t>
    </r>
    <r>
      <rPr>
        <sz val="10"/>
        <rFont val="WenQuanYi Zen Hei"/>
        <family val="2"/>
      </rPr>
      <t xml:space="preserve">か月の表示が</t>
    </r>
    <r>
      <rPr>
        <sz val="10"/>
        <rFont val="Meiryo UI"/>
        <family val="0"/>
        <charset val="1"/>
      </rPr>
      <t xml:space="preserve">100</t>
    </r>
    <r>
      <rPr>
        <sz val="10"/>
        <rFont val="WenQuanYi Zen Hei"/>
        <family val="2"/>
      </rPr>
      <t xml:space="preserve">回未満の記事が</t>
    </r>
    <r>
      <rPr>
        <sz val="10"/>
        <rFont val="Meiryo UI"/>
        <family val="0"/>
        <charset val="1"/>
      </rPr>
      <t xml:space="preserve">45</t>
    </r>
    <r>
      <rPr>
        <sz val="10"/>
        <rFont val="WenQuanYi Zen Hei"/>
        <family val="2"/>
      </rPr>
      <t xml:space="preserve">本（うち</t>
    </r>
    <r>
      <rPr>
        <sz val="10"/>
        <rFont val="Meiryo UI"/>
        <family val="0"/>
        <charset val="1"/>
      </rPr>
      <t xml:space="preserve">50</t>
    </r>
    <r>
      <rPr>
        <sz val="10"/>
        <rFont val="WenQuanYi Zen Hei"/>
        <family val="2"/>
      </rPr>
      <t xml:space="preserve">回未満が</t>
    </r>
    <r>
      <rPr>
        <sz val="10"/>
        <rFont val="Meiryo UI"/>
        <family val="0"/>
        <charset val="1"/>
      </rPr>
      <t xml:space="preserve">27</t>
    </r>
    <r>
      <rPr>
        <sz val="10"/>
        <rFont val="WenQuanYi Zen Hei"/>
        <family val="2"/>
      </rPr>
      <t xml:space="preserve">本）。選考対策（</t>
    </r>
    <r>
      <rPr>
        <sz val="10"/>
        <rFont val="Meiryo UI"/>
        <family val="0"/>
        <charset val="1"/>
      </rPr>
      <t xml:space="preserve">32</t>
    </r>
    <r>
      <rPr>
        <sz val="10"/>
        <rFont val="WenQuanYi Zen Hei"/>
        <family val="2"/>
      </rPr>
      <t xml:space="preserve">本中</t>
    </r>
    <r>
      <rPr>
        <sz val="10"/>
        <rFont val="Meiryo UI"/>
        <family val="0"/>
        <charset val="1"/>
      </rPr>
      <t xml:space="preserve">18</t>
    </r>
    <r>
      <rPr>
        <sz val="10"/>
        <rFont val="WenQuanYi Zen Hei"/>
        <family val="2"/>
      </rPr>
      <t xml:space="preserve">本）とキャリア・働き方（</t>
    </r>
    <r>
      <rPr>
        <sz val="10"/>
        <rFont val="Meiryo UI"/>
        <family val="0"/>
        <charset val="1"/>
      </rPr>
      <t xml:space="preserve">14</t>
    </r>
    <r>
      <rPr>
        <sz val="10"/>
        <rFont val="WenQuanYi Zen Hei"/>
        <family val="2"/>
      </rPr>
      <t xml:space="preserve">本中</t>
    </r>
    <r>
      <rPr>
        <sz val="10"/>
        <rFont val="Meiryo UI"/>
        <family val="0"/>
        <charset val="1"/>
      </rPr>
      <t xml:space="preserve">10</t>
    </r>
    <r>
      <rPr>
        <sz val="10"/>
        <rFont val="WenQuanYi Zen Hei"/>
        <family val="2"/>
      </rPr>
      <t xml:space="preserve">本）に集中</t>
    </r>
  </si>
  <si>
    <t xml:space="preserve">統合・リライト・新規作成の判断を明確にし、柱テーマに集中</t>
  </si>
  <si>
    <t xml:space="preserve">今後のブログの方向性</t>
  </si>
  <si>
    <t xml:space="preserve">データから見た「勝てる領域」と「収益につながる領域」の重なりに集中する</t>
  </si>
  <si>
    <r>
      <rPr>
        <b val="true"/>
        <sz val="12"/>
        <color rgb="FF1F3864"/>
        <rFont val="Meiryo UI"/>
        <family val="0"/>
        <charset val="1"/>
      </rPr>
      <t xml:space="preserve">1. </t>
    </r>
    <r>
      <rPr>
        <b val="true"/>
        <sz val="12"/>
        <color rgb="FF1F3864"/>
        <rFont val="WenQuanYi Zen Hei"/>
        <family val="2"/>
      </rPr>
      <t xml:space="preserve">ポジショニング</t>
    </r>
  </si>
  <si>
    <t xml:space="preserve">項目</t>
  </si>
  <si>
    <t xml:space="preserve">ポジション</t>
  </si>
  <si>
    <r>
      <rPr>
        <sz val="10"/>
        <rFont val="WenQuanYi Zen Hei"/>
        <family val="2"/>
      </rPr>
      <t xml:space="preserve">「求人を出す側（企業・人事）から見た転職のウラ側」を語れる、現役</t>
    </r>
    <r>
      <rPr>
        <sz val="10"/>
        <rFont val="Meiryo UI"/>
        <family val="0"/>
        <charset val="1"/>
      </rPr>
      <t xml:space="preserve">IT</t>
    </r>
    <r>
      <rPr>
        <sz val="10"/>
        <rFont val="WenQuanYi Zen Hei"/>
        <family val="2"/>
      </rPr>
      <t xml:space="preserve">人事のメディア</t>
    </r>
  </si>
  <si>
    <t xml:space="preserve">読者</t>
  </si>
  <si>
    <r>
      <rPr>
        <sz val="10"/>
        <rFont val="Meiryo UI"/>
        <family val="0"/>
        <charset val="1"/>
      </rPr>
      <t xml:space="preserve">IT</t>
    </r>
    <r>
      <rPr>
        <sz val="10"/>
        <rFont val="WenQuanYi Zen Hei"/>
        <family val="2"/>
      </rPr>
      <t xml:space="preserve">業界で転職を考え始めた</t>
    </r>
    <r>
      <rPr>
        <sz val="10"/>
        <rFont val="Meiryo UI"/>
        <family val="0"/>
        <charset val="1"/>
      </rPr>
      <t xml:space="preserve">20</t>
    </r>
    <r>
      <rPr>
        <sz val="10"/>
        <rFont val="WenQuanYi Zen Hei"/>
        <family val="2"/>
      </rPr>
      <t xml:space="preserve">代後半〜</t>
    </r>
    <r>
      <rPr>
        <sz val="10"/>
        <rFont val="Meiryo UI"/>
        <family val="0"/>
        <charset val="1"/>
      </rPr>
      <t xml:space="preserve">40</t>
    </r>
    <r>
      <rPr>
        <sz val="10"/>
        <rFont val="WenQuanYi Zen Hei"/>
        <family val="2"/>
      </rPr>
      <t xml:space="preserve">代のエンジニア・</t>
    </r>
    <r>
      <rPr>
        <sz val="10"/>
        <rFont val="Meiryo UI"/>
        <family val="0"/>
        <charset val="1"/>
      </rPr>
      <t xml:space="preserve">SE</t>
    </r>
    <r>
      <rPr>
        <sz val="10"/>
        <rFont val="WenQuanYi Zen Hei"/>
        <family val="2"/>
      </rPr>
      <t xml:space="preserve">、および大手</t>
    </r>
    <r>
      <rPr>
        <sz val="10"/>
        <rFont val="Meiryo UI"/>
        <family val="0"/>
        <charset val="1"/>
      </rPr>
      <t xml:space="preserve">IT</t>
    </r>
    <r>
      <rPr>
        <sz val="10"/>
        <rFont val="WenQuanYi Zen Hei"/>
        <family val="2"/>
      </rPr>
      <t xml:space="preserve">企業の社員</t>
    </r>
  </si>
  <si>
    <t xml:space="preserve">差別化</t>
  </si>
  <si>
    <t xml:space="preserve">他の転職ブログは求職者目線か、エージェントの宣伝目線。本サイトは「企業側が実際にどう見ているか」を語れる唯一の立場。タイトル・見出し・導線のすべてで「企業側から見ると」を打ち出す</t>
  </si>
  <si>
    <t xml:space="preserve">収益モデル</t>
  </si>
  <si>
    <r>
      <rPr>
        <sz val="10"/>
        <rFont val="WenQuanYi Zen Hei"/>
        <family val="2"/>
      </rPr>
      <t xml:space="preserve">①転職会議（無料会員登録・低ハードル）で初収益 → ②スカウト型（レバテックダイレクト）で中間層 → ③エージェント（リクルートエージェント・</t>
    </r>
    <r>
      <rPr>
        <sz val="10"/>
        <rFont val="Meiryo UI"/>
        <family val="0"/>
        <charset val="1"/>
      </rPr>
      <t xml:space="preserve">JAC</t>
    </r>
    <r>
      <rPr>
        <sz val="10"/>
        <rFont val="WenQuanYi Zen Hei"/>
        <family val="2"/>
      </rPr>
      <t xml:space="preserve">）で高単価、の</t>
    </r>
    <r>
      <rPr>
        <sz val="10"/>
        <rFont val="Meiryo UI"/>
        <family val="0"/>
        <charset val="1"/>
      </rPr>
      <t xml:space="preserve">3</t>
    </r>
    <r>
      <rPr>
        <sz val="10"/>
        <rFont val="WenQuanYi Zen Hei"/>
        <family val="2"/>
      </rPr>
      <t xml:space="preserve">段階</t>
    </r>
  </si>
  <si>
    <r>
      <rPr>
        <b val="true"/>
        <sz val="12"/>
        <color rgb="FF1F3864"/>
        <rFont val="Meiryo UI"/>
        <family val="0"/>
        <charset val="1"/>
      </rPr>
      <t xml:space="preserve">2. </t>
    </r>
    <r>
      <rPr>
        <b val="true"/>
        <sz val="12"/>
        <color rgb="FF1F3864"/>
        <rFont val="WenQuanYi Zen Hei"/>
        <family val="2"/>
      </rPr>
      <t xml:space="preserve">注力テーマ（</t>
    </r>
    <r>
      <rPr>
        <b val="true"/>
        <sz val="12"/>
        <color rgb="FF1F3864"/>
        <rFont val="Meiryo UI"/>
        <family val="0"/>
        <charset val="1"/>
      </rPr>
      <t xml:space="preserve">6</t>
    </r>
    <r>
      <rPr>
        <b val="true"/>
        <sz val="12"/>
        <color rgb="FF1F3864"/>
        <rFont val="WenQuanYi Zen Hei"/>
        <family val="2"/>
      </rPr>
      <t xml:space="preserve">本柱）と現状の数値</t>
    </r>
  </si>
  <si>
    <t xml:space="preserve">テーマ</t>
  </si>
  <si>
    <t xml:space="preserve">役割</t>
  </si>
  <si>
    <t xml:space="preserve">記事数</t>
  </si>
  <si>
    <r>
      <rPr>
        <b val="true"/>
        <sz val="10"/>
        <color rgb="FFFFFFFF"/>
        <rFont val="WenQuanYi Zen Hei"/>
        <family val="2"/>
      </rPr>
      <t xml:space="preserve">月間クリック（</t>
    </r>
    <r>
      <rPr>
        <b val="true"/>
        <sz val="10"/>
        <color rgb="FFFFFFFF"/>
        <rFont val="Meiryo UI"/>
        <family val="0"/>
        <charset val="1"/>
      </rPr>
      <t xml:space="preserve">28</t>
    </r>
    <r>
      <rPr>
        <b val="true"/>
        <sz val="10"/>
        <color rgb="FFFFFFFF"/>
        <rFont val="WenQuanYi Zen Hei"/>
        <family val="2"/>
      </rPr>
      <t xml:space="preserve">日換算）</t>
    </r>
  </si>
  <si>
    <r>
      <rPr>
        <b val="true"/>
        <sz val="10"/>
        <color rgb="FFFFFFFF"/>
        <rFont val="WenQuanYi Zen Hei"/>
        <family val="2"/>
      </rPr>
      <t xml:space="preserve">伸び率（直近</t>
    </r>
    <r>
      <rPr>
        <b val="true"/>
        <sz val="10"/>
        <color rgb="FFFFFFFF"/>
        <rFont val="Meiryo UI"/>
        <family val="0"/>
        <charset val="1"/>
      </rPr>
      <t xml:space="preserve">28</t>
    </r>
    <r>
      <rPr>
        <b val="true"/>
        <sz val="10"/>
        <color rgb="FFFFFFFF"/>
        <rFont val="WenQuanYi Zen Hei"/>
        <family val="2"/>
      </rPr>
      <t xml:space="preserve">日／それ以前）</t>
    </r>
  </si>
  <si>
    <t xml:space="preserve">方針</t>
  </si>
  <si>
    <t xml:space="preserve">主な案件</t>
  </si>
  <si>
    <t xml:space="preserve">口コミサイト活用</t>
  </si>
  <si>
    <t xml:space="preserve">集客＋収益（最優先）</t>
  </si>
  <si>
    <r>
      <rPr>
        <sz val="10"/>
        <rFont val="Meiryo UI"/>
        <family val="0"/>
        <charset val="1"/>
      </rPr>
      <t xml:space="preserve">OpenWork</t>
    </r>
    <r>
      <rPr>
        <sz val="10"/>
        <rFont val="WenQuanYi Zen Hei"/>
        <family val="2"/>
      </rPr>
      <t xml:space="preserve">で勝っている型を転職会議に横展開。「</t>
    </r>
    <r>
      <rPr>
        <sz val="10"/>
        <rFont val="Meiryo UI"/>
        <family val="0"/>
        <charset val="1"/>
      </rPr>
      <t xml:space="preserve">2</t>
    </r>
    <r>
      <rPr>
        <sz val="10"/>
        <rFont val="WenQuanYi Zen Hei"/>
        <family val="2"/>
      </rPr>
      <t xml:space="preserve">サイトで裏取り」という人事の本音で転職会議へ送客</t>
    </r>
  </si>
  <si>
    <r>
      <rPr>
        <sz val="10"/>
        <rFont val="WenQuanYi Zen Hei"/>
        <family val="2"/>
      </rPr>
      <t xml:space="preserve">転職会議（</t>
    </r>
    <r>
      <rPr>
        <sz val="10"/>
        <rFont val="Meiryo UI"/>
        <family val="0"/>
        <charset val="1"/>
      </rPr>
      <t xml:space="preserve">VC</t>
    </r>
    <r>
      <rPr>
        <sz val="10"/>
        <rFont val="WenQuanYi Zen Hei"/>
        <family val="2"/>
      </rPr>
      <t xml:space="preserve">）</t>
    </r>
  </si>
  <si>
    <r>
      <rPr>
        <sz val="10"/>
        <rFont val="Meiryo UI"/>
        <family val="0"/>
        <charset val="1"/>
      </rPr>
      <t xml:space="preserve">IT</t>
    </r>
    <r>
      <rPr>
        <sz val="10"/>
        <rFont val="WenQuanYi Zen Hei"/>
        <family val="2"/>
      </rPr>
      <t xml:space="preserve">企業研究</t>
    </r>
  </si>
  <si>
    <t xml:space="preserve">収益（育成）</t>
  </si>
  <si>
    <r>
      <rPr>
        <sz val="10"/>
        <rFont val="WenQuanYi Zen Hei"/>
        <family val="2"/>
      </rPr>
      <t xml:space="preserve">富士通・</t>
    </r>
    <r>
      <rPr>
        <sz val="10"/>
        <rFont val="Meiryo UI"/>
        <family val="0"/>
        <charset val="1"/>
      </rPr>
      <t xml:space="preserve">NEC</t>
    </r>
    <r>
      <rPr>
        <sz val="10"/>
        <rFont val="WenQuanYi Zen Hei"/>
        <family val="2"/>
      </rPr>
      <t xml:space="preserve">の成功を他社へ横展開（</t>
    </r>
    <r>
      <rPr>
        <sz val="10"/>
        <rFont val="Meiryo UI"/>
        <family val="0"/>
        <charset val="1"/>
      </rPr>
      <t xml:space="preserve">NTT</t>
    </r>
    <r>
      <rPr>
        <sz val="10"/>
        <rFont val="WenQuanYi Zen Hei"/>
        <family val="2"/>
      </rPr>
      <t xml:space="preserve">データ・日立・</t>
    </r>
    <r>
      <rPr>
        <sz val="10"/>
        <rFont val="Meiryo UI"/>
        <family val="0"/>
        <charset val="1"/>
      </rPr>
      <t xml:space="preserve">CTC</t>
    </r>
    <r>
      <rPr>
        <sz val="10"/>
        <rFont val="WenQuanYi Zen Hei"/>
        <family val="2"/>
      </rPr>
      <t xml:space="preserve">・</t>
    </r>
    <r>
      <rPr>
        <sz val="10"/>
        <rFont val="Meiryo UI"/>
        <family val="0"/>
        <charset val="1"/>
      </rPr>
      <t xml:space="preserve">SCSK</t>
    </r>
    <r>
      <rPr>
        <sz val="10"/>
        <rFont val="WenQuanYi Zen Hei"/>
        <family val="2"/>
      </rPr>
      <t xml:space="preserve">・</t>
    </r>
    <r>
      <rPr>
        <sz val="10"/>
        <rFont val="Meiryo UI"/>
        <family val="0"/>
        <charset val="1"/>
      </rPr>
      <t xml:space="preserve">TIS</t>
    </r>
    <r>
      <rPr>
        <sz val="10"/>
        <rFont val="WenQuanYi Zen Hei"/>
        <family val="2"/>
      </rPr>
      <t xml:space="preserve">・</t>
    </r>
    <r>
      <rPr>
        <sz val="10"/>
        <rFont val="Meiryo UI"/>
        <family val="0"/>
        <charset val="1"/>
      </rPr>
      <t xml:space="preserve">NRI</t>
    </r>
    <r>
      <rPr>
        <sz val="10"/>
        <rFont val="WenQuanYi Zen Hei"/>
        <family val="2"/>
      </rPr>
      <t xml:space="preserve">等）。年収・等級・退職金・早期退職など社員と転職検討者の両方の需要を取る</t>
    </r>
  </si>
  <si>
    <r>
      <rPr>
        <sz val="10"/>
        <rFont val="Meiryo UI"/>
        <family val="0"/>
        <charset val="1"/>
      </rPr>
      <t xml:space="preserve">JAC</t>
    </r>
    <r>
      <rPr>
        <sz val="10"/>
        <rFont val="WenQuanYi Zen Hei"/>
        <family val="2"/>
      </rPr>
      <t xml:space="preserve">・リクルートエージェント（</t>
    </r>
    <r>
      <rPr>
        <sz val="10"/>
        <rFont val="Meiryo UI"/>
        <family val="0"/>
        <charset val="1"/>
      </rPr>
      <t xml:space="preserve">VC</t>
    </r>
    <r>
      <rPr>
        <sz val="10"/>
        <rFont val="WenQuanYi Zen Hei"/>
        <family val="2"/>
      </rPr>
      <t xml:space="preserve">）、レバテックダイレクト（</t>
    </r>
    <r>
      <rPr>
        <sz val="10"/>
        <rFont val="Meiryo UI"/>
        <family val="0"/>
        <charset val="1"/>
      </rPr>
      <t xml:space="preserve">A8</t>
    </r>
    <r>
      <rPr>
        <sz val="10"/>
        <rFont val="WenQuanYi Zen Hei"/>
        <family val="2"/>
      </rPr>
      <t xml:space="preserve">）</t>
    </r>
  </si>
  <si>
    <t xml:space="preserve">転職サービス評判</t>
  </si>
  <si>
    <t xml:space="preserve">収益（直結）</t>
  </si>
  <si>
    <r>
      <rPr>
        <sz val="10"/>
        <rFont val="WenQuanYi Zen Hei"/>
        <family val="2"/>
      </rPr>
      <t xml:space="preserve">提携済み案件（リクルートエージェント・</t>
    </r>
    <r>
      <rPr>
        <sz val="10"/>
        <rFont val="Meiryo UI"/>
        <family val="0"/>
        <charset val="1"/>
      </rPr>
      <t xml:space="preserve">JAC</t>
    </r>
    <r>
      <rPr>
        <sz val="10"/>
        <rFont val="WenQuanYi Zen Hei"/>
        <family val="2"/>
      </rPr>
      <t xml:space="preserve">・リクナビ</t>
    </r>
    <r>
      <rPr>
        <sz val="10"/>
        <rFont val="Meiryo UI"/>
        <family val="0"/>
        <charset val="1"/>
      </rPr>
      <t xml:space="preserve">NEXT</t>
    </r>
    <r>
      <rPr>
        <sz val="10"/>
        <rFont val="WenQuanYi Zen Hei"/>
        <family val="2"/>
      </rPr>
      <t xml:space="preserve">・</t>
    </r>
    <r>
      <rPr>
        <sz val="10"/>
        <rFont val="Meiryo UI"/>
        <family val="0"/>
        <charset val="1"/>
      </rPr>
      <t xml:space="preserve">Geekly</t>
    </r>
    <r>
      <rPr>
        <sz val="10"/>
        <rFont val="WenQuanYi Zen Hei"/>
        <family val="2"/>
      </rPr>
      <t xml:space="preserve">・レバテックダイレクト）の評判記事を「企業側から見た評価」で強化。おすすめ記事をハブに</t>
    </r>
  </si>
  <si>
    <t xml:space="preserve">各サービス</t>
  </si>
  <si>
    <t xml:space="preserve">求人票・ブラック企業</t>
  </si>
  <si>
    <t xml:space="preserve">集客＋収益</t>
  </si>
  <si>
    <t xml:space="preserve">唯一縮小中のテーマ。チェックリスト記事をハブに再整備し、「応募前の確認＝転職会議」の導線を統一</t>
  </si>
  <si>
    <r>
      <rPr>
        <sz val="10"/>
        <rFont val="WenQuanYi Zen Hei"/>
        <family val="2"/>
      </rPr>
      <t xml:space="preserve">転職会議（</t>
    </r>
    <r>
      <rPr>
        <sz val="10"/>
        <rFont val="Meiryo UI"/>
        <family val="0"/>
        <charset val="1"/>
      </rPr>
      <t xml:space="preserve">VC</t>
    </r>
    <r>
      <rPr>
        <sz val="10"/>
        <rFont val="WenQuanYi Zen Hei"/>
        <family val="2"/>
      </rPr>
      <t xml:space="preserve">）、リクルートエージェント（</t>
    </r>
    <r>
      <rPr>
        <sz val="10"/>
        <rFont val="Meiryo UI"/>
        <family val="0"/>
        <charset val="1"/>
      </rPr>
      <t xml:space="preserve">VC</t>
    </r>
    <r>
      <rPr>
        <sz val="10"/>
        <rFont val="WenQuanYi Zen Hei"/>
        <family val="2"/>
      </rPr>
      <t xml:space="preserve">）</t>
    </r>
  </si>
  <si>
    <r>
      <rPr>
        <sz val="10"/>
        <rFont val="Meiryo UI"/>
        <family val="0"/>
        <charset val="1"/>
      </rPr>
      <t xml:space="preserve">IPA</t>
    </r>
    <r>
      <rPr>
        <sz val="10"/>
        <rFont val="WenQuanYi Zen Hei"/>
        <family val="2"/>
      </rPr>
      <t xml:space="preserve">試験・</t>
    </r>
    <r>
      <rPr>
        <sz val="10"/>
        <rFont val="Meiryo UI"/>
        <family val="0"/>
        <charset val="1"/>
      </rPr>
      <t xml:space="preserve">IT</t>
    </r>
    <r>
      <rPr>
        <sz val="10"/>
        <rFont val="WenQuanYi Zen Hei"/>
        <family val="2"/>
      </rPr>
      <t xml:space="preserve">資格</t>
    </r>
  </si>
  <si>
    <t xml:space="preserve">集客（信頼）</t>
  </si>
  <si>
    <r>
      <rPr>
        <sz val="10"/>
        <rFont val="WenQuanYi Zen Hei"/>
        <family val="2"/>
      </rPr>
      <t xml:space="preserve">需要は最大だが転職意欲は低い。順位と</t>
    </r>
    <r>
      <rPr>
        <sz val="10"/>
        <rFont val="Meiryo UI"/>
        <family val="0"/>
        <charset val="1"/>
      </rPr>
      <t xml:space="preserve">CTR</t>
    </r>
    <r>
      <rPr>
        <sz val="10"/>
        <rFont val="WenQuanYi Zen Hei"/>
        <family val="2"/>
      </rPr>
      <t xml:space="preserve">を取り切り、ソフト導線（スカウト）で段階的に収益化。応用情報の単独記事を新設</t>
    </r>
  </si>
  <si>
    <r>
      <rPr>
        <sz val="10"/>
        <rFont val="WenQuanYi Zen Hei"/>
        <family val="2"/>
      </rPr>
      <t xml:space="preserve">レバテックダイレクト（</t>
    </r>
    <r>
      <rPr>
        <sz val="10"/>
        <rFont val="Meiryo UI"/>
        <family val="0"/>
        <charset val="1"/>
      </rPr>
      <t xml:space="preserve">A8</t>
    </r>
    <r>
      <rPr>
        <sz val="10"/>
        <rFont val="WenQuanYi Zen Hei"/>
        <family val="2"/>
      </rPr>
      <t xml:space="preserve">）、資格講座（要提携）</t>
    </r>
  </si>
  <si>
    <t xml:space="preserve">選考対策</t>
  </si>
  <si>
    <r>
      <rPr>
        <sz val="10"/>
        <rFont val="WenQuanYi Zen Hei"/>
        <family val="2"/>
      </rPr>
      <t xml:space="preserve">記事が分散しすぎ。書類・面接・</t>
    </r>
    <r>
      <rPr>
        <sz val="10"/>
        <rFont val="Meiryo UI"/>
        <family val="0"/>
        <charset val="1"/>
      </rPr>
      <t xml:space="preserve">AI</t>
    </r>
    <r>
      <rPr>
        <sz val="10"/>
        <rFont val="WenQuanYi Zen Hei"/>
        <family val="2"/>
      </rPr>
      <t xml:space="preserve">書類の</t>
    </r>
    <r>
      <rPr>
        <sz val="10"/>
        <rFont val="Meiryo UI"/>
        <family val="0"/>
        <charset val="1"/>
      </rPr>
      <t xml:space="preserve">3</t>
    </r>
    <r>
      <rPr>
        <sz val="10"/>
        <rFont val="WenQuanYi Zen Hei"/>
        <family val="2"/>
      </rPr>
      <t xml:space="preserve">ハブに統合し、「書類添削・面接対策は無料でエージェントに」で送客</t>
    </r>
  </si>
  <si>
    <r>
      <rPr>
        <sz val="10"/>
        <rFont val="WenQuanYi Zen Hei"/>
        <family val="2"/>
      </rPr>
      <t xml:space="preserve">リクルートエージェント（</t>
    </r>
    <r>
      <rPr>
        <sz val="10"/>
        <rFont val="Meiryo UI"/>
        <family val="0"/>
        <charset val="1"/>
      </rPr>
      <t xml:space="preserve">VC</t>
    </r>
    <r>
      <rPr>
        <sz val="10"/>
        <rFont val="WenQuanYi Zen Hei"/>
        <family val="2"/>
      </rPr>
      <t xml:space="preserve">）</t>
    </r>
  </si>
  <si>
    <r>
      <rPr>
        <sz val="9"/>
        <color rgb="FF595959"/>
        <rFont val="WenQuanYi Zen Hei"/>
        <family val="2"/>
      </rPr>
      <t xml:space="preserve">上記以外（キャリア・働き方／</t>
    </r>
    <r>
      <rPr>
        <sz val="9"/>
        <color rgb="FF595959"/>
        <rFont val="Meiryo UI"/>
        <family val="0"/>
        <charset val="1"/>
      </rPr>
      <t xml:space="preserve">SIer</t>
    </r>
    <r>
      <rPr>
        <sz val="9"/>
        <color rgb="FF595959"/>
        <rFont val="WenQuanYi Zen Hei"/>
        <family val="2"/>
      </rPr>
      <t xml:space="preserve">・</t>
    </r>
    <r>
      <rPr>
        <sz val="9"/>
        <color rgb="FF595959"/>
        <rFont val="Meiryo UI"/>
        <family val="0"/>
        <charset val="1"/>
      </rPr>
      <t xml:space="preserve">SES</t>
    </r>
    <r>
      <rPr>
        <sz val="9"/>
        <color rgb="FF595959"/>
        <rFont val="WenQuanYi Zen Hei"/>
        <family val="2"/>
      </rPr>
      <t xml:space="preserve">業界研究／サイト基本ページ）：</t>
    </r>
    <r>
      <rPr>
        <sz val="9"/>
        <color rgb="FF595959"/>
        <rFont val="Meiryo UI"/>
        <family val="0"/>
        <charset val="1"/>
      </rPr>
      <t xml:space="preserve">31</t>
    </r>
    <r>
      <rPr>
        <sz val="9"/>
        <color rgb="FF595959"/>
        <rFont val="WenQuanYi Zen Hei"/>
        <family val="2"/>
      </rPr>
      <t xml:space="preserve">記事・月間約</t>
    </r>
    <r>
      <rPr>
        <sz val="9"/>
        <color rgb="FF595959"/>
        <rFont val="Meiryo UI"/>
        <family val="0"/>
        <charset val="1"/>
      </rPr>
      <t xml:space="preserve">136</t>
    </r>
    <r>
      <rPr>
        <sz val="9"/>
        <color rgb="FF595959"/>
        <rFont val="WenQuanYi Zen Hei"/>
        <family val="2"/>
      </rPr>
      <t xml:space="preserve">クリック</t>
    </r>
  </si>
  <si>
    <r>
      <rPr>
        <b val="true"/>
        <sz val="12"/>
        <color rgb="FF1F3864"/>
        <rFont val="Meiryo UI"/>
        <family val="0"/>
        <charset val="1"/>
      </rPr>
      <t xml:space="preserve">3. </t>
    </r>
    <r>
      <rPr>
        <b val="true"/>
        <sz val="12"/>
        <color rgb="FF1F3864"/>
        <rFont val="WenQuanYi Zen Hei"/>
        <family val="2"/>
      </rPr>
      <t xml:space="preserve">やめること・減らすこと</t>
    </r>
  </si>
  <si>
    <t xml:space="preserve">理由</t>
  </si>
  <si>
    <t xml:space="preserve">新規テーマを広げない</t>
  </si>
  <si>
    <r>
      <rPr>
        <sz val="10"/>
        <rFont val="WenQuanYi Zen Hei"/>
        <family val="2"/>
      </rPr>
      <t xml:space="preserve">選考対策・キャリア系の単発記事の多くが</t>
    </r>
    <r>
      <rPr>
        <sz val="10"/>
        <rFont val="Meiryo UI"/>
        <family val="0"/>
        <charset val="1"/>
      </rPr>
      <t xml:space="preserve">3</t>
    </r>
    <r>
      <rPr>
        <sz val="10"/>
        <rFont val="WenQuanYi Zen Hei"/>
        <family val="2"/>
      </rPr>
      <t xml:space="preserve">か月の表示</t>
    </r>
    <r>
      <rPr>
        <sz val="10"/>
        <rFont val="Meiryo UI"/>
        <family val="0"/>
        <charset val="1"/>
      </rPr>
      <t xml:space="preserve">100</t>
    </r>
    <r>
      <rPr>
        <sz val="10"/>
        <rFont val="WenQuanYi Zen Hei"/>
        <family val="2"/>
      </rPr>
      <t xml:space="preserve">回未満。当面は上記</t>
    </r>
    <r>
      <rPr>
        <sz val="10"/>
        <rFont val="Meiryo UI"/>
        <family val="0"/>
        <charset val="1"/>
      </rPr>
      <t xml:space="preserve">6</t>
    </r>
    <r>
      <rPr>
        <sz val="10"/>
        <rFont val="WenQuanYi Zen Hei"/>
        <family val="2"/>
      </rPr>
      <t xml:space="preserve">テーマ以外の新規記事を作らない</t>
    </r>
  </si>
  <si>
    <t xml:space="preserve">同じ意図の記事を増やさない</t>
  </si>
  <si>
    <r>
      <rPr>
        <sz val="10"/>
        <rFont val="WenQuanYi Zen Hei"/>
        <family val="2"/>
      </rPr>
      <t xml:space="preserve">書類選考・</t>
    </r>
    <r>
      <rPr>
        <sz val="10"/>
        <rFont val="Meiryo UI"/>
        <family val="0"/>
        <charset val="1"/>
      </rPr>
      <t xml:space="preserve">SIer</t>
    </r>
    <r>
      <rPr>
        <sz val="10"/>
        <rFont val="WenQuanYi Zen Hei"/>
        <family val="2"/>
      </rPr>
      <t xml:space="preserve">一覧・</t>
    </r>
    <r>
      <rPr>
        <sz val="10"/>
        <rFont val="Meiryo UI"/>
        <family val="0"/>
        <charset val="1"/>
      </rPr>
      <t xml:space="preserve">AI</t>
    </r>
    <r>
      <rPr>
        <sz val="10"/>
        <rFont val="WenQuanYi Zen Hei"/>
        <family val="2"/>
      </rPr>
      <t xml:space="preserve">履歴書のように、似た記事を量産すると評価が分散する。新規記事の前に既存記事への追記で足りないかを必ず確認</t>
    </r>
  </si>
  <si>
    <t xml:space="preserve">上位記事の大幅リライト</t>
  </si>
  <si>
    <r>
      <rPr>
        <sz val="10"/>
        <rFont val="Meiryo UI"/>
        <family val="0"/>
        <charset val="1"/>
      </rPr>
      <t xml:space="preserve">OpenWork</t>
    </r>
    <r>
      <rPr>
        <sz val="10"/>
        <rFont val="WenQuanYi Zen Hei"/>
        <family val="2"/>
      </rPr>
      <t xml:space="preserve">グラフ記事（</t>
    </r>
    <r>
      <rPr>
        <sz val="10"/>
        <rFont val="Meiryo UI"/>
        <family val="0"/>
        <charset val="1"/>
      </rPr>
      <t xml:space="preserve">CTR18.6%</t>
    </r>
    <r>
      <rPr>
        <sz val="10"/>
        <rFont val="WenQuanYi Zen Hei"/>
        <family val="2"/>
      </rPr>
      <t xml:space="preserve">）など好調な記事は、導線の追加だけに留める</t>
    </r>
  </si>
  <si>
    <t xml:space="preserve">読者と無関係な広告</t>
  </si>
  <si>
    <t xml:space="preserve">じゃらん・一休などの案件や自動広告は信頼を損なう</t>
  </si>
  <si>
    <r>
      <rPr>
        <b val="true"/>
        <sz val="12"/>
        <color rgb="FF1F3864"/>
        <rFont val="Meiryo UI"/>
        <family val="0"/>
        <charset val="1"/>
      </rPr>
      <t xml:space="preserve">4. </t>
    </r>
    <r>
      <rPr>
        <b val="true"/>
        <sz val="12"/>
        <color rgb="FF1F3864"/>
        <rFont val="WenQuanYi Zen Hei"/>
        <family val="2"/>
      </rPr>
      <t xml:space="preserve">新規記事・追記の候補</t>
    </r>
  </si>
  <si>
    <r>
      <rPr>
        <b val="true"/>
        <sz val="10"/>
        <color rgb="FFFFFFFF"/>
        <rFont val="WenQuanYi Zen Hei"/>
        <family val="2"/>
      </rPr>
      <t xml:space="preserve">仮</t>
    </r>
    <r>
      <rPr>
        <b val="true"/>
        <sz val="10"/>
        <color rgb="FFFFFFFF"/>
        <rFont val="Meiryo UI"/>
        <family val="0"/>
        <charset val="1"/>
      </rPr>
      <t xml:space="preserve">URL</t>
    </r>
    <r>
      <rPr>
        <b val="true"/>
        <sz val="10"/>
        <color rgb="FFFFFFFF"/>
        <rFont val="WenQuanYi Zen Hei"/>
        <family val="2"/>
      </rPr>
      <t xml:space="preserve">・記事</t>
    </r>
  </si>
  <si>
    <t xml:space="preserve">狙うクエリ</t>
  </si>
  <si>
    <t xml:space="preserve">優先度</t>
  </si>
  <si>
    <t xml:space="preserve">/ouyou-jouhou-haishi/</t>
  </si>
  <si>
    <r>
      <rPr>
        <sz val="10"/>
        <rFont val="WenQuanYi Zen Hei"/>
        <family val="2"/>
      </rPr>
      <t xml:space="preserve">応用情報技術者試験 なくなる／いつまで／</t>
    </r>
    <r>
      <rPr>
        <sz val="10"/>
        <rFont val="Meiryo UI"/>
        <family val="0"/>
        <charset val="1"/>
      </rPr>
      <t xml:space="preserve">2027</t>
    </r>
  </si>
  <si>
    <r>
      <rPr>
        <sz val="10"/>
        <rFont val="WenQuanYi Zen Hei"/>
        <family val="2"/>
      </rPr>
      <t xml:space="preserve">関連クエリ計</t>
    </r>
    <r>
      <rPr>
        <sz val="10"/>
        <rFont val="Meiryo UI"/>
        <family val="0"/>
        <charset val="1"/>
      </rPr>
      <t xml:space="preserve">4,000</t>
    </r>
    <r>
      <rPr>
        <sz val="10"/>
        <rFont val="WenQuanYi Zen Hei"/>
        <family val="2"/>
      </rPr>
      <t xml:space="preserve">表示超、総合記事で</t>
    </r>
    <r>
      <rPr>
        <sz val="10"/>
        <rFont val="Meiryo UI"/>
        <family val="0"/>
        <charset val="1"/>
      </rPr>
      <t xml:space="preserve">10</t>
    </r>
    <r>
      <rPr>
        <sz val="10"/>
        <rFont val="WenQuanYi Zen Hei"/>
        <family val="2"/>
      </rPr>
      <t xml:space="preserve">位・</t>
    </r>
    <r>
      <rPr>
        <sz val="10"/>
        <rFont val="Meiryo UI"/>
        <family val="0"/>
        <charset val="1"/>
      </rPr>
      <t xml:space="preserve">CTR1%</t>
    </r>
    <r>
      <rPr>
        <sz val="10"/>
        <rFont val="WenQuanYi Zen Hei"/>
        <family val="2"/>
      </rPr>
      <t xml:space="preserve">未満。</t>
    </r>
    <r>
      <rPr>
        <sz val="10"/>
        <rFont val="Meiryo UI"/>
        <family val="0"/>
        <charset val="1"/>
      </rPr>
      <t xml:space="preserve">*-haishi</t>
    </r>
    <r>
      <rPr>
        <sz val="10"/>
        <rFont val="WenQuanYi Zen Hei"/>
        <family val="2"/>
      </rPr>
      <t xml:space="preserve">シリーズは勝ちパターン</t>
    </r>
  </si>
  <si>
    <t xml:space="preserve">S</t>
  </si>
  <si>
    <r>
      <rPr>
        <sz val="10"/>
        <rFont val="Meiryo UI"/>
        <family val="0"/>
        <charset val="1"/>
      </rPr>
      <t xml:space="preserve">NTT</t>
    </r>
    <r>
      <rPr>
        <sz val="10"/>
        <rFont val="WenQuanYi Zen Hei"/>
        <family val="2"/>
      </rPr>
      <t xml:space="preserve">データ・日立・</t>
    </r>
    <r>
      <rPr>
        <sz val="10"/>
        <rFont val="Meiryo UI"/>
        <family val="0"/>
        <charset val="1"/>
      </rPr>
      <t xml:space="preserve">CTC</t>
    </r>
    <r>
      <rPr>
        <sz val="10"/>
        <rFont val="WenQuanYi Zen Hei"/>
        <family val="2"/>
      </rPr>
      <t xml:space="preserve">・</t>
    </r>
    <r>
      <rPr>
        <sz val="10"/>
        <rFont val="Meiryo UI"/>
        <family val="0"/>
        <charset val="1"/>
      </rPr>
      <t xml:space="preserve">SCSK</t>
    </r>
    <r>
      <rPr>
        <sz val="10"/>
        <rFont val="WenQuanYi Zen Hei"/>
        <family val="2"/>
      </rPr>
      <t xml:space="preserve">の「年収・等級」記事</t>
    </r>
  </si>
  <si>
    <t xml:space="preserve">〇〇 年収／〇〇 等級 年収</t>
  </si>
  <si>
    <r>
      <rPr>
        <sz val="10"/>
        <rFont val="WenQuanYi Zen Hei"/>
        <family val="2"/>
      </rPr>
      <t xml:space="preserve">富士通の年収記事が日次クリック</t>
    </r>
    <r>
      <rPr>
        <sz val="10"/>
        <rFont val="Meiryo UI"/>
        <family val="0"/>
        <charset val="1"/>
      </rPr>
      <t xml:space="preserve">4→23</t>
    </r>
    <r>
      <rPr>
        <sz val="10"/>
        <rFont val="WenQuanYi Zen Hei"/>
        <family val="2"/>
      </rPr>
      <t xml:space="preserve">に急伸。企業研究は収益化しやすい</t>
    </r>
  </si>
  <si>
    <t xml:space="preserve">A</t>
  </si>
  <si>
    <r>
      <rPr>
        <sz val="10"/>
        <rFont val="Meiryo UI"/>
        <family val="0"/>
        <charset val="1"/>
      </rPr>
      <t xml:space="preserve">IT</t>
    </r>
    <r>
      <rPr>
        <sz val="10"/>
        <rFont val="WenQuanYi Zen Hei"/>
        <family val="2"/>
      </rPr>
      <t xml:space="preserve">転職の面接対策ハブ</t>
    </r>
  </si>
  <si>
    <t xml:space="preserve">転職 二次面接 落ちる／最終面接 対策</t>
  </si>
  <si>
    <r>
      <rPr>
        <sz val="10"/>
        <rFont val="WenQuanYi Zen Hei"/>
        <family val="2"/>
      </rPr>
      <t xml:space="preserve">面接系</t>
    </r>
    <r>
      <rPr>
        <sz val="10"/>
        <rFont val="Meiryo UI"/>
        <family val="0"/>
        <charset val="1"/>
      </rPr>
      <t xml:space="preserve">6</t>
    </r>
    <r>
      <rPr>
        <sz val="10"/>
        <rFont val="WenQuanYi Zen Hei"/>
        <family val="2"/>
      </rPr>
      <t xml:space="preserve">記事が分散し、いずれも表示が小さい</t>
    </r>
  </si>
  <si>
    <t xml:space="preserve">B</t>
  </si>
  <si>
    <t xml:space="preserve">転職会議の無料で見る方法（親記事の強化で代替可）</t>
  </si>
  <si>
    <t xml:space="preserve">転職会議 裏ワザ／登録せずに</t>
  </si>
  <si>
    <r>
      <rPr>
        <sz val="10"/>
        <rFont val="WenQuanYi Zen Hei"/>
        <family val="2"/>
      </rPr>
      <t xml:space="preserve">「裏ワザ」</t>
    </r>
    <r>
      <rPr>
        <sz val="10"/>
        <rFont val="Meiryo UI"/>
        <family val="0"/>
        <charset val="1"/>
      </rPr>
      <t xml:space="preserve">254</t>
    </r>
    <r>
      <rPr>
        <sz val="10"/>
        <rFont val="WenQuanYi Zen Hei"/>
        <family val="2"/>
      </rPr>
      <t xml:space="preserve">表示・クリック</t>
    </r>
    <r>
      <rPr>
        <sz val="10"/>
        <rFont val="Meiryo UI"/>
        <family val="0"/>
        <charset val="1"/>
      </rPr>
      <t xml:space="preserve">0</t>
    </r>
    <r>
      <rPr>
        <sz val="10"/>
        <rFont val="WenQuanYi Zen Hei"/>
        <family val="2"/>
      </rPr>
      <t xml:space="preserve">、「登録せずに」</t>
    </r>
    <r>
      <rPr>
        <sz val="10"/>
        <rFont val="Meiryo UI"/>
        <family val="0"/>
        <charset val="1"/>
      </rPr>
      <t xml:space="preserve">182</t>
    </r>
    <r>
      <rPr>
        <sz val="10"/>
        <rFont val="WenQuanYi Zen Hei"/>
        <family val="2"/>
      </rPr>
      <t xml:space="preserve">表示</t>
    </r>
  </si>
  <si>
    <r>
      <rPr>
        <sz val="10"/>
        <rFont val="Meiryo UI"/>
        <family val="0"/>
        <charset val="1"/>
      </rPr>
      <t xml:space="preserve">A</t>
    </r>
    <r>
      <rPr>
        <sz val="10"/>
        <rFont val="WenQuanYi Zen Hei"/>
        <family val="2"/>
      </rPr>
      <t xml:space="preserve">（新規ではなく親記事への追記で対応）</t>
    </r>
  </si>
  <si>
    <r>
      <rPr>
        <b val="true"/>
        <sz val="12"/>
        <color rgb="FF1F3864"/>
        <rFont val="Meiryo UI"/>
        <family val="0"/>
        <charset val="1"/>
      </rPr>
      <t xml:space="preserve">5. </t>
    </r>
    <r>
      <rPr>
        <b val="true"/>
        <sz val="12"/>
        <color rgb="FF1F3864"/>
        <rFont val="WenQuanYi Zen Hei"/>
        <family val="2"/>
      </rPr>
      <t xml:space="preserve">ロードマップ</t>
    </r>
  </si>
  <si>
    <t xml:space="preserve">施策</t>
  </si>
  <si>
    <t xml:space="preserve">完了の目安</t>
  </si>
  <si>
    <t xml:space="preserve">今週</t>
  </si>
  <si>
    <r>
      <rPr>
        <sz val="10"/>
        <rFont val="WenQuanYi Zen Hei"/>
        <family val="2"/>
      </rPr>
      <t xml:space="preserve">無関係な広告の撤去・壊れた</t>
    </r>
    <r>
      <rPr>
        <sz val="10"/>
        <rFont val="Meiryo UI"/>
        <family val="0"/>
        <charset val="1"/>
      </rPr>
      <t xml:space="preserve">URL</t>
    </r>
    <r>
      <rPr>
        <sz val="10"/>
        <rFont val="WenQuanYi Zen Hei"/>
        <family val="2"/>
      </rPr>
      <t xml:space="preserve">の修正・</t>
    </r>
    <r>
      <rPr>
        <sz val="10"/>
        <rFont val="Meiryo UI"/>
        <family val="0"/>
        <charset val="1"/>
      </rPr>
      <t xml:space="preserve">A8</t>
    </r>
    <r>
      <rPr>
        <sz val="10"/>
        <rFont val="WenQuanYi Zen Hei"/>
        <family val="2"/>
      </rPr>
      <t xml:space="preserve">広告の棚卸し</t>
    </r>
  </si>
  <si>
    <r>
      <rPr>
        <sz val="10"/>
        <rFont val="WenQuanYi Zen Hei"/>
        <family val="2"/>
      </rPr>
      <t xml:space="preserve">じゃらん・一休の表示</t>
    </r>
    <r>
      <rPr>
        <sz val="10"/>
        <rFont val="Meiryo UI"/>
        <family val="0"/>
        <charset val="1"/>
      </rPr>
      <t xml:space="preserve">0</t>
    </r>
    <r>
      <rPr>
        <sz val="10"/>
        <rFont val="WenQuanYi Zen Hei"/>
        <family val="2"/>
      </rPr>
      <t xml:space="preserve">、壊れた</t>
    </r>
    <r>
      <rPr>
        <sz val="10"/>
        <rFont val="Meiryo UI"/>
        <family val="0"/>
        <charset val="1"/>
      </rPr>
      <t xml:space="preserve">URL</t>
    </r>
    <r>
      <rPr>
        <sz val="10"/>
        <rFont val="WenQuanYi Zen Hei"/>
        <family val="2"/>
      </rPr>
      <t xml:space="preserve">の</t>
    </r>
    <r>
      <rPr>
        <sz val="10"/>
        <rFont val="Meiryo UI"/>
        <family val="0"/>
        <charset val="1"/>
      </rPr>
      <t xml:space="preserve">301</t>
    </r>
    <r>
      <rPr>
        <sz val="10"/>
        <rFont val="WenQuanYi Zen Hei"/>
        <family val="2"/>
      </rPr>
      <t xml:space="preserve">設定完了</t>
    </r>
  </si>
  <si>
    <r>
      <rPr>
        <sz val="10"/>
        <rFont val="WenQuanYi Zen Hei"/>
        <family val="2"/>
      </rPr>
      <t xml:space="preserve">〜</t>
    </r>
    <r>
      <rPr>
        <sz val="10"/>
        <rFont val="Meiryo UI"/>
        <family val="0"/>
        <charset val="1"/>
      </rPr>
      <t xml:space="preserve">2</t>
    </r>
    <r>
      <rPr>
        <sz val="10"/>
        <rFont val="WenQuanYi Zen Hei"/>
        <family val="2"/>
      </rPr>
      <t xml:space="preserve">週間</t>
    </r>
  </si>
  <si>
    <r>
      <rPr>
        <sz val="10"/>
        <rFont val="WenQuanYi Zen Hei"/>
        <family val="2"/>
      </rPr>
      <t xml:space="preserve">重点</t>
    </r>
    <r>
      <rPr>
        <sz val="10"/>
        <rFont val="Meiryo UI"/>
        <family val="0"/>
        <charset val="1"/>
      </rPr>
      <t xml:space="preserve">9</t>
    </r>
    <r>
      <rPr>
        <sz val="10"/>
        <rFont val="WenQuanYi Zen Hei"/>
        <family val="2"/>
      </rPr>
      <t xml:space="preserve">記事（</t>
    </r>
    <r>
      <rPr>
        <sz val="10"/>
        <rFont val="Meiryo UI"/>
        <family val="0"/>
        <charset val="1"/>
      </rPr>
      <t xml:space="preserve">S</t>
    </r>
    <r>
      <rPr>
        <sz val="10"/>
        <rFont val="WenQuanYi Zen Hei"/>
        <family val="2"/>
      </rPr>
      <t xml:space="preserve">）の導線設置とタイトル変更（導線→</t>
    </r>
    <r>
      <rPr>
        <sz val="10"/>
        <rFont val="Meiryo UI"/>
        <family val="0"/>
        <charset val="1"/>
      </rPr>
      <t xml:space="preserve">2</t>
    </r>
    <r>
      <rPr>
        <sz val="10"/>
        <rFont val="WenQuanYi Zen Hei"/>
        <family val="2"/>
      </rPr>
      <t xml:space="preserve">週間後にタイトル、の順で時期をずらす）</t>
    </r>
  </si>
  <si>
    <r>
      <rPr>
        <sz val="10"/>
        <rFont val="WenQuanYi Zen Hei"/>
        <family val="2"/>
      </rPr>
      <t xml:space="preserve">アフィリエイトクリック 月</t>
    </r>
    <r>
      <rPr>
        <sz val="10"/>
        <rFont val="Meiryo UI"/>
        <family val="0"/>
        <charset val="1"/>
      </rPr>
      <t xml:space="preserve">100</t>
    </r>
  </si>
  <si>
    <r>
      <rPr>
        <sz val="10"/>
        <rFont val="WenQuanYi Zen Hei"/>
        <family val="2"/>
      </rPr>
      <t xml:space="preserve">〜</t>
    </r>
    <r>
      <rPr>
        <sz val="10"/>
        <rFont val="Meiryo UI"/>
        <family val="0"/>
        <charset val="1"/>
      </rPr>
      <t xml:space="preserve">1</t>
    </r>
    <r>
      <rPr>
        <sz val="10"/>
        <rFont val="WenQuanYi Zen Hei"/>
        <family val="2"/>
      </rPr>
      <t xml:space="preserve">か月</t>
    </r>
  </si>
  <si>
    <r>
      <rPr>
        <sz val="10"/>
        <rFont val="Meiryo UI"/>
        <family val="0"/>
        <charset val="1"/>
      </rPr>
      <t xml:space="preserve">A</t>
    </r>
    <r>
      <rPr>
        <sz val="10"/>
        <rFont val="WenQuanYi Zen Hei"/>
        <family val="2"/>
      </rPr>
      <t xml:space="preserve">評価記事のタイトル・説明文修正、転職会議・リクルートエージェント・</t>
    </r>
    <r>
      <rPr>
        <sz val="10"/>
        <rFont val="Meiryo UI"/>
        <family val="0"/>
        <charset val="1"/>
      </rPr>
      <t xml:space="preserve">AI</t>
    </r>
    <r>
      <rPr>
        <sz val="10"/>
        <rFont val="WenQuanYi Zen Hei"/>
        <family val="2"/>
      </rPr>
      <t xml:space="preserve">履歴書のカニバリ解消</t>
    </r>
  </si>
  <si>
    <r>
      <rPr>
        <sz val="10"/>
        <rFont val="WenQuanYi Zen Hei"/>
        <family val="2"/>
      </rPr>
      <t xml:space="preserve">転職会議系</t>
    </r>
    <r>
      <rPr>
        <sz val="10"/>
        <rFont val="Meiryo UI"/>
        <family val="0"/>
        <charset val="1"/>
      </rPr>
      <t xml:space="preserve">CTR 4%</t>
    </r>
  </si>
  <si>
    <r>
      <rPr>
        <sz val="10"/>
        <rFont val="WenQuanYi Zen Hei"/>
        <family val="2"/>
      </rPr>
      <t xml:space="preserve">〜</t>
    </r>
    <r>
      <rPr>
        <sz val="10"/>
        <rFont val="Meiryo UI"/>
        <family val="0"/>
        <charset val="1"/>
      </rPr>
      <t xml:space="preserve">2</t>
    </r>
    <r>
      <rPr>
        <sz val="10"/>
        <rFont val="WenQuanYi Zen Hei"/>
        <family val="2"/>
      </rPr>
      <t xml:space="preserve">か月</t>
    </r>
  </si>
  <si>
    <r>
      <rPr>
        <sz val="10"/>
        <rFont val="WenQuanYi Zen Hei"/>
        <family val="2"/>
      </rPr>
      <t xml:space="preserve">応用情報の新記事、書類選考・</t>
    </r>
    <r>
      <rPr>
        <sz val="10"/>
        <rFont val="Meiryo UI"/>
        <family val="0"/>
        <charset val="1"/>
      </rPr>
      <t xml:space="preserve">SIer</t>
    </r>
    <r>
      <rPr>
        <sz val="10"/>
        <rFont val="WenQuanYi Zen Hei"/>
        <family val="2"/>
      </rPr>
      <t xml:space="preserve">・応募経路の統合（</t>
    </r>
    <r>
      <rPr>
        <sz val="10"/>
        <rFont val="Meiryo UI"/>
        <family val="0"/>
        <charset val="1"/>
      </rPr>
      <t xml:space="preserve">301</t>
    </r>
    <r>
      <rPr>
        <sz val="10"/>
        <rFont val="WenQuanYi Zen Hei"/>
        <family val="2"/>
      </rPr>
      <t xml:space="preserve">）</t>
    </r>
  </si>
  <si>
    <t xml:space="preserve">統合した記事の順位が親記事に集約</t>
  </si>
  <si>
    <r>
      <rPr>
        <sz val="10"/>
        <rFont val="WenQuanYi Zen Hei"/>
        <family val="2"/>
      </rPr>
      <t xml:space="preserve">〜</t>
    </r>
    <r>
      <rPr>
        <sz val="10"/>
        <rFont val="Meiryo UI"/>
        <family val="0"/>
        <charset val="1"/>
      </rPr>
      <t xml:space="preserve">3</t>
    </r>
    <r>
      <rPr>
        <sz val="10"/>
        <rFont val="WenQuanYi Zen Hei"/>
        <family val="2"/>
      </rPr>
      <t xml:space="preserve">か月</t>
    </r>
  </si>
  <si>
    <r>
      <rPr>
        <sz val="10"/>
        <rFont val="WenQuanYi Zen Hei"/>
        <family val="2"/>
      </rPr>
      <t xml:space="preserve">企業研究シリーズの横展開、選考対策ハブの整備、</t>
    </r>
    <r>
      <rPr>
        <sz val="10"/>
        <rFont val="Meiryo UI"/>
        <family val="0"/>
        <charset val="1"/>
      </rPr>
      <t xml:space="preserve">GSC API</t>
    </r>
    <r>
      <rPr>
        <sz val="10"/>
        <rFont val="WenQuanYi Zen Hei"/>
        <family val="2"/>
      </rPr>
      <t xml:space="preserve">で「クエリ</t>
    </r>
    <r>
      <rPr>
        <sz val="10"/>
        <rFont val="Meiryo UI"/>
        <family val="0"/>
        <charset val="1"/>
      </rPr>
      <t xml:space="preserve">×</t>
    </r>
    <r>
      <rPr>
        <sz val="10"/>
        <rFont val="WenQuanYi Zen Hei"/>
        <family val="2"/>
      </rPr>
      <t xml:space="preserve">ページ」データを取得しカニバリを自動判定</t>
    </r>
  </si>
  <si>
    <r>
      <rPr>
        <sz val="10"/>
        <rFont val="WenQuanYi Zen Hei"/>
        <family val="2"/>
      </rPr>
      <t xml:space="preserve">アフィリエイトクリック 月</t>
    </r>
    <r>
      <rPr>
        <sz val="10"/>
        <rFont val="Meiryo UI"/>
        <family val="0"/>
        <charset val="1"/>
      </rPr>
      <t xml:space="preserve">250</t>
    </r>
    <r>
      <rPr>
        <sz val="10"/>
        <rFont val="WenQuanYi Zen Hei"/>
        <family val="2"/>
      </rPr>
      <t xml:space="preserve">、発生</t>
    </r>
    <r>
      <rPr>
        <sz val="10"/>
        <rFont val="Meiryo UI"/>
        <family val="0"/>
        <charset val="1"/>
      </rPr>
      <t xml:space="preserve">10</t>
    </r>
    <r>
      <rPr>
        <sz val="10"/>
        <rFont val="WenQuanYi Zen Hei"/>
        <family val="2"/>
      </rPr>
      <t xml:space="preserve">件</t>
    </r>
  </si>
  <si>
    <r>
      <rPr>
        <b val="true"/>
        <sz val="12"/>
        <color rgb="FF1F3864"/>
        <rFont val="Meiryo UI"/>
        <family val="0"/>
        <charset val="1"/>
      </rPr>
      <t xml:space="preserve">6. KPI</t>
    </r>
    <r>
      <rPr>
        <b val="true"/>
        <sz val="12"/>
        <color rgb="FF1F3864"/>
        <rFont val="WenQuanYi Zen Hei"/>
        <family val="2"/>
      </rPr>
      <t xml:space="preserve">（目標値は目安。</t>
    </r>
    <r>
      <rPr>
        <b val="true"/>
        <sz val="12"/>
        <color rgb="FF1F3864"/>
        <rFont val="Meiryo UI"/>
        <family val="0"/>
        <charset val="1"/>
      </rPr>
      <t xml:space="preserve">2</t>
    </r>
    <r>
      <rPr>
        <b val="true"/>
        <sz val="12"/>
        <color rgb="FF1F3864"/>
        <rFont val="WenQuanYi Zen Hei"/>
        <family val="2"/>
      </rPr>
      <t xml:space="preserve">〜</t>
    </r>
    <r>
      <rPr>
        <b val="true"/>
        <sz val="12"/>
        <color rgb="FF1F3864"/>
        <rFont val="Meiryo UI"/>
        <family val="0"/>
        <charset val="1"/>
      </rPr>
      <t xml:space="preserve">4</t>
    </r>
    <r>
      <rPr>
        <b val="true"/>
        <sz val="12"/>
        <color rgb="FF1F3864"/>
        <rFont val="WenQuanYi Zen Hei"/>
        <family val="2"/>
      </rPr>
      <t xml:space="preserve">週間ごとに見直し）</t>
    </r>
  </si>
  <si>
    <t xml:space="preserve">KPI</t>
  </si>
  <si>
    <t xml:space="preserve">現状</t>
  </si>
  <si>
    <r>
      <rPr>
        <b val="true"/>
        <sz val="10"/>
        <color rgb="FFFFFFFF"/>
        <rFont val="Meiryo UI"/>
        <family val="0"/>
        <charset val="1"/>
      </rPr>
      <t xml:space="preserve">1</t>
    </r>
    <r>
      <rPr>
        <b val="true"/>
        <sz val="10"/>
        <color rgb="FFFFFFFF"/>
        <rFont val="WenQuanYi Zen Hei"/>
        <family val="2"/>
      </rPr>
      <t xml:space="preserve">か月後</t>
    </r>
  </si>
  <si>
    <r>
      <rPr>
        <b val="true"/>
        <sz val="10"/>
        <color rgb="FFFFFFFF"/>
        <rFont val="Meiryo UI"/>
        <family val="0"/>
        <charset val="1"/>
      </rPr>
      <t xml:space="preserve">3</t>
    </r>
    <r>
      <rPr>
        <b val="true"/>
        <sz val="10"/>
        <color rgb="FFFFFFFF"/>
        <rFont val="WenQuanYi Zen Hei"/>
        <family val="2"/>
      </rPr>
      <t xml:space="preserve">か月後</t>
    </r>
  </si>
  <si>
    <t xml:space="preserve">計測方法</t>
  </si>
  <si>
    <r>
      <rPr>
        <sz val="10"/>
        <rFont val="WenQuanYi Zen Hei"/>
        <family val="2"/>
      </rPr>
      <t xml:space="preserve">アフィリエイトクリック／月（全</t>
    </r>
    <r>
      <rPr>
        <sz val="10"/>
        <rFont val="Meiryo UI"/>
        <family val="0"/>
        <charset val="1"/>
      </rPr>
      <t xml:space="preserve">ASP</t>
    </r>
    <r>
      <rPr>
        <sz val="10"/>
        <rFont val="WenQuanYi Zen Hei"/>
        <family val="2"/>
      </rPr>
      <t xml:space="preserve">）</t>
    </r>
  </si>
  <si>
    <r>
      <rPr>
        <sz val="10"/>
        <rFont val="Meiryo UI"/>
        <family val="0"/>
        <charset val="1"/>
      </rPr>
      <t xml:space="preserve">VC</t>
    </r>
    <r>
      <rPr>
        <sz val="10"/>
        <rFont val="WenQuanYi Zen Hei"/>
        <family val="2"/>
      </rPr>
      <t xml:space="preserve">・</t>
    </r>
    <r>
      <rPr>
        <sz val="10"/>
        <rFont val="Meiryo UI"/>
        <family val="0"/>
        <charset val="1"/>
      </rPr>
      <t xml:space="preserve">A8</t>
    </r>
    <r>
      <rPr>
        <sz val="10"/>
        <rFont val="WenQuanYi Zen Hei"/>
        <family val="2"/>
      </rPr>
      <t xml:space="preserve">・もしもの管理画面</t>
    </r>
  </si>
  <si>
    <t xml:space="preserve">流入に対するアフィリエイトクリック率</t>
  </si>
  <si>
    <r>
      <rPr>
        <sz val="10"/>
        <rFont val="WenQuanYi Zen Hei"/>
        <family val="2"/>
      </rPr>
      <t xml:space="preserve">上記</t>
    </r>
    <r>
      <rPr>
        <sz val="10"/>
        <rFont val="Meiryo UI"/>
        <family val="0"/>
        <charset val="1"/>
      </rPr>
      <t xml:space="preserve">÷GSC</t>
    </r>
    <r>
      <rPr>
        <sz val="10"/>
        <rFont val="WenQuanYi Zen Hei"/>
        <family val="2"/>
      </rPr>
      <t xml:space="preserve">クリック</t>
    </r>
  </si>
  <si>
    <t xml:space="preserve">発生成果（件）</t>
  </si>
  <si>
    <r>
      <rPr>
        <sz val="10"/>
        <rFont val="Meiryo UI"/>
        <family val="0"/>
        <charset val="1"/>
      </rPr>
      <t xml:space="preserve">ASP</t>
    </r>
    <r>
      <rPr>
        <sz val="10"/>
        <rFont val="WenQuanYi Zen Hei"/>
        <family val="2"/>
      </rPr>
      <t xml:space="preserve">管理画面</t>
    </r>
  </si>
  <si>
    <r>
      <rPr>
        <sz val="10"/>
        <rFont val="WenQuanYi Zen Hei"/>
        <family val="2"/>
      </rPr>
      <t xml:space="preserve">転職会議系の</t>
    </r>
    <r>
      <rPr>
        <sz val="10"/>
        <rFont val="Meiryo UI"/>
        <family val="0"/>
        <charset val="1"/>
      </rPr>
      <t xml:space="preserve">CTR</t>
    </r>
  </si>
  <si>
    <r>
      <rPr>
        <sz val="10"/>
        <rFont val="Meiryo UI"/>
        <family val="0"/>
        <charset val="1"/>
      </rPr>
      <t xml:space="preserve">GSC</t>
    </r>
    <r>
      <rPr>
        <sz val="10"/>
        <rFont val="WenQuanYi Zen Hei"/>
        <family val="2"/>
      </rPr>
      <t xml:space="preserve">（クエリに「転職会議」を含む）</t>
    </r>
  </si>
  <si>
    <r>
      <rPr>
        <sz val="10"/>
        <rFont val="Meiryo UI"/>
        <family val="0"/>
        <charset val="1"/>
      </rPr>
      <t xml:space="preserve">IPA</t>
    </r>
    <r>
      <rPr>
        <sz val="10"/>
        <rFont val="WenQuanYi Zen Hei"/>
        <family val="2"/>
      </rPr>
      <t xml:space="preserve">改編＋応用情報新記事の</t>
    </r>
    <r>
      <rPr>
        <sz val="10"/>
        <rFont val="Meiryo UI"/>
        <family val="0"/>
        <charset val="1"/>
      </rPr>
      <t xml:space="preserve">CTR</t>
    </r>
  </si>
  <si>
    <r>
      <rPr>
        <sz val="10"/>
        <rFont val="Meiryo UI"/>
        <family val="0"/>
        <charset val="1"/>
      </rPr>
      <t xml:space="preserve">GSC</t>
    </r>
    <r>
      <rPr>
        <sz val="10"/>
        <rFont val="WenQuanYi Zen Hei"/>
        <family val="2"/>
      </rPr>
      <t xml:space="preserve">（ページ）</t>
    </r>
  </si>
  <si>
    <t xml:space="preserve">検索クリック／月</t>
  </si>
  <si>
    <t xml:space="preserve">GSC</t>
  </si>
  <si>
    <r>
      <rPr>
        <sz val="9"/>
        <color rgb="FF595959"/>
        <rFont val="WenQuanYi Zen Hei"/>
        <family val="2"/>
      </rPr>
      <t xml:space="preserve">※青字は目標値（入力値）。</t>
    </r>
    <r>
      <rPr>
        <sz val="9"/>
        <color rgb="FF595959"/>
        <rFont val="Meiryo UI"/>
        <family val="0"/>
        <charset val="1"/>
      </rPr>
      <t xml:space="preserve">KPI</t>
    </r>
    <r>
      <rPr>
        <sz val="9"/>
        <color rgb="FF595959"/>
        <rFont val="WenQuanYi Zen Hei"/>
        <family val="2"/>
      </rPr>
      <t xml:space="preserve">の現状値は</t>
    </r>
    <r>
      <rPr>
        <sz val="9"/>
        <color rgb="FF595959"/>
        <rFont val="Meiryo UI"/>
        <family val="0"/>
        <charset val="1"/>
      </rPr>
      <t xml:space="preserve">2026/10/10</t>
    </r>
    <r>
      <rPr>
        <sz val="9"/>
        <color rgb="FF595959"/>
        <rFont val="WenQuanYi Zen Hei"/>
        <family val="2"/>
      </rPr>
      <t xml:space="preserve">時点のデータ。</t>
    </r>
  </si>
  <si>
    <t xml:space="preserve">全記事の修正点（優先順）</t>
  </si>
  <si>
    <r>
      <rPr>
        <sz val="9"/>
        <color rgb="FF595959"/>
        <rFont val="WenQuanYi Zen Hei"/>
        <family val="2"/>
      </rPr>
      <t xml:space="preserve">優先度 </t>
    </r>
    <r>
      <rPr>
        <sz val="9"/>
        <color rgb="FF595959"/>
        <rFont val="Meiryo UI"/>
        <family val="0"/>
        <charset val="1"/>
      </rPr>
      <t xml:space="preserve">S</t>
    </r>
    <r>
      <rPr>
        <sz val="9"/>
        <color rgb="FF595959"/>
        <rFont val="WenQuanYi Zen Hei"/>
        <family val="2"/>
      </rPr>
      <t xml:space="preserve">：今週〜</t>
    </r>
    <r>
      <rPr>
        <sz val="9"/>
        <color rgb="FF595959"/>
        <rFont val="Meiryo UI"/>
        <family val="0"/>
        <charset val="1"/>
      </rPr>
      <t xml:space="preserve">2</t>
    </r>
    <r>
      <rPr>
        <sz val="9"/>
        <color rgb="FF595959"/>
        <rFont val="WenQuanYi Zen Hei"/>
        <family val="2"/>
      </rPr>
      <t xml:space="preserve">週間／</t>
    </r>
    <r>
      <rPr>
        <sz val="9"/>
        <color rgb="FF595959"/>
        <rFont val="Meiryo UI"/>
        <family val="0"/>
        <charset val="1"/>
      </rPr>
      <t xml:space="preserve">A</t>
    </r>
    <r>
      <rPr>
        <sz val="9"/>
        <color rgb="FF595959"/>
        <rFont val="WenQuanYi Zen Hei"/>
        <family val="2"/>
      </rPr>
      <t xml:space="preserve">：今月中／</t>
    </r>
    <r>
      <rPr>
        <sz val="9"/>
        <color rgb="FF595959"/>
        <rFont val="Meiryo UI"/>
        <family val="0"/>
        <charset val="1"/>
      </rPr>
      <t xml:space="preserve">B</t>
    </r>
    <r>
      <rPr>
        <sz val="9"/>
        <color rgb="FF595959"/>
        <rFont val="WenQuanYi Zen Hei"/>
        <family val="2"/>
      </rPr>
      <t xml:space="preserve">：来月／</t>
    </r>
    <r>
      <rPr>
        <sz val="9"/>
        <color rgb="FF595959"/>
        <rFont val="Meiryo UI"/>
        <family val="0"/>
        <charset val="1"/>
      </rPr>
      <t xml:space="preserve">C</t>
    </r>
    <r>
      <rPr>
        <sz val="9"/>
        <color rgb="FF595959"/>
        <rFont val="WenQuanYi Zen Hei"/>
        <family val="2"/>
      </rPr>
      <t xml:space="preserve">：</t>
    </r>
    <r>
      <rPr>
        <sz val="9"/>
        <color rgb="FF595959"/>
        <rFont val="Meiryo UI"/>
        <family val="0"/>
        <charset val="1"/>
      </rPr>
      <t xml:space="preserve">3</t>
    </r>
    <r>
      <rPr>
        <sz val="9"/>
        <color rgb="FF595959"/>
        <rFont val="WenQuanYi Zen Hei"/>
        <family val="2"/>
      </rPr>
      <t xml:space="preserve">か月以内（統合・整理）／</t>
    </r>
    <r>
      <rPr>
        <sz val="9"/>
        <color rgb="FF595959"/>
        <rFont val="Meiryo UI"/>
        <family val="0"/>
        <charset val="1"/>
      </rPr>
      <t xml:space="preserve">D</t>
    </r>
    <r>
      <rPr>
        <sz val="9"/>
        <color rgb="FF595959"/>
        <rFont val="WenQuanYi Zen Hei"/>
        <family val="2"/>
      </rPr>
      <t xml:space="preserve">：様子見。灰色の列は数値、白い列が修正内容</t>
    </r>
  </si>
  <si>
    <r>
      <rPr>
        <sz val="9"/>
        <color rgb="FF595959"/>
        <rFont val="WenQuanYi Zen Hei"/>
        <family val="2"/>
      </rPr>
      <t xml:space="preserve">凡例：取りこぼし見込み＝表示</t>
    </r>
    <r>
      <rPr>
        <sz val="9"/>
        <color rgb="FF595959"/>
        <rFont val="Meiryo UI"/>
        <family val="0"/>
        <charset val="1"/>
      </rPr>
      <t xml:space="preserve">/</t>
    </r>
    <r>
      <rPr>
        <sz val="9"/>
        <color rgb="FF595959"/>
        <rFont val="WenQuanYi Zen Hei"/>
        <family val="2"/>
      </rPr>
      <t xml:space="preserve">日（</t>
    </r>
    <r>
      <rPr>
        <sz val="9"/>
        <color rgb="FF595959"/>
        <rFont val="Meiryo UI"/>
        <family val="0"/>
        <charset val="1"/>
      </rPr>
      <t xml:space="preserve">28</t>
    </r>
    <r>
      <rPr>
        <sz val="9"/>
        <color rgb="FF595959"/>
        <rFont val="WenQuanYi Zen Hei"/>
        <family val="2"/>
      </rPr>
      <t xml:space="preserve">日）</t>
    </r>
    <r>
      <rPr>
        <sz val="9"/>
        <color rgb="FF595959"/>
        <rFont val="Meiryo UI"/>
        <family val="0"/>
        <charset val="1"/>
      </rPr>
      <t xml:space="preserve">×30×</t>
    </r>
    <r>
      <rPr>
        <sz val="9"/>
        <color rgb="FF595959"/>
        <rFont val="WenQuanYi Zen Hei"/>
        <family val="2"/>
      </rPr>
      <t xml:space="preserve">（目標</t>
    </r>
    <r>
      <rPr>
        <sz val="9"/>
        <color rgb="FF595959"/>
        <rFont val="Meiryo UI"/>
        <family val="0"/>
        <charset val="1"/>
      </rPr>
      <t xml:space="preserve">CTR−CTR</t>
    </r>
    <r>
      <rPr>
        <sz val="9"/>
        <color rgb="FF595959"/>
        <rFont val="WenQuanYi Zen Hei"/>
        <family val="2"/>
      </rPr>
      <t xml:space="preserve">（</t>
    </r>
    <r>
      <rPr>
        <sz val="9"/>
        <color rgb="FF595959"/>
        <rFont val="Meiryo UI"/>
        <family val="0"/>
        <charset val="1"/>
      </rPr>
      <t xml:space="preserve">28</t>
    </r>
    <r>
      <rPr>
        <sz val="9"/>
        <color rgb="FF595959"/>
        <rFont val="WenQuanYi Zen Hei"/>
        <family val="2"/>
      </rPr>
      <t xml:space="preserve">日））。目標</t>
    </r>
    <r>
      <rPr>
        <sz val="9"/>
        <color rgb="FF595959"/>
        <rFont val="Meiryo UI"/>
        <family val="0"/>
        <charset val="1"/>
      </rPr>
      <t xml:space="preserve">CTR</t>
    </r>
    <r>
      <rPr>
        <sz val="9"/>
        <color rgb="FF595959"/>
        <rFont val="WenQuanYi Zen Hei"/>
        <family val="2"/>
      </rPr>
      <t xml:space="preserve">は「目次・前提」シートの表を参照（変更すると再計算）。「所見」が「個別に判断」の行は人が個別に書いた修正案、「自動診断」の行はデータから自動生成した修正案。</t>
    </r>
  </si>
  <si>
    <t xml:space="preserve">優先順位</t>
  </si>
  <si>
    <t xml:space="preserve">対応時期</t>
  </si>
  <si>
    <r>
      <rPr>
        <b val="true"/>
        <sz val="10"/>
        <color rgb="FFFFFFFF"/>
        <rFont val="WenQuanYi Zen Hei"/>
        <family val="2"/>
      </rPr>
      <t xml:space="preserve">記事</t>
    </r>
    <r>
      <rPr>
        <b val="true"/>
        <sz val="10"/>
        <color rgb="FFFFFFFF"/>
        <rFont val="Meiryo UI"/>
        <family val="0"/>
        <charset val="1"/>
      </rPr>
      <t xml:space="preserve">URL</t>
    </r>
  </si>
  <si>
    <t xml:space="preserve">競合グループ</t>
  </si>
  <si>
    <r>
      <rPr>
        <b val="true"/>
        <sz val="10"/>
        <color rgb="FFFFFFFF"/>
        <rFont val="Meiryo UI"/>
        <family val="0"/>
        <charset val="1"/>
      </rPr>
      <t xml:space="preserve">3</t>
    </r>
    <r>
      <rPr>
        <b val="true"/>
        <sz val="10"/>
        <color rgb="FFFFFFFF"/>
        <rFont val="WenQuanYi Zen Hei"/>
        <family val="2"/>
      </rPr>
      <t xml:space="preserve">か月表示</t>
    </r>
  </si>
  <si>
    <r>
      <rPr>
        <b val="true"/>
        <sz val="10"/>
        <color rgb="FFFFFFFF"/>
        <rFont val="Meiryo UI"/>
        <family val="0"/>
        <charset val="1"/>
      </rPr>
      <t xml:space="preserve">3</t>
    </r>
    <r>
      <rPr>
        <b val="true"/>
        <sz val="10"/>
        <color rgb="FFFFFFFF"/>
        <rFont val="WenQuanYi Zen Hei"/>
        <family val="2"/>
      </rPr>
      <t xml:space="preserve">か月クリック</t>
    </r>
  </si>
  <si>
    <r>
      <rPr>
        <b val="true"/>
        <sz val="10"/>
        <color rgb="FFFFFFFF"/>
        <rFont val="Meiryo UI"/>
        <family val="0"/>
        <charset val="1"/>
      </rPr>
      <t xml:space="preserve">3</t>
    </r>
    <r>
      <rPr>
        <b val="true"/>
        <sz val="10"/>
        <color rgb="FFFFFFFF"/>
        <rFont val="WenQuanYi Zen Hei"/>
        <family val="2"/>
      </rPr>
      <t xml:space="preserve">か月</t>
    </r>
    <r>
      <rPr>
        <b val="true"/>
        <sz val="10"/>
        <color rgb="FFFFFFFF"/>
        <rFont val="Meiryo UI"/>
        <family val="0"/>
        <charset val="1"/>
      </rPr>
      <t xml:space="preserve">CTR</t>
    </r>
  </si>
  <si>
    <r>
      <rPr>
        <b val="true"/>
        <sz val="10"/>
        <color rgb="FFFFFFFF"/>
        <rFont val="WenQuanYi Zen Hei"/>
        <family val="2"/>
      </rPr>
      <t xml:space="preserve">平均順位（</t>
    </r>
    <r>
      <rPr>
        <b val="true"/>
        <sz val="10"/>
        <color rgb="FFFFFFFF"/>
        <rFont val="Meiryo UI"/>
        <family val="0"/>
        <charset val="1"/>
      </rPr>
      <t xml:space="preserve">3</t>
    </r>
    <r>
      <rPr>
        <b val="true"/>
        <sz val="10"/>
        <color rgb="FFFFFFFF"/>
        <rFont val="WenQuanYi Zen Hei"/>
        <family val="2"/>
      </rPr>
      <t xml:space="preserve">か月）</t>
    </r>
  </si>
  <si>
    <r>
      <rPr>
        <b val="true"/>
        <sz val="10"/>
        <color rgb="FFFFFFFF"/>
        <rFont val="WenQuanYi Zen Hei"/>
        <family val="2"/>
      </rPr>
      <t xml:space="preserve">平均順位（</t>
    </r>
    <r>
      <rPr>
        <b val="true"/>
        <sz val="10"/>
        <color rgb="FFFFFFFF"/>
        <rFont val="Meiryo UI"/>
        <family val="0"/>
        <charset val="1"/>
      </rPr>
      <t xml:space="preserve">28</t>
    </r>
    <r>
      <rPr>
        <b val="true"/>
        <sz val="10"/>
        <color rgb="FFFFFFFF"/>
        <rFont val="WenQuanYi Zen Hei"/>
        <family val="2"/>
      </rPr>
      <t xml:space="preserve">日）</t>
    </r>
  </si>
  <si>
    <r>
      <rPr>
        <b val="true"/>
        <sz val="10"/>
        <color rgb="FFFFFFFF"/>
        <rFont val="WenQuanYi Zen Hei"/>
        <family val="2"/>
      </rPr>
      <t xml:space="preserve">クリック</t>
    </r>
    <r>
      <rPr>
        <b val="true"/>
        <sz val="10"/>
        <color rgb="FFFFFFFF"/>
        <rFont val="Meiryo UI"/>
        <family val="0"/>
        <charset val="1"/>
      </rPr>
      <t xml:space="preserve">/</t>
    </r>
    <r>
      <rPr>
        <b val="true"/>
        <sz val="10"/>
        <color rgb="FFFFFFFF"/>
        <rFont val="WenQuanYi Zen Hei"/>
        <family val="2"/>
      </rPr>
      <t xml:space="preserve">日（以前）</t>
    </r>
  </si>
  <si>
    <r>
      <rPr>
        <b val="true"/>
        <sz val="10"/>
        <color rgb="FFFFFFFF"/>
        <rFont val="WenQuanYi Zen Hei"/>
        <family val="2"/>
      </rPr>
      <t xml:space="preserve">クリック</t>
    </r>
    <r>
      <rPr>
        <b val="true"/>
        <sz val="10"/>
        <color rgb="FFFFFFFF"/>
        <rFont val="Meiryo UI"/>
        <family val="0"/>
        <charset val="1"/>
      </rPr>
      <t xml:space="preserve">/</t>
    </r>
    <r>
      <rPr>
        <b val="true"/>
        <sz val="10"/>
        <color rgb="FFFFFFFF"/>
        <rFont val="WenQuanYi Zen Hei"/>
        <family val="2"/>
      </rPr>
      <t xml:space="preserve">日（</t>
    </r>
    <r>
      <rPr>
        <b val="true"/>
        <sz val="10"/>
        <color rgb="FFFFFFFF"/>
        <rFont val="Meiryo UI"/>
        <family val="0"/>
        <charset val="1"/>
      </rPr>
      <t xml:space="preserve">28</t>
    </r>
    <r>
      <rPr>
        <b val="true"/>
        <sz val="10"/>
        <color rgb="FFFFFFFF"/>
        <rFont val="WenQuanYi Zen Hei"/>
        <family val="2"/>
      </rPr>
      <t xml:space="preserve">日）</t>
    </r>
  </si>
  <si>
    <t xml:space="preserve">傾向</t>
  </si>
  <si>
    <t xml:space="preserve">月間クリック（換算）</t>
  </si>
  <si>
    <r>
      <rPr>
        <b val="true"/>
        <sz val="10"/>
        <color rgb="FFFFFFFF"/>
        <rFont val="WenQuanYi Zen Hei"/>
        <family val="2"/>
      </rPr>
      <t xml:space="preserve">表示</t>
    </r>
    <r>
      <rPr>
        <b val="true"/>
        <sz val="10"/>
        <color rgb="FFFFFFFF"/>
        <rFont val="Meiryo UI"/>
        <family val="0"/>
        <charset val="1"/>
      </rPr>
      <t xml:space="preserve">/</t>
    </r>
    <r>
      <rPr>
        <b val="true"/>
        <sz val="10"/>
        <color rgb="FFFFFFFF"/>
        <rFont val="WenQuanYi Zen Hei"/>
        <family val="2"/>
      </rPr>
      <t xml:space="preserve">日（</t>
    </r>
    <r>
      <rPr>
        <b val="true"/>
        <sz val="10"/>
        <color rgb="FFFFFFFF"/>
        <rFont val="Meiryo UI"/>
        <family val="0"/>
        <charset val="1"/>
      </rPr>
      <t xml:space="preserve">28</t>
    </r>
    <r>
      <rPr>
        <b val="true"/>
        <sz val="10"/>
        <color rgb="FFFFFFFF"/>
        <rFont val="WenQuanYi Zen Hei"/>
        <family val="2"/>
      </rPr>
      <t xml:space="preserve">日）</t>
    </r>
  </si>
  <si>
    <r>
      <rPr>
        <b val="true"/>
        <sz val="10"/>
        <color rgb="FFFFFFFF"/>
        <rFont val="Meiryo UI"/>
        <family val="0"/>
        <charset val="1"/>
      </rPr>
      <t xml:space="preserve">CTR</t>
    </r>
    <r>
      <rPr>
        <b val="true"/>
        <sz val="10"/>
        <color rgb="FFFFFFFF"/>
        <rFont val="WenQuanYi Zen Hei"/>
        <family val="2"/>
      </rPr>
      <t xml:space="preserve">（</t>
    </r>
    <r>
      <rPr>
        <b val="true"/>
        <sz val="10"/>
        <color rgb="FFFFFFFF"/>
        <rFont val="Meiryo UI"/>
        <family val="0"/>
        <charset val="1"/>
      </rPr>
      <t xml:space="preserve">28</t>
    </r>
    <r>
      <rPr>
        <b val="true"/>
        <sz val="10"/>
        <color rgb="FFFFFFFF"/>
        <rFont val="WenQuanYi Zen Hei"/>
        <family val="2"/>
      </rPr>
      <t xml:space="preserve">日）</t>
    </r>
  </si>
  <si>
    <r>
      <rPr>
        <b val="true"/>
        <sz val="10"/>
        <color rgb="FFFFFFFF"/>
        <rFont val="WenQuanYi Zen Hei"/>
        <family val="2"/>
      </rPr>
      <t xml:space="preserve">取りこぼし見込み（クリック</t>
    </r>
    <r>
      <rPr>
        <b val="true"/>
        <sz val="10"/>
        <color rgb="FFFFFFFF"/>
        <rFont val="Meiryo UI"/>
        <family val="0"/>
        <charset val="1"/>
      </rPr>
      <t xml:space="preserve">/</t>
    </r>
    <r>
      <rPr>
        <b val="true"/>
        <sz val="10"/>
        <color rgb="FFFFFFFF"/>
        <rFont val="WenQuanYi Zen Hei"/>
        <family val="2"/>
      </rPr>
      <t xml:space="preserve">月）</t>
    </r>
  </si>
  <si>
    <r>
      <rPr>
        <b val="true"/>
        <sz val="10"/>
        <color rgb="FFFFFFFF"/>
        <rFont val="WenQuanYi Zen Hei"/>
        <family val="2"/>
      </rPr>
      <t xml:space="preserve">関連クエリ（推定・表示上位</t>
    </r>
    <r>
      <rPr>
        <b val="true"/>
        <sz val="10"/>
        <color rgb="FFFFFFFF"/>
        <rFont val="Meiryo UI"/>
        <family val="0"/>
        <charset val="1"/>
      </rPr>
      <t xml:space="preserve">3</t>
    </r>
    <r>
      <rPr>
        <b val="true"/>
        <sz val="10"/>
        <color rgb="FFFFFFFF"/>
        <rFont val="WenQuanYi Zen Hei"/>
        <family val="2"/>
      </rPr>
      <t xml:space="preserve">）</t>
    </r>
  </si>
  <si>
    <t xml:space="preserve">診断（課題）</t>
  </si>
  <si>
    <t xml:space="preserve">カニバリ判定</t>
  </si>
  <si>
    <t xml:space="preserve">カニバリの詳細</t>
  </si>
  <si>
    <r>
      <rPr>
        <b val="true"/>
        <sz val="10"/>
        <color rgb="FFFFFFFF"/>
        <rFont val="Meiryo UI"/>
        <family val="0"/>
        <charset val="1"/>
      </rPr>
      <t xml:space="preserve">SEO</t>
    </r>
    <r>
      <rPr>
        <b val="true"/>
        <sz val="10"/>
        <color rgb="FFFFFFFF"/>
        <rFont val="WenQuanYi Zen Hei"/>
        <family val="2"/>
      </rPr>
      <t xml:space="preserve">・コンテンツの修正点</t>
    </r>
  </si>
  <si>
    <t xml:space="preserve">タイトル・説明文の修正点</t>
  </si>
  <si>
    <t xml:space="preserve">アフィリエイト導線の修正点</t>
  </si>
  <si>
    <r>
      <rPr>
        <b val="true"/>
        <sz val="10"/>
        <color rgb="FFFFFFFF"/>
        <rFont val="WenQuanYi Zen Hei"/>
        <family val="2"/>
      </rPr>
      <t xml:space="preserve">推奨案件（</t>
    </r>
    <r>
      <rPr>
        <b val="true"/>
        <sz val="10"/>
        <color rgb="FFFFFFFF"/>
        <rFont val="Meiryo UI"/>
        <family val="0"/>
        <charset val="1"/>
      </rPr>
      <t xml:space="preserve">ASP</t>
    </r>
    <r>
      <rPr>
        <b val="true"/>
        <sz val="10"/>
        <color rgb="FFFFFFFF"/>
        <rFont val="WenQuanYi Zen Hei"/>
        <family val="2"/>
      </rPr>
      <t xml:space="preserve">）</t>
    </r>
  </si>
  <si>
    <t xml:space="preserve">工数</t>
  </si>
  <si>
    <t xml:space="preserve">所見</t>
  </si>
  <si>
    <r>
      <rPr>
        <sz val="10"/>
        <rFont val="WenQuanYi Zen Hei"/>
        <family val="2"/>
      </rPr>
      <t xml:space="preserve">今週〜</t>
    </r>
    <r>
      <rPr>
        <sz val="10"/>
        <rFont val="Meiryo UI"/>
        <family val="0"/>
        <charset val="1"/>
      </rPr>
      <t xml:space="preserve">2</t>
    </r>
    <r>
      <rPr>
        <sz val="10"/>
        <rFont val="WenQuanYi Zen Hei"/>
        <family val="2"/>
      </rPr>
      <t xml:space="preserve">週間</t>
    </r>
  </si>
  <si>
    <t xml:space="preserve">/tenshokukaigi-kuchikomi-mikata-tsukaikata/</t>
  </si>
  <si>
    <t xml:space="preserve">転職会議</t>
  </si>
  <si>
    <t xml:space="preserve">横ばい</t>
  </si>
  <si>
    <r>
      <rPr>
        <sz val="10"/>
        <rFont val="WenQuanYi Zen Hei"/>
        <family val="2"/>
      </rPr>
      <t xml:space="preserve">転職会議（</t>
    </r>
    <r>
      <rPr>
        <sz val="10"/>
        <rFont val="Meiryo UI"/>
        <family val="0"/>
        <charset val="1"/>
      </rPr>
      <t xml:space="preserve">1,646</t>
    </r>
    <r>
      <rPr>
        <sz val="10"/>
        <rFont val="WenQuanYi Zen Hei"/>
        <family val="2"/>
      </rPr>
      <t xml:space="preserve">表示・</t>
    </r>
    <r>
      <rPr>
        <sz val="10"/>
        <rFont val="Meiryo UI"/>
        <family val="0"/>
        <charset val="1"/>
      </rPr>
      <t xml:space="preserve">9.6</t>
    </r>
    <r>
      <rPr>
        <sz val="10"/>
        <rFont val="WenQuanYi Zen Hei"/>
        <family val="2"/>
      </rPr>
      <t xml:space="preserve">位・</t>
    </r>
    <r>
      <rPr>
        <sz val="10"/>
        <rFont val="Meiryo UI"/>
        <family val="0"/>
        <charset val="1"/>
      </rPr>
      <t xml:space="preserve">CTR0.5%</t>
    </r>
    <r>
      <rPr>
        <sz val="10"/>
        <rFont val="WenQuanYi Zen Hei"/>
        <family val="2"/>
      </rPr>
      <t xml:space="preserve">） </t>
    </r>
    <r>
      <rPr>
        <sz val="10"/>
        <rFont val="Meiryo UI"/>
        <family val="0"/>
        <charset val="1"/>
      </rPr>
      <t xml:space="preserve">/ </t>
    </r>
    <r>
      <rPr>
        <sz val="10"/>
        <rFont val="WenQuanYi Zen Hei"/>
        <family val="2"/>
      </rPr>
      <t xml:space="preserve">転職会議 口コミ 見る方法（</t>
    </r>
    <r>
      <rPr>
        <sz val="10"/>
        <rFont val="Meiryo UI"/>
        <family val="0"/>
        <charset val="1"/>
      </rPr>
      <t xml:space="preserve">1,027</t>
    </r>
    <r>
      <rPr>
        <sz val="10"/>
        <rFont val="WenQuanYi Zen Hei"/>
        <family val="2"/>
      </rPr>
      <t xml:space="preserve">表示・</t>
    </r>
    <r>
      <rPr>
        <sz val="10"/>
        <rFont val="Meiryo UI"/>
        <family val="0"/>
        <charset val="1"/>
      </rPr>
      <t xml:space="preserve">9.5</t>
    </r>
    <r>
      <rPr>
        <sz val="10"/>
        <rFont val="WenQuanYi Zen Hei"/>
        <family val="2"/>
      </rPr>
      <t xml:space="preserve">位・</t>
    </r>
    <r>
      <rPr>
        <sz val="10"/>
        <rFont val="Meiryo UI"/>
        <family val="0"/>
        <charset val="1"/>
      </rPr>
      <t xml:space="preserve">CTR0.6%</t>
    </r>
    <r>
      <rPr>
        <sz val="10"/>
        <rFont val="WenQuanYi Zen Hei"/>
        <family val="2"/>
      </rPr>
      <t xml:space="preserve">） </t>
    </r>
    <r>
      <rPr>
        <sz val="10"/>
        <rFont val="Meiryo UI"/>
        <family val="0"/>
        <charset val="1"/>
      </rPr>
      <t xml:space="preserve">/ </t>
    </r>
    <r>
      <rPr>
        <sz val="10"/>
        <rFont val="WenQuanYi Zen Hei"/>
        <family val="2"/>
      </rPr>
      <t xml:space="preserve">転職会議 危ない（</t>
    </r>
    <r>
      <rPr>
        <sz val="10"/>
        <rFont val="Meiryo UI"/>
        <family val="0"/>
        <charset val="1"/>
      </rPr>
      <t xml:space="preserve">581</t>
    </r>
    <r>
      <rPr>
        <sz val="10"/>
        <rFont val="WenQuanYi Zen Hei"/>
        <family val="2"/>
      </rPr>
      <t xml:space="preserve">表示・</t>
    </r>
    <r>
      <rPr>
        <sz val="10"/>
        <rFont val="Meiryo UI"/>
        <family val="0"/>
        <charset val="1"/>
      </rPr>
      <t xml:space="preserve">7.9</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</si>
  <si>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15,283</t>
    </r>
    <r>
      <rPr>
        <sz val="10"/>
        <rFont val="WenQuanYi Zen Hei"/>
        <family val="2"/>
      </rPr>
      <t xml:space="preserve">表示（転職会議系で最大）なのに</t>
    </r>
    <r>
      <rPr>
        <sz val="10"/>
        <rFont val="Meiryo UI"/>
        <family val="0"/>
        <charset val="1"/>
      </rPr>
      <t xml:space="preserve">CTR1.0%</t>
    </r>
    <r>
      <rPr>
        <sz val="10"/>
        <rFont val="WenQuanYi Zen Hei"/>
        <family val="2"/>
      </rPr>
      <t xml:space="preserve">・</t>
    </r>
    <r>
      <rPr>
        <sz val="10"/>
        <rFont val="Meiryo UI"/>
        <family val="0"/>
        <charset val="1"/>
      </rPr>
      <t xml:space="preserve">9.7</t>
    </r>
    <r>
      <rPr>
        <sz val="10"/>
        <rFont val="WenQuanYi Zen Hei"/>
        <family val="2"/>
      </rPr>
      <t xml:space="preserve">位。「転職会議」</t>
    </r>
    <r>
      <rPr>
        <sz val="10"/>
        <rFont val="Meiryo UI"/>
        <family val="0"/>
        <charset val="1"/>
      </rPr>
      <t xml:space="preserve">1,646</t>
    </r>
    <r>
      <rPr>
        <sz val="10"/>
        <rFont val="WenQuanYi Zen Hei"/>
        <family val="2"/>
      </rPr>
      <t xml:space="preserve">表示</t>
    </r>
    <r>
      <rPr>
        <sz val="10"/>
        <rFont val="Meiryo UI"/>
        <family val="0"/>
        <charset val="1"/>
      </rPr>
      <t xml:space="preserve">9.6</t>
    </r>
    <r>
      <rPr>
        <sz val="10"/>
        <rFont val="WenQuanYi Zen Hei"/>
        <family val="2"/>
      </rPr>
      <t xml:space="preserve">位</t>
    </r>
    <r>
      <rPr>
        <sz val="10"/>
        <rFont val="Meiryo UI"/>
        <family val="0"/>
        <charset val="1"/>
      </rPr>
      <t xml:space="preserve">CTR0.5%</t>
    </r>
    <r>
      <rPr>
        <sz val="10"/>
        <rFont val="WenQuanYi Zen Hei"/>
        <family val="2"/>
      </rPr>
      <t xml:space="preserve">、「口コミ 見る方法」</t>
    </r>
    <r>
      <rPr>
        <sz val="10"/>
        <rFont val="Meiryo UI"/>
        <family val="0"/>
        <charset val="1"/>
      </rPr>
      <t xml:space="preserve">1,027</t>
    </r>
    <r>
      <rPr>
        <sz val="10"/>
        <rFont val="WenQuanYi Zen Hei"/>
        <family val="2"/>
      </rPr>
      <t xml:space="preserve">表示</t>
    </r>
    <r>
      <rPr>
        <sz val="10"/>
        <rFont val="Meiryo UI"/>
        <family val="0"/>
        <charset val="1"/>
      </rPr>
      <t xml:space="preserve">9.5</t>
    </r>
    <r>
      <rPr>
        <sz val="10"/>
        <rFont val="WenQuanYi Zen Hei"/>
        <family val="2"/>
      </rPr>
      <t xml:space="preserve">位、「危ない」</t>
    </r>
    <r>
      <rPr>
        <sz val="10"/>
        <rFont val="Meiryo UI"/>
        <family val="0"/>
        <charset val="1"/>
      </rPr>
      <t xml:space="preserve">581</t>
    </r>
    <r>
      <rPr>
        <sz val="10"/>
        <rFont val="WenQuanYi Zen Hei"/>
        <family val="2"/>
      </rPr>
      <t xml:space="preserve">表示クリック</t>
    </r>
    <r>
      <rPr>
        <sz val="10"/>
        <rFont val="Meiryo UI"/>
        <family val="0"/>
        <charset val="1"/>
      </rPr>
      <t xml:space="preserve">0</t>
    </r>
    <r>
      <rPr>
        <sz val="10"/>
        <rFont val="WenQuanYi Zen Hei"/>
        <family val="2"/>
      </rPr>
      <t xml:space="preserve">。転職会議は</t>
    </r>
    <r>
      <rPr>
        <sz val="10"/>
        <rFont val="Meiryo UI"/>
        <family val="0"/>
        <charset val="1"/>
      </rPr>
      <t xml:space="preserve">VC</t>
    </r>
    <r>
      <rPr>
        <sz val="10"/>
        <rFont val="WenQuanYi Zen Hei"/>
        <family val="2"/>
      </rPr>
      <t xml:space="preserve">で成果発生実績（</t>
    </r>
    <r>
      <rPr>
        <sz val="10"/>
        <rFont val="Meiryo UI"/>
        <family val="0"/>
        <charset val="1"/>
      </rPr>
      <t xml:space="preserve">9/12</t>
    </r>
    <r>
      <rPr>
        <sz val="10"/>
        <rFont val="WenQuanYi Zen Hei"/>
        <family val="2"/>
      </rPr>
      <t xml:space="preserve">・</t>
    </r>
    <r>
      <rPr>
        <sz val="10"/>
        <rFont val="Meiryo UI"/>
        <family val="0"/>
        <charset val="1"/>
      </rPr>
      <t xml:space="preserve">330</t>
    </r>
    <r>
      <rPr>
        <sz val="10"/>
        <rFont val="WenQuanYi Zen Hei"/>
        <family val="2"/>
      </rPr>
      <t xml:space="preserve">円）がある唯一の案件で、サイトで最も収益に近い記事。</t>
    </r>
  </si>
  <si>
    <t xml:space="preserve">強</t>
  </si>
  <si>
    <r>
      <rPr>
        <sz val="10"/>
        <rFont val="WenQuanYi Zen Hei"/>
        <family val="2"/>
      </rPr>
      <t xml:space="preserve">【転職会議】競合相手：</t>
    </r>
    <r>
      <rPr>
        <sz val="10"/>
        <rFont val="Meiryo UI"/>
        <family val="0"/>
        <charset val="1"/>
      </rPr>
      <t xml:space="preserve">/tenshokukaigi-openwork-comparison/</t>
    </r>
    <r>
      <rPr>
        <sz val="10"/>
        <rFont val="WenQuanYi Zen Hei"/>
        <family val="2"/>
      </rPr>
      <t xml:space="preserve">、</t>
    </r>
    <r>
      <rPr>
        <sz val="10"/>
        <rFont val="Meiryo UI"/>
        <family val="0"/>
        <charset val="1"/>
      </rPr>
      <t xml:space="preserve">/tenshokukaigi-cancel-withdrawal/</t>
    </r>
    <r>
      <rPr>
        <sz val="10"/>
        <rFont val="WenQuanYi Zen Hei"/>
        <family val="2"/>
      </rPr>
      <t xml:space="preserve">、</t>
    </r>
    <r>
      <rPr>
        <sz val="10"/>
        <rFont val="Meiryo UI"/>
        <family val="0"/>
        <charset val="1"/>
      </rPr>
      <t xml:space="preserve">/tenshokukaigi-toroku-bareru/</t>
    </r>
  </si>
  <si>
    <r>
      <rPr>
        <sz val="10"/>
        <rFont val="WenQuanYi Zen Hei"/>
        <family val="2"/>
      </rPr>
      <t xml:space="preserve">転職会議系の親記事に位置付け、「危ない？評判は？」「無料で見る裏ワザ」「登録せずに見る方法」の見出しを追加。比較・身バレ・退会の詳細は各専門記事に任せて</t>
    </r>
    <r>
      <rPr>
        <sz val="10"/>
        <rFont val="Meiryo UI"/>
        <family val="0"/>
        <charset val="1"/>
      </rPr>
      <t xml:space="preserve">3</t>
    </r>
    <r>
      <rPr>
        <sz val="10"/>
        <rFont val="WenQuanYi Zen Hei"/>
        <family val="2"/>
      </rPr>
      <t xml:space="preserve">行要約＋リンク。冒頭に目的別リンク（比較／バレる／退会）。</t>
    </r>
  </si>
  <si>
    <r>
      <rPr>
        <sz val="10"/>
        <rFont val="WenQuanYi Zen Hei"/>
        <family val="2"/>
      </rPr>
      <t xml:space="preserve">【案</t>
    </r>
    <r>
      <rPr>
        <sz val="10"/>
        <rFont val="Meiryo UI"/>
        <family val="0"/>
        <charset val="1"/>
      </rPr>
      <t xml:space="preserve">A</t>
    </r>
    <r>
      <rPr>
        <sz val="10"/>
        <rFont val="WenQuanYi Zen Hei"/>
        <family val="2"/>
      </rPr>
      <t xml:space="preserve">】【人事が解説】転職会議の口コミを無料で見る方法｜危ない？評判も本音で
【案</t>
    </r>
    <r>
      <rPr>
        <sz val="10"/>
        <rFont val="Meiryo UI"/>
        <family val="0"/>
        <charset val="1"/>
      </rPr>
      <t xml:space="preserve">B</t>
    </r>
    <r>
      <rPr>
        <sz val="10"/>
        <rFont val="WenQuanYi Zen Hei"/>
        <family val="2"/>
      </rPr>
      <t xml:space="preserve">】転職会議の口コミの見方｜無料で全部見る方法と「危ない」の真相【現役人事】
【説明文】転職会議の口コミを無料で見る方法を現役</t>
    </r>
    <r>
      <rPr>
        <sz val="10"/>
        <rFont val="Meiryo UI"/>
        <family val="0"/>
        <charset val="1"/>
      </rPr>
      <t xml:space="preserve">IT</t>
    </r>
    <r>
      <rPr>
        <sz val="10"/>
        <rFont val="WenQuanYi Zen Hei"/>
        <family val="2"/>
      </rPr>
      <t xml:space="preserve">人事が画面付きで解説。「危ない」「登録するとバレる？」への答えと、採用側から見た口コミの正しい読み方、</t>
    </r>
    <r>
      <rPr>
        <sz val="10"/>
        <rFont val="Meiryo UI"/>
        <family val="0"/>
        <charset val="1"/>
      </rPr>
      <t xml:space="preserve">OpenWork</t>
    </r>
    <r>
      <rPr>
        <sz val="10"/>
        <rFont val="WenQuanYi Zen Hei"/>
        <family val="2"/>
      </rPr>
      <t xml:space="preserve">との使い分けまで。</t>
    </r>
  </si>
  <si>
    <r>
      <rPr>
        <sz val="10"/>
        <rFont val="WenQuanYi Zen Hei"/>
        <family val="2"/>
      </rPr>
      <t xml:space="preserve">①冒頭の結論ボックス：ボタン「転職会議で気になる会社の口コミを見る（無料）」
②手順</t>
    </r>
    <r>
      <rPr>
        <sz val="10"/>
        <rFont val="Meiryo UI"/>
        <family val="0"/>
        <charset val="1"/>
      </rPr>
      <t xml:space="preserve">1</t>
    </r>
    <r>
      <rPr>
        <sz val="10"/>
        <rFont val="WenQuanYi Zen Hei"/>
        <family val="2"/>
      </rPr>
      <t xml:space="preserve">の中：テキストリンク「まずは公式ページで無料会員登録→」
③「危ない？」の不安を解消した直後：「人事の立場から言うと、投稿者が特定されることはまずない」→ボタン
④記事末の人事の本音ボックス：「面接で口コミの話題を出す企業は多い。面接体験談まで読んだ候補者は準備の深さが違う」→ボタン
※ボタンは</t>
    </r>
    <r>
      <rPr>
        <sz val="10"/>
        <rFont val="Meiryo UI"/>
        <family val="0"/>
        <charset val="1"/>
      </rPr>
      <t xml:space="preserve">3</t>
    </r>
    <r>
      <rPr>
        <sz val="10"/>
        <rFont val="WenQuanYi Zen Hei"/>
        <family val="2"/>
      </rPr>
      <t xml:space="preserve">か所まで。登録条件は公式の最新情報で要確認</t>
    </r>
  </si>
  <si>
    <r>
      <rPr>
        <sz val="10"/>
        <rFont val="WenQuanYi Zen Hei"/>
        <family val="2"/>
      </rPr>
      <t xml:space="preserve">転職会議</t>
    </r>
    <r>
      <rPr>
        <sz val="10"/>
        <rFont val="Meiryo UI"/>
        <family val="0"/>
        <charset val="1"/>
      </rPr>
      <t xml:space="preserve">(VC)</t>
    </r>
  </si>
  <si>
    <t xml:space="preserve">中</t>
  </si>
  <si>
    <t xml:space="preserve">個別に判断</t>
  </si>
  <si>
    <t xml:space="preserve">/openwork-tsukaikata/</t>
  </si>
  <si>
    <t xml:space="preserve">OpenWork</t>
  </si>
  <si>
    <r>
      <rPr>
        <sz val="10"/>
        <rFont val="Meiryo UI"/>
        <family val="0"/>
        <charset val="1"/>
      </rPr>
      <t xml:space="preserve">openwork </t>
    </r>
    <r>
      <rPr>
        <sz val="10"/>
        <rFont val="WenQuanYi Zen Hei"/>
        <family val="2"/>
      </rPr>
      <t xml:space="preserve">口コミ 見るには（</t>
    </r>
    <r>
      <rPr>
        <sz val="10"/>
        <rFont val="Meiryo UI"/>
        <family val="0"/>
        <charset val="1"/>
      </rPr>
      <t xml:space="preserve">2,107</t>
    </r>
    <r>
      <rPr>
        <sz val="10"/>
        <rFont val="WenQuanYi Zen Hei"/>
        <family val="2"/>
      </rPr>
      <t xml:space="preserve">表示・</t>
    </r>
    <r>
      <rPr>
        <sz val="10"/>
        <rFont val="Meiryo UI"/>
        <family val="0"/>
        <charset val="1"/>
      </rPr>
      <t xml:space="preserve">4.0</t>
    </r>
    <r>
      <rPr>
        <sz val="10"/>
        <rFont val="WenQuanYi Zen Hei"/>
        <family val="2"/>
      </rPr>
      <t xml:space="preserve">位・</t>
    </r>
    <r>
      <rPr>
        <sz val="10"/>
        <rFont val="Meiryo UI"/>
        <family val="0"/>
        <charset val="1"/>
      </rPr>
      <t xml:space="preserve">CTR10.0%</t>
    </r>
    <r>
      <rPr>
        <sz val="10"/>
        <rFont val="WenQuanYi Zen Hei"/>
        <family val="2"/>
      </rPr>
      <t xml:space="preserve">） </t>
    </r>
    <r>
      <rPr>
        <sz val="10"/>
        <rFont val="Meiryo UI"/>
        <family val="0"/>
        <charset val="1"/>
      </rPr>
      <t xml:space="preserve">/ </t>
    </r>
    <r>
      <rPr>
        <sz val="10"/>
        <rFont val="WenQuanYi Zen Hei"/>
        <family val="2"/>
      </rPr>
      <t xml:space="preserve">オープンワーク 口コミ 見るには（</t>
    </r>
    <r>
      <rPr>
        <sz val="10"/>
        <rFont val="Meiryo UI"/>
        <family val="0"/>
        <charset val="1"/>
      </rPr>
      <t xml:space="preserve">861</t>
    </r>
    <r>
      <rPr>
        <sz val="10"/>
        <rFont val="WenQuanYi Zen Hei"/>
        <family val="2"/>
      </rPr>
      <t xml:space="preserve">表示・</t>
    </r>
    <r>
      <rPr>
        <sz val="10"/>
        <rFont val="Meiryo UI"/>
        <family val="0"/>
        <charset val="1"/>
      </rPr>
      <t xml:space="preserve">3.5</t>
    </r>
    <r>
      <rPr>
        <sz val="10"/>
        <rFont val="WenQuanYi Zen Hei"/>
        <family val="2"/>
      </rPr>
      <t xml:space="preserve">位・</t>
    </r>
    <r>
      <rPr>
        <sz val="10"/>
        <rFont val="Meiryo UI"/>
        <family val="0"/>
        <charset val="1"/>
      </rPr>
      <t xml:space="preserve">CTR9.5%</t>
    </r>
    <r>
      <rPr>
        <sz val="10"/>
        <rFont val="WenQuanYi Zen Hei"/>
        <family val="2"/>
      </rPr>
      <t xml:space="preserve">） </t>
    </r>
    <r>
      <rPr>
        <sz val="10"/>
        <rFont val="Meiryo UI"/>
        <family val="0"/>
        <charset val="1"/>
      </rPr>
      <t xml:space="preserve">/ </t>
    </r>
    <r>
      <rPr>
        <sz val="10"/>
        <rFont val="WenQuanYi Zen Hei"/>
        <family val="2"/>
      </rPr>
      <t xml:space="preserve">オープンワーク 見方（</t>
    </r>
    <r>
      <rPr>
        <sz val="10"/>
        <rFont val="Meiryo UI"/>
        <family val="0"/>
        <charset val="1"/>
      </rPr>
      <t xml:space="preserve">419</t>
    </r>
    <r>
      <rPr>
        <sz val="10"/>
        <rFont val="WenQuanYi Zen Hei"/>
        <family val="2"/>
      </rPr>
      <t xml:space="preserve">表示・</t>
    </r>
    <r>
      <rPr>
        <sz val="10"/>
        <rFont val="Meiryo UI"/>
        <family val="0"/>
        <charset val="1"/>
      </rPr>
      <t xml:space="preserve">1.1</t>
    </r>
    <r>
      <rPr>
        <sz val="10"/>
        <rFont val="WenQuanYi Zen Hei"/>
        <family val="2"/>
      </rPr>
      <t xml:space="preserve">位・</t>
    </r>
    <r>
      <rPr>
        <sz val="10"/>
        <rFont val="Meiryo UI"/>
        <family val="0"/>
        <charset val="1"/>
      </rPr>
      <t xml:space="preserve">CTR49.2%</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</si>
  <si>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25,323</t>
    </r>
    <r>
      <rPr>
        <sz val="10"/>
        <rFont val="WenQuanYi Zen Hei"/>
        <family val="2"/>
      </rPr>
      <t xml:space="preserve">表示でサイト最大。</t>
    </r>
    <r>
      <rPr>
        <sz val="10"/>
        <rFont val="Meiryo UI"/>
        <family val="0"/>
        <charset val="1"/>
      </rPr>
      <t xml:space="preserve">28</t>
    </r>
    <r>
      <rPr>
        <sz val="10"/>
        <rFont val="WenQuanYi Zen Hei"/>
        <family val="2"/>
      </rPr>
      <t xml:space="preserve">日</t>
    </r>
    <r>
      <rPr>
        <sz val="10"/>
        <rFont val="Meiryo UI"/>
        <family val="0"/>
        <charset val="1"/>
      </rPr>
      <t xml:space="preserve">CTR5.7%</t>
    </r>
    <r>
      <rPr>
        <sz val="10"/>
        <rFont val="WenQuanYi Zen Hei"/>
        <family val="2"/>
      </rPr>
      <t xml:space="preserve">（</t>
    </r>
    <r>
      <rPr>
        <sz val="10"/>
        <rFont val="Meiryo UI"/>
        <family val="0"/>
        <charset val="1"/>
      </rPr>
      <t xml:space="preserve">3</t>
    </r>
    <r>
      <rPr>
        <sz val="10"/>
        <rFont val="WenQuanYi Zen Hei"/>
        <family val="2"/>
      </rPr>
      <t xml:space="preserve">か月</t>
    </r>
    <r>
      <rPr>
        <sz val="10"/>
        <rFont val="Meiryo UI"/>
        <family val="0"/>
        <charset val="1"/>
      </rPr>
      <t xml:space="preserve">4.0%</t>
    </r>
    <r>
      <rPr>
        <sz val="10"/>
        <rFont val="WenQuanYi Zen Hei"/>
        <family val="2"/>
      </rPr>
      <t xml:space="preserve">から改善中）・</t>
    </r>
    <r>
      <rPr>
        <sz val="10"/>
        <rFont val="Meiryo UI"/>
        <family val="0"/>
        <charset val="1"/>
      </rPr>
      <t xml:space="preserve">6.0</t>
    </r>
    <r>
      <rPr>
        <sz val="10"/>
        <rFont val="WenQuanYi Zen Hei"/>
        <family val="2"/>
      </rPr>
      <t xml:space="preserve">位。「</t>
    </r>
    <r>
      <rPr>
        <sz val="10"/>
        <rFont val="Meiryo UI"/>
        <family val="0"/>
        <charset val="1"/>
      </rPr>
      <t xml:space="preserve">openwork </t>
    </r>
    <r>
      <rPr>
        <sz val="10"/>
        <rFont val="WenQuanYi Zen Hei"/>
        <family val="2"/>
      </rPr>
      <t xml:space="preserve">口コミ 見るには」</t>
    </r>
    <r>
      <rPr>
        <sz val="10"/>
        <rFont val="Meiryo UI"/>
        <family val="0"/>
        <charset val="1"/>
      </rPr>
      <t xml:space="preserve">2,107</t>
    </r>
    <r>
      <rPr>
        <sz val="10"/>
        <rFont val="WenQuanYi Zen Hei"/>
        <family val="2"/>
      </rPr>
      <t xml:space="preserve">表示</t>
    </r>
    <r>
      <rPr>
        <sz val="10"/>
        <rFont val="Meiryo UI"/>
        <family val="0"/>
        <charset val="1"/>
      </rPr>
      <t xml:space="preserve">4.0</t>
    </r>
    <r>
      <rPr>
        <sz val="10"/>
        <rFont val="WenQuanYi Zen Hei"/>
        <family val="2"/>
      </rPr>
      <t xml:space="preserve">位</t>
    </r>
    <r>
      <rPr>
        <sz val="10"/>
        <rFont val="Meiryo UI"/>
        <family val="0"/>
        <charset val="1"/>
      </rPr>
      <t xml:space="preserve">CTR10%</t>
    </r>
    <r>
      <rPr>
        <sz val="10"/>
        <rFont val="WenQuanYi Zen Hei"/>
        <family val="2"/>
      </rPr>
      <t xml:space="preserve">は取れているが、「オープンワーク 口コミ」</t>
    </r>
    <r>
      <rPr>
        <sz val="10"/>
        <rFont val="Meiryo UI"/>
        <family val="0"/>
        <charset val="1"/>
      </rPr>
      <t xml:space="preserve">340</t>
    </r>
    <r>
      <rPr>
        <sz val="10"/>
        <rFont val="WenQuanYi Zen Hei"/>
        <family val="2"/>
      </rPr>
      <t xml:space="preserve">表示</t>
    </r>
    <r>
      <rPr>
        <sz val="10"/>
        <rFont val="Meiryo UI"/>
        <family val="0"/>
        <charset val="1"/>
      </rPr>
      <t xml:space="preserve">7.0</t>
    </r>
    <r>
      <rPr>
        <sz val="10"/>
        <rFont val="WenQuanYi Zen Hei"/>
        <family val="2"/>
      </rPr>
      <t xml:space="preserve">位</t>
    </r>
    <r>
      <rPr>
        <sz val="10"/>
        <rFont val="Meiryo UI"/>
        <family val="0"/>
        <charset val="1"/>
      </rPr>
      <t xml:space="preserve">CTR0.3%</t>
    </r>
    <r>
      <rPr>
        <sz val="10"/>
        <rFont val="WenQuanYi Zen Hei"/>
        <family val="2"/>
      </rPr>
      <t xml:space="preserve">、「〜見るには 学生」</t>
    </r>
    <r>
      <rPr>
        <sz val="10"/>
        <rFont val="Meiryo UI"/>
        <family val="0"/>
        <charset val="1"/>
      </rPr>
      <t xml:space="preserve">294</t>
    </r>
    <r>
      <rPr>
        <sz val="10"/>
        <rFont val="WenQuanYi Zen Hei"/>
        <family val="2"/>
      </rPr>
      <t xml:space="preserve">表示</t>
    </r>
    <r>
      <rPr>
        <sz val="10"/>
        <rFont val="Meiryo UI"/>
        <family val="0"/>
        <charset val="1"/>
      </rPr>
      <t xml:space="preserve">8.1</t>
    </r>
    <r>
      <rPr>
        <sz val="10"/>
        <rFont val="WenQuanYi Zen Hei"/>
        <family val="2"/>
      </rPr>
      <t xml:space="preserve">位を取りこぼし。月約</t>
    </r>
    <r>
      <rPr>
        <sz val="10"/>
        <rFont val="Meiryo UI"/>
        <family val="0"/>
        <charset val="1"/>
      </rPr>
      <t xml:space="preserve">400</t>
    </r>
    <r>
      <rPr>
        <sz val="10"/>
        <rFont val="WenQuanYi Zen Hei"/>
        <family val="2"/>
      </rPr>
      <t xml:space="preserve">クリックあるのに、</t>
    </r>
    <r>
      <rPr>
        <sz val="10"/>
        <rFont val="Meiryo UI"/>
        <family val="0"/>
        <charset val="1"/>
      </rPr>
      <t xml:space="preserve">ASP</t>
    </r>
    <r>
      <rPr>
        <sz val="10"/>
        <rFont val="WenQuanYi Zen Hei"/>
        <family val="2"/>
      </rPr>
      <t xml:space="preserve">の表示数から見て収益導線がほぼない。</t>
    </r>
  </si>
  <si>
    <r>
      <rPr>
        <sz val="10"/>
        <rFont val="WenQuanYi Zen Hei"/>
        <family val="2"/>
      </rPr>
      <t xml:space="preserve">【</t>
    </r>
    <r>
      <rPr>
        <sz val="10"/>
        <rFont val="Meiryo UI"/>
        <family val="0"/>
        <charset val="1"/>
      </rPr>
      <t xml:space="preserve">OpenWork</t>
    </r>
    <r>
      <rPr>
        <sz val="10"/>
        <rFont val="WenQuanYi Zen Hei"/>
        <family val="2"/>
      </rPr>
      <t xml:space="preserve">】競合相手：</t>
    </r>
    <r>
      <rPr>
        <sz val="10"/>
        <rFont val="Meiryo UI"/>
        <family val="0"/>
        <charset val="1"/>
      </rPr>
      <t xml:space="preserve">/openwork-graph-mikata/</t>
    </r>
    <r>
      <rPr>
        <sz val="10"/>
        <rFont val="WenQuanYi Zen Hei"/>
        <family val="2"/>
      </rPr>
      <t xml:space="preserve">、</t>
    </r>
    <r>
      <rPr>
        <sz val="10"/>
        <rFont val="Meiryo UI"/>
        <family val="0"/>
        <charset val="1"/>
      </rPr>
      <t xml:space="preserve">/openwork-white-company-mikata/</t>
    </r>
    <r>
      <rPr>
        <sz val="10"/>
        <rFont val="WenQuanYi Zen Hei"/>
        <family val="2"/>
      </rPr>
      <t xml:space="preserve">、</t>
    </r>
    <r>
      <rPr>
        <sz val="10"/>
        <rFont val="Meiryo UI"/>
        <family val="0"/>
        <charset val="1"/>
      </rPr>
      <t xml:space="preserve">/openwork-toroku-bareru/</t>
    </r>
    <r>
      <rPr>
        <sz val="10"/>
        <rFont val="WenQuanYi Zen Hei"/>
        <family val="2"/>
      </rPr>
      <t xml:space="preserve">、</t>
    </r>
    <r>
      <rPr>
        <sz val="10"/>
        <rFont val="Meiryo UI"/>
        <family val="0"/>
        <charset val="1"/>
      </rPr>
      <t xml:space="preserve">/openwork-hikaku-kinou/</t>
    </r>
  </si>
  <si>
    <r>
      <rPr>
        <sz val="10"/>
        <rFont val="WenQuanYi Zen Hei"/>
        <family val="2"/>
      </rPr>
      <t xml:space="preserve">バレる解説は</t>
    </r>
    <r>
      <rPr>
        <sz val="10"/>
        <rFont val="Meiryo UI"/>
        <family val="0"/>
        <charset val="1"/>
      </rPr>
      <t xml:space="preserve">3</t>
    </r>
    <r>
      <rPr>
        <sz val="10"/>
        <rFont val="WenQuanYi Zen Hei"/>
        <family val="2"/>
      </rPr>
      <t xml:space="preserve">行要約＋</t>
    </r>
    <r>
      <rPr>
        <sz val="10"/>
        <rFont val="Meiryo UI"/>
        <family val="0"/>
        <charset val="1"/>
      </rPr>
      <t xml:space="preserve">/openwork-toroku-bareru/</t>
    </r>
    <r>
      <rPr>
        <sz val="10"/>
        <rFont val="WenQuanYi Zen Hei"/>
        <family val="2"/>
      </rPr>
      <t xml:space="preserve">へのリンクに縮小し、「口コミを見る方法（投稿・</t>
    </r>
    <r>
      <rPr>
        <sz val="10"/>
        <rFont val="Meiryo UI"/>
        <family val="0"/>
        <charset val="1"/>
      </rPr>
      <t xml:space="preserve">Web</t>
    </r>
    <r>
      <rPr>
        <sz val="10"/>
        <rFont val="WenQuanYi Zen Hei"/>
        <family val="2"/>
      </rPr>
      <t xml:space="preserve">履歴書・学生）」「見れない時の対処」に集中。学生向け見出しを新設。「あてにならない」「サクラ」（計</t>
    </r>
    <r>
      <rPr>
        <sz val="10"/>
        <rFont val="Meiryo UI"/>
        <family val="0"/>
        <charset val="1"/>
      </rPr>
      <t xml:space="preserve">300</t>
    </r>
    <r>
      <rPr>
        <sz val="10"/>
        <rFont val="WenQuanYi Zen Hei"/>
        <family val="2"/>
      </rPr>
      <t xml:space="preserve">表示超）に答える見出しを追加。</t>
    </r>
  </si>
  <si>
    <r>
      <rPr>
        <sz val="10"/>
        <rFont val="WenQuanYi Zen Hei"/>
        <family val="2"/>
      </rPr>
      <t xml:space="preserve">【案</t>
    </r>
    <r>
      <rPr>
        <sz val="10"/>
        <rFont val="Meiryo UI"/>
        <family val="0"/>
        <charset val="1"/>
      </rPr>
      <t xml:space="preserve">A</t>
    </r>
    <r>
      <rPr>
        <sz val="10"/>
        <rFont val="WenQuanYi Zen Hei"/>
        <family val="2"/>
      </rPr>
      <t xml:space="preserve">】</t>
    </r>
    <r>
      <rPr>
        <sz val="10"/>
        <rFont val="Meiryo UI"/>
        <family val="0"/>
        <charset val="1"/>
      </rPr>
      <t xml:space="preserve">OpenWork</t>
    </r>
    <r>
      <rPr>
        <sz val="10"/>
        <rFont val="WenQuanYi Zen Hei"/>
        <family val="2"/>
      </rPr>
      <t xml:space="preserve">の口コミを見るには？無料で見る</t>
    </r>
    <r>
      <rPr>
        <sz val="10"/>
        <rFont val="Meiryo UI"/>
        <family val="0"/>
        <charset val="1"/>
      </rPr>
      <t xml:space="preserve">3</t>
    </r>
    <r>
      <rPr>
        <sz val="10"/>
        <rFont val="WenQuanYi Zen Hei"/>
        <family val="2"/>
      </rPr>
      <t xml:space="preserve">つの方法【現役人事が解説】
【案</t>
    </r>
    <r>
      <rPr>
        <sz val="10"/>
        <rFont val="Meiryo UI"/>
        <family val="0"/>
        <charset val="1"/>
      </rPr>
      <t xml:space="preserve">B</t>
    </r>
    <r>
      <rPr>
        <sz val="10"/>
        <rFont val="WenQuanYi Zen Hei"/>
        <family val="2"/>
      </rPr>
      <t xml:space="preserve">】</t>
    </r>
    <r>
      <rPr>
        <sz val="10"/>
        <rFont val="Meiryo UI"/>
        <family val="0"/>
        <charset val="1"/>
      </rPr>
      <t xml:space="preserve">OpenWork</t>
    </r>
    <r>
      <rPr>
        <sz val="10"/>
        <rFont val="WenQuanYi Zen Hei"/>
        <family val="2"/>
      </rPr>
      <t xml:space="preserve">（オープンワーク）の使い方｜口コミを無料で見る方法と見れない時の対処
【説明文】</t>
    </r>
    <r>
      <rPr>
        <sz val="10"/>
        <rFont val="Meiryo UI"/>
        <family val="0"/>
        <charset val="1"/>
      </rPr>
      <t xml:space="preserve">OpenWork</t>
    </r>
    <r>
      <rPr>
        <sz val="10"/>
        <rFont val="WenQuanYi Zen Hei"/>
        <family val="2"/>
      </rPr>
      <t xml:space="preserve">の口コミを無料で見る方法を現役</t>
    </r>
    <r>
      <rPr>
        <sz val="10"/>
        <rFont val="Meiryo UI"/>
        <family val="0"/>
        <charset val="1"/>
      </rPr>
      <t xml:space="preserve">IT</t>
    </r>
    <r>
      <rPr>
        <sz val="10"/>
        <rFont val="WenQuanYi Zen Hei"/>
        <family val="2"/>
      </rPr>
      <t xml:space="preserve">人事が解説。口コミ投稿・</t>
    </r>
    <r>
      <rPr>
        <sz val="10"/>
        <rFont val="Meiryo UI"/>
        <family val="0"/>
        <charset val="1"/>
      </rPr>
      <t xml:space="preserve">Web</t>
    </r>
    <r>
      <rPr>
        <sz val="10"/>
        <rFont val="WenQuanYi Zen Hei"/>
        <family val="2"/>
      </rPr>
      <t xml:space="preserve">履歴書・学生の場合の見方、「見れない」時の対処、登録で会社にバレるかまで。採用側が実際に見ているポイントも紹介。</t>
    </r>
  </si>
  <si>
    <r>
      <rPr>
        <sz val="10"/>
        <rFont val="WenQuanYi Zen Hei"/>
        <family val="2"/>
      </rPr>
      <t xml:space="preserve">①「口コミが見れない時の対処」：</t>
    </r>
    <r>
      <rPr>
        <sz val="10"/>
        <rFont val="Meiryo UI"/>
        <family val="0"/>
        <charset val="1"/>
      </rPr>
      <t xml:space="preserve">OpenWork</t>
    </r>
    <r>
      <rPr>
        <sz val="10"/>
        <rFont val="WenQuanYi Zen Hei"/>
        <family val="2"/>
      </rPr>
      <t xml:space="preserve">で投稿したくない人向けの代替として転職会議（テキストリンク。閲覧条件は公式で要確認）
②「口コミの正しい読み方」の末尾に人事の本音ボックス：「口コミは辞めた人ほど書くので</t>
    </r>
    <r>
      <rPr>
        <sz val="10"/>
        <rFont val="Meiryo UI"/>
        <family val="0"/>
        <charset val="1"/>
      </rPr>
      <t xml:space="preserve">1</t>
    </r>
    <r>
      <rPr>
        <sz val="10"/>
        <rFont val="WenQuanYi Zen Hei"/>
        <family val="2"/>
      </rPr>
      <t xml:space="preserve">サイトだと偏る。私は他社を調べる時、</t>
    </r>
    <r>
      <rPr>
        <sz val="10"/>
        <rFont val="Meiryo UI"/>
        <family val="0"/>
        <charset val="1"/>
      </rPr>
      <t xml:space="preserve">2</t>
    </r>
    <r>
      <rPr>
        <sz val="10"/>
        <rFont val="WenQuanYi Zen Hei"/>
        <family val="2"/>
      </rPr>
      <t xml:space="preserve">サイトで同じ傾向が出るか必ず確認する」→ボタン「転職会議で同じ会社の口コミを見比べる（無料）」
③記事末：「部署ごとの実態はエージェントに聞くのが早い」→</t>
    </r>
    <r>
      <rPr>
        <sz val="10"/>
        <rFont val="Meiryo UI"/>
        <family val="0"/>
        <charset val="1"/>
      </rPr>
      <t xml:space="preserve">/it-tensyoku-agent-osusume/</t>
    </r>
  </si>
  <si>
    <t xml:space="preserve">/openwork-graph-mikata/</t>
  </si>
  <si>
    <r>
      <rPr>
        <sz val="10"/>
        <rFont val="WenQuanYi Zen Hei"/>
        <family val="2"/>
      </rPr>
      <t xml:space="preserve">オープンワーク 形（</t>
    </r>
    <r>
      <rPr>
        <sz val="10"/>
        <rFont val="Meiryo UI"/>
        <family val="0"/>
        <charset val="1"/>
      </rPr>
      <t xml:space="preserve">1,260</t>
    </r>
    <r>
      <rPr>
        <sz val="10"/>
        <rFont val="WenQuanYi Zen Hei"/>
        <family val="2"/>
      </rPr>
      <t xml:space="preserve">表示・</t>
    </r>
    <r>
      <rPr>
        <sz val="10"/>
        <rFont val="Meiryo UI"/>
        <family val="0"/>
        <charset val="1"/>
      </rPr>
      <t xml:space="preserve">1.8</t>
    </r>
    <r>
      <rPr>
        <sz val="10"/>
        <rFont val="WenQuanYi Zen Hei"/>
        <family val="2"/>
      </rPr>
      <t xml:space="preserve">位・</t>
    </r>
    <r>
      <rPr>
        <sz val="10"/>
        <rFont val="Meiryo UI"/>
        <family val="0"/>
        <charset val="1"/>
      </rPr>
      <t xml:space="preserve">CTR33.4%</t>
    </r>
    <r>
      <rPr>
        <sz val="10"/>
        <rFont val="WenQuanYi Zen Hei"/>
        <family val="2"/>
      </rPr>
      <t xml:space="preserve">） </t>
    </r>
    <r>
      <rPr>
        <sz val="10"/>
        <rFont val="Meiryo UI"/>
        <family val="0"/>
        <charset val="1"/>
      </rPr>
      <t xml:space="preserve">/ </t>
    </r>
    <r>
      <rPr>
        <sz val="10"/>
        <rFont val="WenQuanYi Zen Hei"/>
        <family val="2"/>
      </rPr>
      <t xml:space="preserve">オープンワーク 見方（</t>
    </r>
    <r>
      <rPr>
        <sz val="10"/>
        <rFont val="Meiryo UI"/>
        <family val="0"/>
        <charset val="1"/>
      </rPr>
      <t xml:space="preserve">419</t>
    </r>
    <r>
      <rPr>
        <sz val="10"/>
        <rFont val="WenQuanYi Zen Hei"/>
        <family val="2"/>
      </rPr>
      <t xml:space="preserve">表示・</t>
    </r>
    <r>
      <rPr>
        <sz val="10"/>
        <rFont val="Meiryo UI"/>
        <family val="0"/>
        <charset val="1"/>
      </rPr>
      <t xml:space="preserve">1.1</t>
    </r>
    <r>
      <rPr>
        <sz val="10"/>
        <rFont val="WenQuanYi Zen Hei"/>
        <family val="2"/>
      </rPr>
      <t xml:space="preserve">位・</t>
    </r>
    <r>
      <rPr>
        <sz val="10"/>
        <rFont val="Meiryo UI"/>
        <family val="0"/>
        <charset val="1"/>
      </rPr>
      <t xml:space="preserve">CTR49.2%</t>
    </r>
    <r>
      <rPr>
        <sz val="10"/>
        <rFont val="WenQuanYi Zen Hei"/>
        <family val="2"/>
      </rPr>
      <t xml:space="preserve">） </t>
    </r>
    <r>
      <rPr>
        <sz val="10"/>
        <rFont val="Meiryo UI"/>
        <family val="0"/>
        <charset val="1"/>
      </rPr>
      <t xml:space="preserve">/ </t>
    </r>
    <r>
      <rPr>
        <sz val="10"/>
        <rFont val="WenQuanYi Zen Hei"/>
        <family val="2"/>
      </rPr>
      <t xml:space="preserve">オープンワーク 評価 目安（</t>
    </r>
    <r>
      <rPr>
        <sz val="10"/>
        <rFont val="Meiryo UI"/>
        <family val="0"/>
        <charset val="1"/>
      </rPr>
      <t xml:space="preserve">387</t>
    </r>
    <r>
      <rPr>
        <sz val="10"/>
        <rFont val="WenQuanYi Zen Hei"/>
        <family val="2"/>
      </rPr>
      <t xml:space="preserve">表示・</t>
    </r>
    <r>
      <rPr>
        <sz val="10"/>
        <rFont val="Meiryo UI"/>
        <family val="0"/>
        <charset val="1"/>
      </rPr>
      <t xml:space="preserve">4.6</t>
    </r>
    <r>
      <rPr>
        <sz val="10"/>
        <rFont val="WenQuanYi Zen Hei"/>
        <family val="2"/>
      </rPr>
      <t xml:space="preserve">位・</t>
    </r>
    <r>
      <rPr>
        <sz val="10"/>
        <rFont val="Meiryo UI"/>
        <family val="0"/>
        <charset val="1"/>
      </rPr>
      <t xml:space="preserve">CTR8.3%</t>
    </r>
    <r>
      <rPr>
        <sz val="10"/>
        <rFont val="WenQuanYi Zen Hei"/>
        <family val="2"/>
      </rPr>
      <t xml:space="preserve">）</t>
    </r>
  </si>
  <si>
    <r>
      <rPr>
        <sz val="10"/>
        <rFont val="WenQuanYi Zen Hei"/>
        <family val="2"/>
      </rPr>
      <t xml:space="preserve">月約</t>
    </r>
    <r>
      <rPr>
        <sz val="10"/>
        <rFont val="Meiryo UI"/>
        <family val="0"/>
        <charset val="1"/>
      </rPr>
      <t xml:space="preserve">820</t>
    </r>
    <r>
      <rPr>
        <sz val="10"/>
        <rFont val="WenQuanYi Zen Hei"/>
        <family val="2"/>
      </rPr>
      <t xml:space="preserve">クリック・</t>
    </r>
    <r>
      <rPr>
        <sz val="10"/>
        <rFont val="Meiryo UI"/>
        <family val="0"/>
        <charset val="1"/>
      </rPr>
      <t xml:space="preserve">4.4</t>
    </r>
    <r>
      <rPr>
        <sz val="10"/>
        <rFont val="WenQuanYi Zen Hei"/>
        <family val="2"/>
      </rPr>
      <t xml:space="preserve">位・</t>
    </r>
    <r>
      <rPr>
        <sz val="10"/>
        <rFont val="Meiryo UI"/>
        <family val="0"/>
        <charset val="1"/>
      </rPr>
      <t xml:space="preserve">CTR18.6%</t>
    </r>
    <r>
      <rPr>
        <sz val="10"/>
        <rFont val="WenQuanYi Zen Hei"/>
        <family val="2"/>
      </rPr>
      <t xml:space="preserve">のサイト最大の稼ぎ頭（検索流入の約</t>
    </r>
    <r>
      <rPr>
        <sz val="10"/>
        <rFont val="Meiryo UI"/>
        <family val="0"/>
        <charset val="1"/>
      </rPr>
      <t xml:space="preserve">17%</t>
    </r>
    <r>
      <rPr>
        <sz val="10"/>
        <rFont val="WenQuanYi Zen Hei"/>
        <family val="2"/>
      </rPr>
      <t xml:space="preserve">）。「オープンワーク 形」</t>
    </r>
    <r>
      <rPr>
        <sz val="10"/>
        <rFont val="Meiryo UI"/>
        <family val="0"/>
        <charset val="1"/>
      </rPr>
      <t xml:space="preserve">1,260</t>
    </r>
    <r>
      <rPr>
        <sz val="10"/>
        <rFont val="WenQuanYi Zen Hei"/>
        <family val="2"/>
      </rPr>
      <t xml:space="preserve">表示</t>
    </r>
    <r>
      <rPr>
        <sz val="10"/>
        <rFont val="Meiryo UI"/>
        <family val="0"/>
        <charset val="1"/>
      </rPr>
      <t xml:space="preserve">1.8</t>
    </r>
    <r>
      <rPr>
        <sz val="10"/>
        <rFont val="WenQuanYi Zen Hei"/>
        <family val="2"/>
      </rPr>
      <t xml:space="preserve">位など</t>
    </r>
    <r>
      <rPr>
        <sz val="10"/>
        <rFont val="Meiryo UI"/>
        <family val="0"/>
        <charset val="1"/>
      </rPr>
      <t xml:space="preserve">1</t>
    </r>
    <r>
      <rPr>
        <sz val="10"/>
        <rFont val="WenQuanYi Zen Hei"/>
        <family val="2"/>
      </rPr>
      <t xml:space="preserve">〜</t>
    </r>
    <r>
      <rPr>
        <sz val="10"/>
        <rFont val="Meiryo UI"/>
        <family val="0"/>
        <charset val="1"/>
      </rPr>
      <t xml:space="preserve">2</t>
    </r>
    <r>
      <rPr>
        <sz val="10"/>
        <rFont val="WenQuanYi Zen Hei"/>
        <family val="2"/>
      </rPr>
      <t xml:space="preserve">位を多数獲得し、</t>
    </r>
    <r>
      <rPr>
        <sz val="10"/>
        <rFont val="Meiryo UI"/>
        <family val="0"/>
        <charset val="1"/>
      </rPr>
      <t xml:space="preserve">SEO</t>
    </r>
    <r>
      <rPr>
        <sz val="10"/>
        <rFont val="WenQuanYi Zen Hei"/>
        <family val="2"/>
      </rPr>
      <t xml:space="preserve">は完成度が高い。課題は収益導線だけ。この</t>
    </r>
    <r>
      <rPr>
        <sz val="10"/>
        <rFont val="Meiryo UI"/>
        <family val="0"/>
        <charset val="1"/>
      </rPr>
      <t xml:space="preserve">1</t>
    </r>
    <r>
      <rPr>
        <sz val="10"/>
        <rFont val="WenQuanYi Zen Hei"/>
        <family val="2"/>
      </rPr>
      <t xml:space="preserve">記事が落ちるとサイト全体が約</t>
    </r>
    <r>
      <rPr>
        <sz val="10"/>
        <rFont val="Meiryo UI"/>
        <family val="0"/>
        <charset val="1"/>
      </rPr>
      <t xml:space="preserve">2</t>
    </r>
    <r>
      <rPr>
        <sz val="10"/>
        <rFont val="WenQuanYi Zen Hei"/>
        <family val="2"/>
      </rPr>
      <t xml:space="preserve">割落ちる依存構造。</t>
    </r>
  </si>
  <si>
    <r>
      <rPr>
        <sz val="10"/>
        <rFont val="WenQuanYi Zen Hei"/>
        <family val="2"/>
      </rPr>
      <t xml:space="preserve">【</t>
    </r>
    <r>
      <rPr>
        <sz val="10"/>
        <rFont val="Meiryo UI"/>
        <family val="0"/>
        <charset val="1"/>
      </rPr>
      <t xml:space="preserve">OpenWork</t>
    </r>
    <r>
      <rPr>
        <sz val="10"/>
        <rFont val="WenQuanYi Zen Hei"/>
        <family val="2"/>
      </rPr>
      <t xml:space="preserve">】競合相手：</t>
    </r>
    <r>
      <rPr>
        <sz val="10"/>
        <rFont val="Meiryo UI"/>
        <family val="0"/>
        <charset val="1"/>
      </rPr>
      <t xml:space="preserve">/openwork-tsukaikata/</t>
    </r>
    <r>
      <rPr>
        <sz val="10"/>
        <rFont val="WenQuanYi Zen Hei"/>
        <family val="2"/>
      </rPr>
      <t xml:space="preserve">、</t>
    </r>
    <r>
      <rPr>
        <sz val="10"/>
        <rFont val="Meiryo UI"/>
        <family val="0"/>
        <charset val="1"/>
      </rPr>
      <t xml:space="preserve">/openwork-white-company-mikata/</t>
    </r>
    <r>
      <rPr>
        <sz val="10"/>
        <rFont val="WenQuanYi Zen Hei"/>
        <family val="2"/>
      </rPr>
      <t xml:space="preserve">、</t>
    </r>
    <r>
      <rPr>
        <sz val="10"/>
        <rFont val="Meiryo UI"/>
        <family val="0"/>
        <charset val="1"/>
      </rPr>
      <t xml:space="preserve">/openwork-toroku-bareru/</t>
    </r>
    <r>
      <rPr>
        <sz val="10"/>
        <rFont val="WenQuanYi Zen Hei"/>
        <family val="2"/>
      </rPr>
      <t xml:space="preserve">、</t>
    </r>
    <r>
      <rPr>
        <sz val="10"/>
        <rFont val="Meiryo UI"/>
        <family val="0"/>
        <charset val="1"/>
      </rPr>
      <t xml:space="preserve">/openwork-hikaku-kinou/</t>
    </r>
  </si>
  <si>
    <r>
      <rPr>
        <sz val="10"/>
        <rFont val="WenQuanYi Zen Hei"/>
        <family val="2"/>
      </rPr>
      <t xml:space="preserve">本文の大幅リライトは禁止（順位を崩すリスク）。「ダイヤモンド型／逆ダイヤ型」（計</t>
    </r>
    <r>
      <rPr>
        <sz val="10"/>
        <rFont val="Meiryo UI"/>
        <family val="0"/>
        <charset val="1"/>
      </rPr>
      <t xml:space="preserve">260</t>
    </r>
    <r>
      <rPr>
        <sz val="10"/>
        <rFont val="WenQuanYi Zen Hei"/>
        <family val="2"/>
      </rPr>
      <t xml:space="preserve">表示超・</t>
    </r>
    <r>
      <rPr>
        <sz val="10"/>
        <rFont val="Meiryo UI"/>
        <family val="0"/>
        <charset val="1"/>
      </rPr>
      <t xml:space="preserve">5</t>
    </r>
    <r>
      <rPr>
        <sz val="10"/>
        <rFont val="WenQuanYi Zen Hei"/>
        <family val="2"/>
      </rPr>
      <t xml:space="preserve">〜</t>
    </r>
    <r>
      <rPr>
        <sz val="10"/>
        <rFont val="Meiryo UI"/>
        <family val="0"/>
        <charset val="1"/>
      </rPr>
      <t xml:space="preserve">6</t>
    </r>
    <r>
      <rPr>
        <sz val="10"/>
        <rFont val="WenQuanYi Zen Hei"/>
        <family val="2"/>
      </rPr>
      <t xml:space="preserve">位）と「評価の目安・何点以上・平均点」（計</t>
    </r>
    <r>
      <rPr>
        <sz val="10"/>
        <rFont val="Meiryo UI"/>
        <family val="0"/>
        <charset val="1"/>
      </rPr>
      <t xml:space="preserve">550</t>
    </r>
    <r>
      <rPr>
        <sz val="10"/>
        <rFont val="WenQuanYi Zen Hei"/>
        <family val="2"/>
      </rPr>
      <t xml:space="preserve">表示超）の小見出しを追加。目次見出しを検索語と同じ言葉にして、ジャンプリンク経由のクリックを増やす。</t>
    </r>
  </si>
  <si>
    <r>
      <rPr>
        <sz val="10"/>
        <rFont val="WenQuanYi Zen Hei"/>
        <family val="2"/>
      </rPr>
      <t xml:space="preserve">タイトルは原則変更しない（</t>
    </r>
    <r>
      <rPr>
        <sz val="10"/>
        <rFont val="Meiryo UI"/>
        <family val="0"/>
        <charset val="1"/>
      </rPr>
      <t xml:space="preserve">CTR18.6%</t>
    </r>
    <r>
      <rPr>
        <sz val="10"/>
        <rFont val="WenQuanYi Zen Hei"/>
        <family val="2"/>
      </rPr>
      <t xml:space="preserve">は</t>
    </r>
    <r>
      <rPr>
        <sz val="10"/>
        <rFont val="Meiryo UI"/>
        <family val="0"/>
        <charset val="1"/>
      </rPr>
      <t xml:space="preserve">4</t>
    </r>
    <r>
      <rPr>
        <sz val="10"/>
        <rFont val="WenQuanYi Zen Hei"/>
        <family val="2"/>
      </rPr>
      <t xml:space="preserve">位台として非常に高い）。説明文の末尾に「危険なグラフの形</t>
    </r>
    <r>
      <rPr>
        <sz val="10"/>
        <rFont val="Meiryo UI"/>
        <family val="0"/>
        <charset val="1"/>
      </rPr>
      <t xml:space="preserve">3</t>
    </r>
    <r>
      <rPr>
        <sz val="10"/>
        <rFont val="WenQuanYi Zen Hei"/>
        <family val="2"/>
      </rPr>
      <t xml:space="preserve">パターンも図解」を追加する程度に留める。</t>
    </r>
  </si>
  <si>
    <r>
      <rPr>
        <sz val="10"/>
        <rFont val="WenQuanYi Zen Hei"/>
        <family val="2"/>
      </rPr>
      <t xml:space="preserve">①「要注意なグラフの形」の直後：「気になる形が出たら退職理由の口コミを確認。転職会議は退職理由の口コミが多い」→ボタン「転職会議でこの会社の退職理由を見る（無料）」
②「人事はグラフをこう見る」の末尾：「応募前にエージェント経由で離職率・配属を確認する候補者は強い」→リクルートエージェント
③記事末：ボタンは</t>
    </r>
    <r>
      <rPr>
        <sz val="10"/>
        <rFont val="Meiryo UI"/>
        <family val="0"/>
        <charset val="1"/>
      </rPr>
      <t xml:space="preserve">1</t>
    </r>
    <r>
      <rPr>
        <sz val="10"/>
        <rFont val="WenQuanYi Zen Hei"/>
        <family val="2"/>
      </rPr>
      <t xml:space="preserve">つだけ（選択肢を並べない）
※追加は計</t>
    </r>
    <r>
      <rPr>
        <sz val="10"/>
        <rFont val="Meiryo UI"/>
        <family val="0"/>
        <charset val="1"/>
      </rPr>
      <t xml:space="preserve">3</t>
    </r>
    <r>
      <rPr>
        <sz val="10"/>
        <rFont val="WenQuanYi Zen Hei"/>
        <family val="2"/>
      </rPr>
      <t xml:space="preserve">か所まで</t>
    </r>
  </si>
  <si>
    <r>
      <rPr>
        <sz val="10"/>
        <rFont val="WenQuanYi Zen Hei"/>
        <family val="2"/>
      </rPr>
      <t xml:space="preserve">転職会議</t>
    </r>
    <r>
      <rPr>
        <sz val="10"/>
        <rFont val="Meiryo UI"/>
        <family val="0"/>
        <charset val="1"/>
      </rPr>
      <t xml:space="preserve">(VC)/</t>
    </r>
    <r>
      <rPr>
        <sz val="10"/>
        <rFont val="WenQuanYi Zen Hei"/>
        <family val="2"/>
      </rPr>
      <t xml:space="preserve">リクルートエージェント</t>
    </r>
    <r>
      <rPr>
        <sz val="10"/>
        <rFont val="Meiryo UI"/>
        <family val="0"/>
        <charset val="1"/>
      </rPr>
      <t xml:space="preserve">(VC)</t>
    </r>
  </si>
  <si>
    <t xml:space="preserve">小</t>
  </si>
  <si>
    <t xml:space="preserve">/fujitsu-nenshu-hyouka-jinji-me/</t>
  </si>
  <si>
    <t xml:space="preserve">富士通</t>
  </si>
  <si>
    <t xml:space="preserve">急伸</t>
  </si>
  <si>
    <r>
      <rPr>
        <sz val="10"/>
        <rFont val="WenQuanYi Zen Hei"/>
        <family val="2"/>
      </rPr>
      <t xml:space="preserve">富士通 年収（</t>
    </r>
    <r>
      <rPr>
        <sz val="10"/>
        <rFont val="Meiryo UI"/>
        <family val="0"/>
        <charset val="1"/>
      </rPr>
      <t xml:space="preserve">1,136</t>
    </r>
    <r>
      <rPr>
        <sz val="10"/>
        <rFont val="WenQuanYi Zen Hei"/>
        <family val="2"/>
      </rPr>
      <t xml:space="preserve">表示・</t>
    </r>
    <r>
      <rPr>
        <sz val="10"/>
        <rFont val="Meiryo UI"/>
        <family val="0"/>
        <charset val="1"/>
      </rPr>
      <t xml:space="preserve">11.2</t>
    </r>
    <r>
      <rPr>
        <sz val="10"/>
        <rFont val="WenQuanYi Zen Hei"/>
        <family val="2"/>
      </rPr>
      <t xml:space="preserve">位・</t>
    </r>
    <r>
      <rPr>
        <sz val="10"/>
        <rFont val="Meiryo UI"/>
        <family val="0"/>
        <charset val="1"/>
      </rPr>
      <t xml:space="preserve">CTR4.1%</t>
    </r>
    <r>
      <rPr>
        <sz val="10"/>
        <rFont val="WenQuanYi Zen Hei"/>
        <family val="2"/>
      </rPr>
      <t xml:space="preserve">） </t>
    </r>
    <r>
      <rPr>
        <sz val="10"/>
        <rFont val="Meiryo UI"/>
        <family val="0"/>
        <charset val="1"/>
      </rPr>
      <t xml:space="preserve">/ </t>
    </r>
    <r>
      <rPr>
        <sz val="10"/>
        <rFont val="WenQuanYi Zen Hei"/>
        <family val="2"/>
      </rPr>
      <t xml:space="preserve">富士通 シニアマネージャー 年収（</t>
    </r>
    <r>
      <rPr>
        <sz val="10"/>
        <rFont val="Meiryo UI"/>
        <family val="0"/>
        <charset val="1"/>
      </rPr>
      <t xml:space="preserve">348</t>
    </r>
    <r>
      <rPr>
        <sz val="10"/>
        <rFont val="WenQuanYi Zen Hei"/>
        <family val="2"/>
      </rPr>
      <t xml:space="preserve">表示・</t>
    </r>
    <r>
      <rPr>
        <sz val="10"/>
        <rFont val="Meiryo UI"/>
        <family val="0"/>
        <charset val="1"/>
      </rPr>
      <t xml:space="preserve">5.7</t>
    </r>
    <r>
      <rPr>
        <sz val="10"/>
        <rFont val="WenQuanYi Zen Hei"/>
        <family val="2"/>
      </rPr>
      <t xml:space="preserve">位・</t>
    </r>
    <r>
      <rPr>
        <sz val="10"/>
        <rFont val="Meiryo UI"/>
        <family val="0"/>
        <charset val="1"/>
      </rPr>
      <t xml:space="preserve">CTR6.0%</t>
    </r>
    <r>
      <rPr>
        <sz val="10"/>
        <rFont val="WenQuanYi Zen Hei"/>
        <family val="2"/>
      </rPr>
      <t xml:space="preserve">） </t>
    </r>
    <r>
      <rPr>
        <sz val="10"/>
        <rFont val="Meiryo UI"/>
        <family val="0"/>
        <charset val="1"/>
      </rPr>
      <t xml:space="preserve">/ </t>
    </r>
    <r>
      <rPr>
        <sz val="10"/>
        <rFont val="WenQuanYi Zen Hei"/>
        <family val="2"/>
      </rPr>
      <t xml:space="preserve">富士通 レベル（</t>
    </r>
    <r>
      <rPr>
        <sz val="10"/>
        <rFont val="Meiryo UI"/>
        <family val="0"/>
        <charset val="1"/>
      </rPr>
      <t xml:space="preserve">309</t>
    </r>
    <r>
      <rPr>
        <sz val="10"/>
        <rFont val="WenQuanYi Zen Hei"/>
        <family val="2"/>
      </rPr>
      <t xml:space="preserve">表示・</t>
    </r>
    <r>
      <rPr>
        <sz val="10"/>
        <rFont val="Meiryo UI"/>
        <family val="0"/>
        <charset val="1"/>
      </rPr>
      <t xml:space="preserve">6.5</t>
    </r>
    <r>
      <rPr>
        <sz val="10"/>
        <rFont val="WenQuanYi Zen Hei"/>
        <family val="2"/>
      </rPr>
      <t xml:space="preserve">位・</t>
    </r>
    <r>
      <rPr>
        <sz val="10"/>
        <rFont val="Meiryo UI"/>
        <family val="0"/>
        <charset val="1"/>
      </rPr>
      <t xml:space="preserve">CTR5.2%</t>
    </r>
    <r>
      <rPr>
        <sz val="10"/>
        <rFont val="WenQuanYi Zen Hei"/>
        <family val="2"/>
      </rPr>
      <t xml:space="preserve">）</t>
    </r>
  </si>
  <si>
    <r>
      <rPr>
        <sz val="10"/>
        <rFont val="WenQuanYi Zen Hei"/>
        <family val="2"/>
      </rPr>
      <t xml:space="preserve">日次クリック</t>
    </r>
    <r>
      <rPr>
        <sz val="10"/>
        <rFont val="Meiryo UI"/>
        <family val="0"/>
        <charset val="1"/>
      </rPr>
      <t xml:space="preserve">4.2→22.8</t>
    </r>
    <r>
      <rPr>
        <sz val="10"/>
        <rFont val="WenQuanYi Zen Hei"/>
        <family val="2"/>
      </rPr>
      <t xml:space="preserve">に急伸し月約</t>
    </r>
    <r>
      <rPr>
        <sz val="10"/>
        <rFont val="Meiryo UI"/>
        <family val="0"/>
        <charset val="1"/>
      </rPr>
      <t xml:space="preserve">680</t>
    </r>
    <r>
      <rPr>
        <sz val="10"/>
        <rFont val="WenQuanYi Zen Hei"/>
        <family val="2"/>
      </rPr>
      <t xml:space="preserve">クリック（</t>
    </r>
    <r>
      <rPr>
        <sz val="10"/>
        <rFont val="Meiryo UI"/>
        <family val="0"/>
        <charset val="1"/>
      </rPr>
      <t xml:space="preserve">2</t>
    </r>
    <r>
      <rPr>
        <sz val="10"/>
        <rFont val="WenQuanYi Zen Hei"/>
        <family val="2"/>
      </rPr>
      <t xml:space="preserve">番目の柱）。等級・役職別クエリは</t>
    </r>
    <r>
      <rPr>
        <sz val="10"/>
        <rFont val="Meiryo UI"/>
        <family val="0"/>
        <charset val="1"/>
      </rPr>
      <t xml:space="preserve">4</t>
    </r>
    <r>
      <rPr>
        <sz val="10"/>
        <rFont val="WenQuanYi Zen Hei"/>
        <family val="2"/>
      </rPr>
      <t xml:space="preserve">〜</t>
    </r>
    <r>
      <rPr>
        <sz val="10"/>
        <rFont val="Meiryo UI"/>
        <family val="0"/>
        <charset val="1"/>
      </rPr>
      <t xml:space="preserve">6</t>
    </r>
    <r>
      <rPr>
        <sz val="10"/>
        <rFont val="WenQuanYi Zen Hei"/>
        <family val="2"/>
      </rPr>
      <t xml:space="preserve">位で強いが、親キーワード「富士通 年収」</t>
    </r>
    <r>
      <rPr>
        <sz val="10"/>
        <rFont val="Meiryo UI"/>
        <family val="0"/>
        <charset val="1"/>
      </rPr>
      <t xml:space="preserve">1,136</t>
    </r>
    <r>
      <rPr>
        <sz val="10"/>
        <rFont val="WenQuanYi Zen Hei"/>
        <family val="2"/>
      </rPr>
      <t xml:space="preserve">表示は</t>
    </r>
    <r>
      <rPr>
        <sz val="10"/>
        <rFont val="Meiryo UI"/>
        <family val="0"/>
        <charset val="1"/>
      </rPr>
      <t xml:space="preserve">11.2</t>
    </r>
    <r>
      <rPr>
        <sz val="10"/>
        <rFont val="WenQuanYi Zen Hei"/>
        <family val="2"/>
      </rPr>
      <t xml:space="preserve">位・</t>
    </r>
    <r>
      <rPr>
        <sz val="10"/>
        <rFont val="Meiryo UI"/>
        <family val="0"/>
        <charset val="1"/>
      </rPr>
      <t xml:space="preserve">CTR4.1%</t>
    </r>
    <r>
      <rPr>
        <sz val="10"/>
        <rFont val="WenQuanYi Zen Hei"/>
        <family val="2"/>
      </rPr>
      <t xml:space="preserve">で</t>
    </r>
    <r>
      <rPr>
        <sz val="10"/>
        <rFont val="Meiryo UI"/>
        <family val="0"/>
        <charset val="1"/>
      </rPr>
      <t xml:space="preserve">1</t>
    </r>
    <r>
      <rPr>
        <sz val="10"/>
        <rFont val="WenQuanYi Zen Hei"/>
        <family val="2"/>
      </rPr>
      <t xml:space="preserve">ページ目外。「富士通 </t>
    </r>
    <r>
      <rPr>
        <sz val="10"/>
        <rFont val="Meiryo UI"/>
        <family val="0"/>
        <charset val="1"/>
      </rPr>
      <t xml:space="preserve">40</t>
    </r>
    <r>
      <rPr>
        <sz val="10"/>
        <rFont val="WenQuanYi Zen Hei"/>
        <family val="2"/>
      </rPr>
      <t xml:space="preserve">歳年収」「事業部長 年収」はクリック</t>
    </r>
    <r>
      <rPr>
        <sz val="10"/>
        <rFont val="Meiryo UI"/>
        <family val="0"/>
        <charset val="1"/>
      </rPr>
      <t xml:space="preserve">0</t>
    </r>
    <r>
      <rPr>
        <sz val="10"/>
        <rFont val="WenQuanYi Zen Hei"/>
        <family val="2"/>
      </rPr>
      <t xml:space="preserve">。読者は社員（自分の等級確認）と転職検討者の</t>
    </r>
    <r>
      <rPr>
        <sz val="10"/>
        <rFont val="Meiryo UI"/>
        <family val="0"/>
        <charset val="1"/>
      </rPr>
      <t xml:space="preserve">2</t>
    </r>
    <r>
      <rPr>
        <sz val="10"/>
        <rFont val="WenQuanYi Zen Hei"/>
        <family val="2"/>
      </rPr>
      <t xml:space="preserve">種類。</t>
    </r>
  </si>
  <si>
    <t xml:space="preserve">なし</t>
  </si>
  <si>
    <t xml:space="preserve">同じ意図の記事なし</t>
  </si>
  <si>
    <r>
      <rPr>
        <sz val="10"/>
        <rFont val="WenQuanYi Zen Hei"/>
        <family val="2"/>
      </rPr>
      <t xml:space="preserve">タイトル先頭を「富士通の年収」にして親キーワードを狙う。年齢別（</t>
    </r>
    <r>
      <rPr>
        <sz val="10"/>
        <rFont val="Meiryo UI"/>
        <family val="0"/>
        <charset val="1"/>
      </rPr>
      <t xml:space="preserve">30/35/40</t>
    </r>
    <r>
      <rPr>
        <sz val="10"/>
        <rFont val="WenQuanYi Zen Hei"/>
        <family val="2"/>
      </rPr>
      <t xml:space="preserve">歳）の年収表と、事業部長・執行役員の行を追加。「富士通 給料」（</t>
    </r>
    <r>
      <rPr>
        <sz val="10"/>
        <rFont val="Meiryo UI"/>
        <family val="0"/>
        <charset val="1"/>
      </rPr>
      <t xml:space="preserve">49</t>
    </r>
    <r>
      <rPr>
        <sz val="10"/>
        <rFont val="WenQuanYi Zen Hei"/>
        <family val="2"/>
      </rPr>
      <t xml:space="preserve">表示</t>
    </r>
    <r>
      <rPr>
        <sz val="10"/>
        <rFont val="Meiryo UI"/>
        <family val="0"/>
        <charset val="1"/>
      </rPr>
      <t xml:space="preserve">20.7</t>
    </r>
    <r>
      <rPr>
        <sz val="10"/>
        <rFont val="WenQuanYi Zen Hei"/>
        <family val="2"/>
      </rPr>
      <t xml:space="preserve">位）「給与体系」もカバー。最終更新日を明記。</t>
    </r>
  </si>
  <si>
    <r>
      <rPr>
        <sz val="10"/>
        <rFont val="WenQuanYi Zen Hei"/>
        <family val="2"/>
      </rPr>
      <t xml:space="preserve">【案</t>
    </r>
    <r>
      <rPr>
        <sz val="10"/>
        <rFont val="Meiryo UI"/>
        <family val="0"/>
        <charset val="1"/>
      </rPr>
      <t xml:space="preserve">A</t>
    </r>
    <r>
      <rPr>
        <sz val="10"/>
        <rFont val="WenQuanYi Zen Hei"/>
        <family val="2"/>
      </rPr>
      <t xml:space="preserve">】富士通の年収はいくら？レベル別・役職別・年齢別の実態【現役</t>
    </r>
    <r>
      <rPr>
        <sz val="10"/>
        <rFont val="Meiryo UI"/>
        <family val="0"/>
        <charset val="1"/>
      </rPr>
      <t xml:space="preserve">IT</t>
    </r>
    <r>
      <rPr>
        <sz val="10"/>
        <rFont val="WenQuanYi Zen Hei"/>
        <family val="2"/>
      </rPr>
      <t xml:space="preserve">人事】
【案</t>
    </r>
    <r>
      <rPr>
        <sz val="10"/>
        <rFont val="Meiryo UI"/>
        <family val="0"/>
        <charset val="1"/>
      </rPr>
      <t xml:space="preserve">B</t>
    </r>
    <r>
      <rPr>
        <sz val="10"/>
        <rFont val="WenQuanYi Zen Hei"/>
        <family val="2"/>
      </rPr>
      <t xml:space="preserve">】富士通の年収をレベル</t>
    </r>
    <r>
      <rPr>
        <sz val="10"/>
        <rFont val="Meiryo UI"/>
        <family val="0"/>
        <charset val="1"/>
      </rPr>
      <t xml:space="preserve">9</t>
    </r>
    <r>
      <rPr>
        <sz val="10"/>
        <rFont val="WenQuanYi Zen Hei"/>
        <family val="2"/>
      </rPr>
      <t xml:space="preserve">〜</t>
    </r>
    <r>
      <rPr>
        <sz val="10"/>
        <rFont val="Meiryo UI"/>
        <family val="0"/>
        <charset val="1"/>
      </rPr>
      <t xml:space="preserve">15</t>
    </r>
    <r>
      <rPr>
        <sz val="10"/>
        <rFont val="WenQuanYi Zen Hei"/>
        <family val="2"/>
      </rPr>
      <t xml:space="preserve">・役職別に解説｜</t>
    </r>
    <r>
      <rPr>
        <sz val="10"/>
        <rFont val="Meiryo UI"/>
        <family val="0"/>
        <charset val="1"/>
      </rPr>
      <t xml:space="preserve">40</t>
    </r>
    <r>
      <rPr>
        <sz val="10"/>
        <rFont val="WenQuanYi Zen Hei"/>
        <family val="2"/>
      </rPr>
      <t xml:space="preserve">歳・管理職の実額も
【説明文】富士通の年収を</t>
    </r>
    <r>
      <rPr>
        <sz val="10"/>
        <rFont val="Meiryo UI"/>
        <family val="0"/>
        <charset val="1"/>
      </rPr>
      <t xml:space="preserve">FJ</t>
    </r>
    <r>
      <rPr>
        <sz val="10"/>
        <rFont val="WenQuanYi Zen Hei"/>
        <family val="2"/>
      </rPr>
      <t xml:space="preserve">レベル（</t>
    </r>
    <r>
      <rPr>
        <sz val="10"/>
        <rFont val="Meiryo UI"/>
        <family val="0"/>
        <charset val="1"/>
      </rPr>
      <t xml:space="preserve">9</t>
    </r>
    <r>
      <rPr>
        <sz val="10"/>
        <rFont val="WenQuanYi Zen Hei"/>
        <family val="2"/>
      </rPr>
      <t xml:space="preserve">〜</t>
    </r>
    <r>
      <rPr>
        <sz val="10"/>
        <rFont val="Meiryo UI"/>
        <family val="0"/>
        <charset val="1"/>
      </rPr>
      <t xml:space="preserve">15</t>
    </r>
    <r>
      <rPr>
        <sz val="10"/>
        <rFont val="WenQuanYi Zen Hei"/>
        <family val="2"/>
      </rPr>
      <t xml:space="preserve">）・役職・年齢別に整理。ジョブ型人事制度で何が変わったか、中途入社で何レベルからスタートできるかを現役</t>
    </r>
    <r>
      <rPr>
        <sz val="10"/>
        <rFont val="Meiryo UI"/>
        <family val="0"/>
        <charset val="1"/>
      </rPr>
      <t xml:space="preserve">IT</t>
    </r>
    <r>
      <rPr>
        <sz val="10"/>
        <rFont val="WenQuanYi Zen Hei"/>
        <family val="2"/>
      </rPr>
      <t xml:space="preserve">人事の目線で解説。</t>
    </r>
  </si>
  <si>
    <r>
      <rPr>
        <sz val="10"/>
        <rFont val="WenQuanYi Zen Hei"/>
        <family val="2"/>
      </rPr>
      <t xml:space="preserve">読者を</t>
    </r>
    <r>
      <rPr>
        <sz val="10"/>
        <rFont val="Meiryo UI"/>
        <family val="0"/>
        <charset val="1"/>
      </rPr>
      <t xml:space="preserve">2</t>
    </r>
    <r>
      <rPr>
        <sz val="10"/>
        <rFont val="WenQuanYi Zen Hei"/>
        <family val="2"/>
      </rPr>
      <t xml:space="preserve">種類に分ける。
①レベル別年収表の直下（転職検討者向け）：「中途で何レベルから始まるかはオファー前の交渉でほぼ決まる。ハイクラスに強いエージェント経由の候補者は交渉材料を持っていることが多い」→</t>
    </r>
    <r>
      <rPr>
        <sz val="10"/>
        <rFont val="Meiryo UI"/>
        <family val="0"/>
        <charset val="1"/>
      </rPr>
      <t xml:space="preserve">JAC Recruitment
②</t>
    </r>
    <r>
      <rPr>
        <sz val="10"/>
        <rFont val="WenQuanYi Zen Hei"/>
        <family val="2"/>
      </rPr>
      <t xml:space="preserve">「ジョブ型・評価」の末尾（社員向け）：「今のレベルが市場でどう評価されるかはスカウトを受けるのが早い。登録だけなら社内にバレない」→レバテックダイレクト
③記事末：</t>
    </r>
    <r>
      <rPr>
        <sz val="10"/>
        <rFont val="Meiryo UI"/>
        <family val="0"/>
        <charset val="1"/>
      </rPr>
      <t xml:space="preserve">2</t>
    </r>
    <r>
      <rPr>
        <sz val="10"/>
        <rFont val="WenQuanYi Zen Hei"/>
        <family val="2"/>
      </rPr>
      <t xml:space="preserve">択ボタン「富士通に転職したい人→」「富士通から転職を考えている人→」</t>
    </r>
  </si>
  <si>
    <r>
      <rPr>
        <sz val="10"/>
        <rFont val="Meiryo UI"/>
        <family val="0"/>
        <charset val="1"/>
      </rPr>
      <t xml:space="preserve">JAC Recruitment(VC)/</t>
    </r>
    <r>
      <rPr>
        <sz val="10"/>
        <rFont val="WenQuanYi Zen Hei"/>
        <family val="2"/>
      </rPr>
      <t xml:space="preserve">レバテックダイレクト</t>
    </r>
    <r>
      <rPr>
        <sz val="10"/>
        <rFont val="Meiryo UI"/>
        <family val="0"/>
        <charset val="1"/>
      </rPr>
      <t xml:space="preserve">(A8)</t>
    </r>
  </si>
  <si>
    <t xml:space="preserve">/recruit-agent-hyoban/</t>
  </si>
  <si>
    <t xml:space="preserve">リクルートエージェント</t>
  </si>
  <si>
    <r>
      <rPr>
        <sz val="10"/>
        <rFont val="WenQuanYi Zen Hei"/>
        <family val="2"/>
      </rPr>
      <t xml:space="preserve">リクルートエージェント 面接後 アンケート（</t>
    </r>
    <r>
      <rPr>
        <sz val="10"/>
        <rFont val="Meiryo UI"/>
        <family val="0"/>
        <charset val="1"/>
      </rPr>
      <t xml:space="preserve">52</t>
    </r>
    <r>
      <rPr>
        <sz val="10"/>
        <rFont val="WenQuanYi Zen Hei"/>
        <family val="2"/>
      </rPr>
      <t xml:space="preserve">表示・</t>
    </r>
    <r>
      <rPr>
        <sz val="10"/>
        <rFont val="Meiryo UI"/>
        <family val="0"/>
        <charset val="1"/>
      </rPr>
      <t xml:space="preserve">3.9</t>
    </r>
    <r>
      <rPr>
        <sz val="10"/>
        <rFont val="WenQuanYi Zen Hei"/>
        <family val="2"/>
      </rPr>
      <t xml:space="preserve">位・</t>
    </r>
    <r>
      <rPr>
        <sz val="10"/>
        <rFont val="Meiryo UI"/>
        <family val="0"/>
        <charset val="1"/>
      </rPr>
      <t xml:space="preserve">CTR21.1%</t>
    </r>
    <r>
      <rPr>
        <sz val="10"/>
        <rFont val="WenQuanYi Zen Hei"/>
        <family val="2"/>
      </rPr>
      <t xml:space="preserve">） </t>
    </r>
    <r>
      <rPr>
        <sz val="10"/>
        <rFont val="Meiryo UI"/>
        <family val="0"/>
        <charset val="1"/>
      </rPr>
      <t xml:space="preserve">/ </t>
    </r>
    <r>
      <rPr>
        <sz val="10"/>
        <rFont val="WenQuanYi Zen Hei"/>
        <family val="2"/>
      </rPr>
      <t xml:space="preserve">リクルートエージェント 面接後のアンケート（</t>
    </r>
    <r>
      <rPr>
        <sz val="10"/>
        <rFont val="Meiryo UI"/>
        <family val="0"/>
        <charset val="1"/>
      </rPr>
      <t xml:space="preserve">49</t>
    </r>
    <r>
      <rPr>
        <sz val="10"/>
        <rFont val="WenQuanYi Zen Hei"/>
        <family val="2"/>
      </rPr>
      <t xml:space="preserve">表示・</t>
    </r>
    <r>
      <rPr>
        <sz val="10"/>
        <rFont val="Meiryo UI"/>
        <family val="0"/>
        <charset val="1"/>
      </rPr>
      <t xml:space="preserve">3.9</t>
    </r>
    <r>
      <rPr>
        <sz val="10"/>
        <rFont val="WenQuanYi Zen Hei"/>
        <family val="2"/>
      </rPr>
      <t xml:space="preserve">位・</t>
    </r>
    <r>
      <rPr>
        <sz val="10"/>
        <rFont val="Meiryo UI"/>
        <family val="0"/>
        <charset val="1"/>
      </rPr>
      <t xml:space="preserve">CTR22.4%</t>
    </r>
    <r>
      <rPr>
        <sz val="10"/>
        <rFont val="WenQuanYi Zen Hei"/>
        <family val="2"/>
      </rPr>
      <t xml:space="preserve">） </t>
    </r>
    <r>
      <rPr>
        <sz val="10"/>
        <rFont val="Meiryo UI"/>
        <family val="0"/>
        <charset val="1"/>
      </rPr>
      <t xml:space="preserve">/ </t>
    </r>
    <r>
      <rPr>
        <sz val="10"/>
        <rFont val="WenQuanYi Zen Hei"/>
        <family val="2"/>
      </rPr>
      <t xml:space="preserve">リクルートエージェント アンケート（</t>
    </r>
    <r>
      <rPr>
        <sz val="10"/>
        <rFont val="Meiryo UI"/>
        <family val="0"/>
        <charset val="1"/>
      </rPr>
      <t xml:space="preserve">44</t>
    </r>
    <r>
      <rPr>
        <sz val="10"/>
        <rFont val="WenQuanYi Zen Hei"/>
        <family val="2"/>
      </rPr>
      <t xml:space="preserve">表示・</t>
    </r>
    <r>
      <rPr>
        <sz val="10"/>
        <rFont val="Meiryo UI"/>
        <family val="0"/>
        <charset val="1"/>
      </rPr>
      <t xml:space="preserve">4.3</t>
    </r>
    <r>
      <rPr>
        <sz val="10"/>
        <rFont val="WenQuanYi Zen Hei"/>
        <family val="2"/>
      </rPr>
      <t xml:space="preserve">位・</t>
    </r>
    <r>
      <rPr>
        <sz val="10"/>
        <rFont val="Meiryo UI"/>
        <family val="0"/>
        <charset val="1"/>
      </rPr>
      <t xml:space="preserve">CTR2.3%</t>
    </r>
    <r>
      <rPr>
        <sz val="10"/>
        <rFont val="WenQuanYi Zen Hei"/>
        <family val="2"/>
      </rPr>
      <t xml:space="preserve">）</t>
    </r>
  </si>
  <si>
    <r>
      <rPr>
        <sz val="10"/>
        <rFont val="WenQuanYi Zen Hei"/>
        <family val="2"/>
      </rPr>
      <t xml:space="preserve">日次クリック</t>
    </r>
    <r>
      <rPr>
        <sz val="10"/>
        <rFont val="Meiryo UI"/>
        <family val="0"/>
        <charset val="1"/>
      </rPr>
      <t xml:space="preserve">0.4→6.2</t>
    </r>
    <r>
      <rPr>
        <sz val="10"/>
        <rFont val="WenQuanYi Zen Hei"/>
        <family val="2"/>
      </rPr>
      <t xml:space="preserve">に急伸、</t>
    </r>
    <r>
      <rPr>
        <sz val="10"/>
        <rFont val="Meiryo UI"/>
        <family val="0"/>
        <charset val="1"/>
      </rPr>
      <t xml:space="preserve">5.1</t>
    </r>
    <r>
      <rPr>
        <sz val="10"/>
        <rFont val="WenQuanYi Zen Hei"/>
        <family val="2"/>
      </rPr>
      <t xml:space="preserve">位・</t>
    </r>
    <r>
      <rPr>
        <sz val="10"/>
        <rFont val="Meiryo UI"/>
        <family val="0"/>
        <charset val="1"/>
      </rPr>
      <t xml:space="preserve">CTR9.9%</t>
    </r>
    <r>
      <rPr>
        <sz val="10"/>
        <rFont val="WenQuanYi Zen Hei"/>
        <family val="2"/>
      </rPr>
      <t xml:space="preserve">の収益直結記事（</t>
    </r>
    <r>
      <rPr>
        <sz val="10"/>
        <rFont val="Meiryo UI"/>
        <family val="0"/>
        <charset val="1"/>
      </rPr>
      <t xml:space="preserve">VC</t>
    </r>
    <r>
      <rPr>
        <sz val="10"/>
        <rFont val="WenQuanYi Zen Hei"/>
        <family val="2"/>
      </rPr>
      <t xml:space="preserve">にリクルートエージェント案件あり）。ただし</t>
    </r>
    <r>
      <rPr>
        <sz val="10"/>
        <rFont val="Meiryo UI"/>
        <family val="0"/>
        <charset val="1"/>
      </rPr>
      <t xml:space="preserve">VC</t>
    </r>
    <r>
      <rPr>
        <sz val="10"/>
        <rFont val="WenQuanYi Zen Hei"/>
        <family val="2"/>
      </rPr>
      <t xml:space="preserve">のリクルートエージェント広告は</t>
    </r>
    <r>
      <rPr>
        <sz val="10"/>
        <rFont val="Meiryo UI"/>
        <family val="0"/>
        <charset val="1"/>
      </rPr>
      <t xml:space="preserve">30</t>
    </r>
    <r>
      <rPr>
        <sz val="10"/>
        <rFont val="WenQuanYi Zen Hei"/>
        <family val="2"/>
      </rPr>
      <t xml:space="preserve">日で</t>
    </r>
    <r>
      <rPr>
        <sz val="10"/>
        <rFont val="Meiryo UI"/>
        <family val="0"/>
        <charset val="1"/>
      </rPr>
      <t xml:space="preserve">321</t>
    </r>
    <r>
      <rPr>
        <sz val="10"/>
        <rFont val="WenQuanYi Zen Hei"/>
        <family val="2"/>
      </rPr>
      <t xml:space="preserve">表示・</t>
    </r>
    <r>
      <rPr>
        <sz val="10"/>
        <rFont val="Meiryo UI"/>
        <family val="0"/>
        <charset val="1"/>
      </rPr>
      <t xml:space="preserve">6</t>
    </r>
    <r>
      <rPr>
        <sz val="10"/>
        <rFont val="WenQuanYi Zen Hei"/>
        <family val="2"/>
      </rPr>
      <t xml:space="preserve">クリック（</t>
    </r>
    <r>
      <rPr>
        <sz val="10"/>
        <rFont val="Meiryo UI"/>
        <family val="0"/>
        <charset val="1"/>
      </rPr>
      <t xml:space="preserve">1.9%</t>
    </r>
    <r>
      <rPr>
        <sz val="10"/>
        <rFont val="WenQuanYi Zen Hei"/>
        <family val="2"/>
      </rPr>
      <t xml:space="preserve">）で、表示されてもクリックされていない。関連クエリの上位が「面接後アンケート」系で、本来の「評判」系クエリが上位</t>
    </r>
    <r>
      <rPr>
        <sz val="10"/>
        <rFont val="Meiryo UI"/>
        <family val="0"/>
        <charset val="1"/>
      </rPr>
      <t xml:space="preserve">1,000</t>
    </r>
    <r>
      <rPr>
        <sz val="10"/>
        <rFont val="WenQuanYi Zen Hei"/>
        <family val="2"/>
      </rPr>
      <t xml:space="preserve">件に入っていない。</t>
    </r>
  </si>
  <si>
    <r>
      <rPr>
        <sz val="10"/>
        <rFont val="WenQuanYi Zen Hei"/>
        <family val="2"/>
      </rPr>
      <t xml:space="preserve">【リクルートエージェント】競合相手：</t>
    </r>
    <r>
      <rPr>
        <sz val="10"/>
        <rFont val="Meiryo UI"/>
        <family val="0"/>
        <charset val="1"/>
      </rPr>
      <t xml:space="preserve">/recruit-agent-tsukaikata/</t>
    </r>
  </si>
  <si>
    <r>
      <rPr>
        <sz val="10"/>
        <rFont val="WenQuanYi Zen Hei"/>
        <family val="2"/>
      </rPr>
      <t xml:space="preserve">担当を「評判・口コミ・ひどい・向いてる人」（登録前の判断）に限定。「面接後アンケート」「求人ポスト」の詳細は</t>
    </r>
    <r>
      <rPr>
        <sz val="10"/>
        <rFont val="Meiryo UI"/>
        <family val="0"/>
        <charset val="1"/>
      </rPr>
      <t xml:space="preserve">/recruit-agent-tsukaikata/</t>
    </r>
    <r>
      <rPr>
        <sz val="10"/>
        <rFont val="WenQuanYi Zen Hei"/>
        <family val="2"/>
      </rPr>
      <t xml:space="preserve">に移して要約＋リンク。「企業側（求人を出す側）から見た実態」という一次情報を見出しで強調。</t>
    </r>
  </si>
  <si>
    <r>
      <rPr>
        <sz val="10"/>
        <rFont val="WenQuanYi Zen Hei"/>
        <family val="2"/>
      </rPr>
      <t xml:space="preserve">【案</t>
    </r>
    <r>
      <rPr>
        <sz val="10"/>
        <rFont val="Meiryo UI"/>
        <family val="0"/>
        <charset val="1"/>
      </rPr>
      <t xml:space="preserve">A</t>
    </r>
    <r>
      <rPr>
        <sz val="10"/>
        <rFont val="WenQuanYi Zen Hei"/>
        <family val="2"/>
      </rPr>
      <t xml:space="preserve">】リクルートエージェントの評判は？現役人事が「企業側から見た実態」を本音で解説
【案</t>
    </r>
    <r>
      <rPr>
        <sz val="10"/>
        <rFont val="Meiryo UI"/>
        <family val="0"/>
        <charset val="1"/>
      </rPr>
      <t xml:space="preserve">B</t>
    </r>
    <r>
      <rPr>
        <sz val="10"/>
        <rFont val="WenQuanYi Zen Hei"/>
        <family val="2"/>
      </rPr>
      <t xml:space="preserve">】リクルートエージェントの評判・口コミ｜ひどい？向いてる人を採用担当が解説
【説明文】リクルートエージェントの評判を、求人を出す側の現役</t>
    </r>
    <r>
      <rPr>
        <sz val="10"/>
        <rFont val="Meiryo UI"/>
        <family val="0"/>
        <charset val="1"/>
      </rPr>
      <t xml:space="preserve">IT</t>
    </r>
    <r>
      <rPr>
        <sz val="10"/>
        <rFont val="WenQuanYi Zen Hei"/>
        <family val="2"/>
      </rPr>
      <t xml:space="preserve">人事が本音で解説。「ひどい」と言われる理由、担当者の当たり外れを避ける方法、向いている人・いない人を企業側の視点で。</t>
    </r>
  </si>
  <si>
    <r>
      <rPr>
        <sz val="10"/>
        <rFont val="WenQuanYi Zen Hei"/>
        <family val="2"/>
      </rPr>
      <t xml:space="preserve">①冒頭の結論ボックス：「企業側から見ても、まず求人を出すのがリクルート。非公開求人の量は別格」→ボタン「リクルートエージェントに無料登録（約</t>
    </r>
    <r>
      <rPr>
        <sz val="10"/>
        <rFont val="Meiryo UI"/>
        <family val="0"/>
        <charset val="1"/>
      </rPr>
      <t xml:space="preserve">5</t>
    </r>
    <r>
      <rPr>
        <sz val="10"/>
        <rFont val="WenQuanYi Zen Hei"/>
        <family val="2"/>
      </rPr>
      <t xml:space="preserve">分）」
②「悪い評判」の末尾：「担当変更は依頼できる。最初の面談で希望をはっきり伝えるのがコツ」→テキストリンク
③「向いていない人」：年収</t>
    </r>
    <r>
      <rPr>
        <sz val="10"/>
        <rFont val="Meiryo UI"/>
        <family val="0"/>
        <charset val="1"/>
      </rPr>
      <t xml:space="preserve">600</t>
    </r>
    <r>
      <rPr>
        <sz val="10"/>
        <rFont val="WenQuanYi Zen Hei"/>
        <family val="2"/>
      </rPr>
      <t xml:space="preserve">万円以上の管理職志向→</t>
    </r>
    <r>
      <rPr>
        <sz val="10"/>
        <rFont val="Meiryo UI"/>
        <family val="0"/>
        <charset val="1"/>
      </rPr>
      <t xml:space="preserve">JAC</t>
    </r>
    <r>
      <rPr>
        <sz val="10"/>
        <rFont val="WenQuanYi Zen Hei"/>
        <family val="2"/>
      </rPr>
      <t xml:space="preserve">、</t>
    </r>
    <r>
      <rPr>
        <sz val="10"/>
        <rFont val="Meiryo UI"/>
        <family val="0"/>
        <charset val="1"/>
      </rPr>
      <t xml:space="preserve">IT</t>
    </r>
    <r>
      <rPr>
        <sz val="10"/>
        <rFont val="WenQuanYi Zen Hei"/>
        <family val="2"/>
      </rPr>
      <t xml:space="preserve">エンジニアでスカウト型→レバテックダイレクト（合わない人に別サービスを示すと信頼が上がる）
④記事末：ボタン</t>
    </r>
  </si>
  <si>
    <r>
      <rPr>
        <sz val="10"/>
        <rFont val="WenQuanYi Zen Hei"/>
        <family val="2"/>
      </rPr>
      <t xml:space="preserve">リクルートエージェント</t>
    </r>
    <r>
      <rPr>
        <sz val="10"/>
        <rFont val="Meiryo UI"/>
        <family val="0"/>
        <charset val="1"/>
      </rPr>
      <t xml:space="preserve">(VC)</t>
    </r>
  </si>
  <si>
    <t xml:space="preserve">/ipa-exam-reform-2027/</t>
  </si>
  <si>
    <r>
      <rPr>
        <sz val="10"/>
        <rFont val="Meiryo UI"/>
        <family val="0"/>
        <charset val="1"/>
      </rPr>
      <t xml:space="preserve">IPA</t>
    </r>
    <r>
      <rPr>
        <sz val="10"/>
        <rFont val="WenQuanYi Zen Hei"/>
        <family val="2"/>
      </rPr>
      <t xml:space="preserve">改編</t>
    </r>
  </si>
  <si>
    <r>
      <rPr>
        <sz val="10"/>
        <rFont val="WenQuanYi Zen Hei"/>
        <family val="2"/>
      </rPr>
      <t xml:space="preserve">応用情報技術者試験 なくなる（</t>
    </r>
    <r>
      <rPr>
        <sz val="10"/>
        <rFont val="Meiryo UI"/>
        <family val="0"/>
        <charset val="1"/>
      </rPr>
      <t xml:space="preserve">2,424</t>
    </r>
    <r>
      <rPr>
        <sz val="10"/>
        <rFont val="WenQuanYi Zen Hei"/>
        <family val="2"/>
      </rPr>
      <t xml:space="preserve">表示・</t>
    </r>
    <r>
      <rPr>
        <sz val="10"/>
        <rFont val="Meiryo UI"/>
        <family val="0"/>
        <charset val="1"/>
      </rPr>
      <t xml:space="preserve">9.9</t>
    </r>
    <r>
      <rPr>
        <sz val="10"/>
        <rFont val="WenQuanYi Zen Hei"/>
        <family val="2"/>
      </rPr>
      <t xml:space="preserve">位・</t>
    </r>
    <r>
      <rPr>
        <sz val="10"/>
        <rFont val="Meiryo UI"/>
        <family val="0"/>
        <charset val="1"/>
      </rPr>
      <t xml:space="preserve">CTR0.9%</t>
    </r>
    <r>
      <rPr>
        <sz val="10"/>
        <rFont val="WenQuanYi Zen Hei"/>
        <family val="2"/>
      </rPr>
      <t xml:space="preserve">） </t>
    </r>
    <r>
      <rPr>
        <sz val="10"/>
        <rFont val="Meiryo UI"/>
        <family val="0"/>
        <charset val="1"/>
      </rPr>
      <t xml:space="preserve">/ </t>
    </r>
    <r>
      <rPr>
        <sz val="10"/>
        <rFont val="WenQuanYi Zen Hei"/>
        <family val="2"/>
      </rPr>
      <t xml:space="preserve">応用情報技術者試験（</t>
    </r>
    <r>
      <rPr>
        <sz val="10"/>
        <rFont val="Meiryo UI"/>
        <family val="0"/>
        <charset val="1"/>
      </rPr>
      <t xml:space="preserve">603</t>
    </r>
    <r>
      <rPr>
        <sz val="10"/>
        <rFont val="WenQuanYi Zen Hei"/>
        <family val="2"/>
      </rPr>
      <t xml:space="preserve">表示・</t>
    </r>
    <r>
      <rPr>
        <sz val="10"/>
        <rFont val="Meiryo UI"/>
        <family val="0"/>
        <charset val="1"/>
      </rPr>
      <t xml:space="preserve">3.4</t>
    </r>
    <r>
      <rPr>
        <sz val="10"/>
        <rFont val="WenQuanYi Zen Hei"/>
        <family val="2"/>
      </rPr>
      <t xml:space="preserve">位・</t>
    </r>
    <r>
      <rPr>
        <sz val="10"/>
        <rFont val="Meiryo UI"/>
        <family val="0"/>
        <charset val="1"/>
      </rPr>
      <t xml:space="preserve">CTR5.0%</t>
    </r>
    <r>
      <rPr>
        <sz val="10"/>
        <rFont val="WenQuanYi Zen Hei"/>
        <family val="2"/>
      </rPr>
      <t xml:space="preserve">） </t>
    </r>
    <r>
      <rPr>
        <sz val="10"/>
        <rFont val="Meiryo UI"/>
        <family val="0"/>
        <charset val="1"/>
      </rPr>
      <t xml:space="preserve">/ </t>
    </r>
    <r>
      <rPr>
        <sz val="10"/>
        <rFont val="WenQuanYi Zen Hei"/>
        <family val="2"/>
      </rPr>
      <t xml:space="preserve">応用情報 なくなる（</t>
    </r>
    <r>
      <rPr>
        <sz val="10"/>
        <rFont val="Meiryo UI"/>
        <family val="0"/>
        <charset val="1"/>
      </rPr>
      <t xml:space="preserve">488</t>
    </r>
    <r>
      <rPr>
        <sz val="10"/>
        <rFont val="WenQuanYi Zen Hei"/>
        <family val="2"/>
      </rPr>
      <t xml:space="preserve">表示・</t>
    </r>
    <r>
      <rPr>
        <sz val="10"/>
        <rFont val="Meiryo UI"/>
        <family val="0"/>
        <charset val="1"/>
      </rPr>
      <t xml:space="preserve">9.1</t>
    </r>
    <r>
      <rPr>
        <sz val="10"/>
        <rFont val="WenQuanYi Zen Hei"/>
        <family val="2"/>
      </rPr>
      <t xml:space="preserve">位・</t>
    </r>
    <r>
      <rPr>
        <sz val="10"/>
        <rFont val="Meiryo UI"/>
        <family val="0"/>
        <charset val="1"/>
      </rPr>
      <t xml:space="preserve">CTR0.4%</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</si>
  <si>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19,660</t>
    </r>
    <r>
      <rPr>
        <sz val="10"/>
        <rFont val="WenQuanYi Zen Hei"/>
        <family val="2"/>
      </rPr>
      <t xml:space="preserve">表示、表示</t>
    </r>
    <r>
      <rPr>
        <sz val="10"/>
        <rFont val="Meiryo UI"/>
        <family val="0"/>
        <charset val="1"/>
      </rPr>
      <t xml:space="preserve">/</t>
    </r>
    <r>
      <rPr>
        <sz val="10"/>
        <rFont val="WenQuanYi Zen Hei"/>
        <family val="2"/>
      </rPr>
      <t xml:space="preserve">日</t>
    </r>
    <r>
      <rPr>
        <sz val="10"/>
        <rFont val="Meiryo UI"/>
        <family val="0"/>
        <charset val="1"/>
      </rPr>
      <t xml:space="preserve">139→385</t>
    </r>
    <r>
      <rPr>
        <sz val="10"/>
        <rFont val="WenQuanYi Zen Hei"/>
        <family val="2"/>
      </rPr>
      <t xml:space="preserve">（</t>
    </r>
    <r>
      <rPr>
        <sz val="10"/>
        <rFont val="Meiryo UI"/>
        <family val="0"/>
        <charset val="1"/>
      </rPr>
      <t xml:space="preserve">2.8</t>
    </r>
    <r>
      <rPr>
        <sz val="10"/>
        <rFont val="WenQuanYi Zen Hei"/>
        <family val="2"/>
      </rPr>
      <t xml:space="preserve">倍）でサイトで最も需要が伸びている記事。しかし</t>
    </r>
    <r>
      <rPr>
        <sz val="10"/>
        <rFont val="Meiryo UI"/>
        <family val="0"/>
        <charset val="1"/>
      </rPr>
      <t xml:space="preserve">8.0</t>
    </r>
    <r>
      <rPr>
        <sz val="10"/>
        <rFont val="WenQuanYi Zen Hei"/>
        <family val="2"/>
      </rPr>
      <t xml:space="preserve">位・</t>
    </r>
    <r>
      <rPr>
        <sz val="10"/>
        <rFont val="Meiryo UI"/>
        <family val="0"/>
        <charset val="1"/>
      </rPr>
      <t xml:space="preserve">CTR2.5%</t>
    </r>
    <r>
      <rPr>
        <sz val="10"/>
        <rFont val="WenQuanYi Zen Hei"/>
        <family val="2"/>
      </rPr>
      <t xml:space="preserve">。「応用情報技術者試験 なくなる」</t>
    </r>
    <r>
      <rPr>
        <sz val="10"/>
        <rFont val="Meiryo UI"/>
        <family val="0"/>
        <charset val="1"/>
      </rPr>
      <t xml:space="preserve">2,424</t>
    </r>
    <r>
      <rPr>
        <sz val="10"/>
        <rFont val="WenQuanYi Zen Hei"/>
        <family val="2"/>
      </rPr>
      <t xml:space="preserve">表示</t>
    </r>
    <r>
      <rPr>
        <sz val="10"/>
        <rFont val="Meiryo UI"/>
        <family val="0"/>
        <charset val="1"/>
      </rPr>
      <t xml:space="preserve">9.9</t>
    </r>
    <r>
      <rPr>
        <sz val="10"/>
        <rFont val="WenQuanYi Zen Hei"/>
        <family val="2"/>
      </rPr>
      <t xml:space="preserve">位</t>
    </r>
    <r>
      <rPr>
        <sz val="10"/>
        <rFont val="Meiryo UI"/>
        <family val="0"/>
        <charset val="1"/>
      </rPr>
      <t xml:space="preserve">CTR0.9%</t>
    </r>
    <r>
      <rPr>
        <sz val="10"/>
        <rFont val="WenQuanYi Zen Hei"/>
        <family val="2"/>
      </rPr>
      <t xml:space="preserve">、「応用情報 なくなる」</t>
    </r>
    <r>
      <rPr>
        <sz val="10"/>
        <rFont val="Meiryo UI"/>
        <family val="0"/>
        <charset val="1"/>
      </rPr>
      <t xml:space="preserve">488</t>
    </r>
    <r>
      <rPr>
        <sz val="10"/>
        <rFont val="WenQuanYi Zen Hei"/>
        <family val="2"/>
      </rPr>
      <t xml:space="preserve">表示</t>
    </r>
    <r>
      <rPr>
        <sz val="10"/>
        <rFont val="Meiryo UI"/>
        <family val="0"/>
        <charset val="1"/>
      </rPr>
      <t xml:space="preserve">CTR0.4%</t>
    </r>
    <r>
      <rPr>
        <sz val="10"/>
        <rFont val="WenQuanYi Zen Hei"/>
        <family val="2"/>
      </rPr>
      <t xml:space="preserve">。試験別の単独記事（</t>
    </r>
    <r>
      <rPr>
        <sz val="10"/>
        <rFont val="Meiryo UI"/>
        <family val="0"/>
        <charset val="1"/>
      </rPr>
      <t xml:space="preserve">IT</t>
    </r>
    <r>
      <rPr>
        <sz val="10"/>
        <rFont val="WenQuanYi Zen Hei"/>
        <family val="2"/>
      </rPr>
      <t xml:space="preserve">ストラテジスト</t>
    </r>
    <r>
      <rPr>
        <sz val="10"/>
        <rFont val="Meiryo UI"/>
        <family val="0"/>
        <charset val="1"/>
      </rPr>
      <t xml:space="preserve">CTR19%</t>
    </r>
    <r>
      <rPr>
        <sz val="10"/>
        <rFont val="WenQuanYi Zen Hei"/>
        <family val="2"/>
      </rPr>
      <t xml:space="preserve">、</t>
    </r>
    <r>
      <rPr>
        <sz val="10"/>
        <rFont val="Meiryo UI"/>
        <family val="0"/>
        <charset val="1"/>
      </rPr>
      <t xml:space="preserve">DB</t>
    </r>
    <r>
      <rPr>
        <sz val="10"/>
        <rFont val="WenQuanYi Zen Hei"/>
        <family val="2"/>
      </rPr>
      <t xml:space="preserve">スペシャリスト</t>
    </r>
    <r>
      <rPr>
        <sz val="10"/>
        <rFont val="Meiryo UI"/>
        <family val="0"/>
        <charset val="1"/>
      </rPr>
      <t xml:space="preserve">16%</t>
    </r>
    <r>
      <rPr>
        <sz val="10"/>
        <rFont val="WenQuanYi Zen Hei"/>
        <family val="2"/>
      </rPr>
      <t xml:space="preserve">）は勝てる型なのに、応用情報だけ単独記事がない。</t>
    </r>
  </si>
  <si>
    <r>
      <rPr>
        <sz val="10"/>
        <rFont val="WenQuanYi Zen Hei"/>
        <family val="2"/>
      </rPr>
      <t xml:space="preserve">【</t>
    </r>
    <r>
      <rPr>
        <sz val="10"/>
        <rFont val="Meiryo UI"/>
        <family val="0"/>
        <charset val="1"/>
      </rPr>
      <t xml:space="preserve">IPA</t>
    </r>
    <r>
      <rPr>
        <sz val="10"/>
        <rFont val="WenQuanYi Zen Hei"/>
        <family val="2"/>
      </rPr>
      <t xml:space="preserve">改編】競合相手：</t>
    </r>
    <r>
      <rPr>
        <sz val="10"/>
        <rFont val="Meiryo UI"/>
        <family val="0"/>
        <charset val="1"/>
      </rPr>
      <t xml:space="preserve">/ipa-exam-reform-career-impact/</t>
    </r>
    <r>
      <rPr>
        <sz val="10"/>
        <rFont val="WenQuanYi Zen Hei"/>
        <family val="2"/>
      </rPr>
      <t xml:space="preserve">、</t>
    </r>
    <r>
      <rPr>
        <sz val="10"/>
        <rFont val="Meiryo UI"/>
        <family val="0"/>
        <charset val="1"/>
      </rPr>
      <t xml:space="preserve">/professional-digital-skill-exam/</t>
    </r>
    <r>
      <rPr>
        <sz val="10"/>
        <rFont val="WenQuanYi Zen Hei"/>
        <family val="2"/>
      </rPr>
      <t xml:space="preserve">、</t>
    </r>
    <r>
      <rPr>
        <sz val="10"/>
        <rFont val="Meiryo UI"/>
        <family val="0"/>
        <charset val="1"/>
      </rPr>
      <t xml:space="preserve">/data-management-exam/</t>
    </r>
  </si>
  <si>
    <r>
      <rPr>
        <sz val="10"/>
        <rFont val="WenQuanYi Zen Hei"/>
        <family val="2"/>
      </rPr>
      <t xml:space="preserve">新規記事</t>
    </r>
    <r>
      <rPr>
        <sz val="10"/>
        <rFont val="Meiryo UI"/>
        <family val="0"/>
        <charset val="1"/>
      </rPr>
      <t xml:space="preserve">/ouyou-jouhou-haishi/</t>
    </r>
    <r>
      <rPr>
        <sz val="10"/>
        <rFont val="WenQuanYi Zen Hei"/>
        <family val="2"/>
      </rPr>
      <t xml:space="preserve">（仮）を作成し「応用情報はなくなる？いつまで受けられる？」に特化。本記事の応用情報セクションは要約＋リンク。本記事は「改編の全体像・試験別一覧」のハブにし、高度試験の</t>
    </r>
    <r>
      <rPr>
        <sz val="10"/>
        <rFont val="Meiryo UI"/>
        <family val="0"/>
        <charset val="1"/>
      </rPr>
      <t xml:space="preserve">*-haishi</t>
    </r>
    <r>
      <rPr>
        <sz val="10"/>
        <rFont val="WenQuanYi Zen Hei"/>
        <family val="2"/>
      </rPr>
      <t xml:space="preserve">記事・</t>
    </r>
    <r>
      <rPr>
        <sz val="10"/>
        <rFont val="Meiryo UI"/>
        <family val="0"/>
        <charset val="1"/>
      </rPr>
      <t xml:space="preserve">IT</t>
    </r>
    <r>
      <rPr>
        <sz val="10"/>
        <rFont val="WenQuanYi Zen Hei"/>
        <family val="2"/>
      </rPr>
      <t xml:space="preserve">パスポート</t>
    </r>
    <r>
      <rPr>
        <sz val="10"/>
        <rFont val="Meiryo UI"/>
        <family val="0"/>
        <charset val="1"/>
      </rPr>
      <t xml:space="preserve">/</t>
    </r>
    <r>
      <rPr>
        <sz val="10"/>
        <rFont val="WenQuanYi Zen Hei"/>
        <family val="2"/>
      </rPr>
      <t xml:space="preserve">基本情報記事へ分岐。冒頭に最終更新日と「確定情報</t>
    </r>
    <r>
      <rPr>
        <sz val="10"/>
        <rFont val="Meiryo UI"/>
        <family val="0"/>
        <charset val="1"/>
      </rPr>
      <t xml:space="preserve">/</t>
    </r>
    <r>
      <rPr>
        <sz val="10"/>
        <rFont val="WenQuanYi Zen Hei"/>
        <family val="2"/>
      </rPr>
      <t xml:space="preserve">未確定情報」を明記。</t>
    </r>
  </si>
  <si>
    <r>
      <rPr>
        <sz val="10"/>
        <rFont val="WenQuanYi Zen Hei"/>
        <family val="2"/>
      </rPr>
      <t xml:space="preserve">【案</t>
    </r>
    <r>
      <rPr>
        <sz val="10"/>
        <rFont val="Meiryo UI"/>
        <family val="0"/>
        <charset val="1"/>
      </rPr>
      <t xml:space="preserve">A</t>
    </r>
    <r>
      <rPr>
        <sz val="10"/>
        <rFont val="WenQuanYi Zen Hei"/>
        <family val="2"/>
      </rPr>
      <t xml:space="preserve">】【</t>
    </r>
    <r>
      <rPr>
        <sz val="10"/>
        <rFont val="Meiryo UI"/>
        <family val="0"/>
        <charset val="1"/>
      </rPr>
      <t xml:space="preserve">2027</t>
    </r>
    <r>
      <rPr>
        <sz val="10"/>
        <rFont val="WenQuanYi Zen Hei"/>
        <family val="2"/>
      </rPr>
      <t xml:space="preserve">年】</t>
    </r>
    <r>
      <rPr>
        <sz val="10"/>
        <rFont val="Meiryo UI"/>
        <family val="0"/>
        <charset val="1"/>
      </rPr>
      <t xml:space="preserve">IPA</t>
    </r>
    <r>
      <rPr>
        <sz val="10"/>
        <rFont val="WenQuanYi Zen Hei"/>
        <family val="2"/>
      </rPr>
      <t xml:space="preserve">試験はどう変わる？応用情報・高度試験の廃止と新試験を一覧で解説
【案</t>
    </r>
    <r>
      <rPr>
        <sz val="10"/>
        <rFont val="Meiryo UI"/>
        <family val="0"/>
        <charset val="1"/>
      </rPr>
      <t xml:space="preserve">B</t>
    </r>
    <r>
      <rPr>
        <sz val="10"/>
        <rFont val="WenQuanYi Zen Hei"/>
        <family val="2"/>
      </rPr>
      <t xml:space="preserve">】情報処理技術者試験の</t>
    </r>
    <r>
      <rPr>
        <sz val="10"/>
        <rFont val="Meiryo UI"/>
        <family val="0"/>
        <charset val="1"/>
      </rPr>
      <t xml:space="preserve">2027</t>
    </r>
    <r>
      <rPr>
        <sz val="10"/>
        <rFont val="WenQuanYi Zen Hei"/>
        <family val="2"/>
      </rPr>
      <t xml:space="preserve">年改編まとめ｜なくなる試験・いつまで受けられるか
【説明文】</t>
    </r>
    <r>
      <rPr>
        <sz val="10"/>
        <rFont val="Meiryo UI"/>
        <family val="0"/>
        <charset val="1"/>
      </rPr>
      <t xml:space="preserve">2027</t>
    </r>
    <r>
      <rPr>
        <sz val="10"/>
        <rFont val="WenQuanYi Zen Hei"/>
        <family val="2"/>
      </rPr>
      <t xml:space="preserve">年の情報処理技術者試験の改編で、応用情報や高度試験はなくなるのか、いつまで受けられるのかを一覧で整理。今から受けるべき試験を現役</t>
    </r>
    <r>
      <rPr>
        <sz val="10"/>
        <rFont val="Meiryo UI"/>
        <family val="0"/>
        <charset val="1"/>
      </rPr>
      <t xml:space="preserve">IT</t>
    </r>
    <r>
      <rPr>
        <sz val="10"/>
        <rFont val="WenQuanYi Zen Hei"/>
        <family val="2"/>
      </rPr>
      <t xml:space="preserve">人事が採用時の評価目線で解説。
【新記事タイトル案】応用情報技術者試験はなくなる？いつまで受けられるか・</t>
    </r>
    <r>
      <rPr>
        <sz val="10"/>
        <rFont val="Meiryo UI"/>
        <family val="0"/>
        <charset val="1"/>
      </rPr>
      <t xml:space="preserve">2027</t>
    </r>
    <r>
      <rPr>
        <sz val="10"/>
        <rFont val="WenQuanYi Zen Hei"/>
        <family val="2"/>
      </rPr>
      <t xml:space="preserve">年以降の扱いを解説</t>
    </r>
  </si>
  <si>
    <r>
      <rPr>
        <sz val="10"/>
        <rFont val="WenQuanYi Zen Hei"/>
        <family val="2"/>
      </rPr>
      <t xml:space="preserve">読者は資格学習中で転職意欲は低い→ソフト導線のみ。
①「資格は転職でどう評価されるか」（なければ新設）：「採用側は資格を実務経験の裏付けとして見る。自分の経験がどう評価されるかは、スカウト型に職務経歴だけ登録しておくと分かる」→レバテックダイレクト
②記事末：資格講座案件（スタディング等）は各</t>
    </r>
    <r>
      <rPr>
        <sz val="10"/>
        <rFont val="Meiryo UI"/>
        <family val="0"/>
        <charset val="1"/>
      </rPr>
      <t xml:space="preserve">ASP</t>
    </r>
    <r>
      <rPr>
        <sz val="10"/>
        <rFont val="WenQuanYi Zen Hei"/>
        <family val="2"/>
      </rPr>
      <t xml:space="preserve">で提携可否・報酬を確認のうえ検討</t>
    </r>
  </si>
  <si>
    <r>
      <rPr>
        <sz val="10"/>
        <rFont val="WenQuanYi Zen Hei"/>
        <family val="2"/>
      </rPr>
      <t xml:space="preserve">レバテックダイレクト</t>
    </r>
    <r>
      <rPr>
        <sz val="10"/>
        <rFont val="Meiryo UI"/>
        <family val="0"/>
        <charset val="1"/>
      </rPr>
      <t xml:space="preserve">(A8)</t>
    </r>
  </si>
  <si>
    <t xml:space="preserve">大</t>
  </si>
  <si>
    <t xml:space="preserve">/rirekisho-ai-bareru/</t>
  </si>
  <si>
    <r>
      <rPr>
        <sz val="10"/>
        <rFont val="Meiryo UI"/>
        <family val="0"/>
        <charset val="1"/>
      </rPr>
      <t xml:space="preserve">AI</t>
    </r>
    <r>
      <rPr>
        <sz val="10"/>
        <rFont val="WenQuanYi Zen Hei"/>
        <family val="2"/>
      </rPr>
      <t xml:space="preserve">応募書類</t>
    </r>
  </si>
  <si>
    <r>
      <rPr>
        <sz val="10"/>
        <rFont val="WenQuanYi Zen Hei"/>
        <family val="2"/>
      </rPr>
      <t xml:space="preserve">履歴書 </t>
    </r>
    <r>
      <rPr>
        <sz val="10"/>
        <rFont val="Meiryo UI"/>
        <family val="0"/>
        <charset val="1"/>
      </rPr>
      <t xml:space="preserve">ai </t>
    </r>
    <r>
      <rPr>
        <sz val="10"/>
        <rFont val="WenQuanYi Zen Hei"/>
        <family val="2"/>
      </rPr>
      <t xml:space="preserve">バレる（</t>
    </r>
    <r>
      <rPr>
        <sz val="10"/>
        <rFont val="Meiryo UI"/>
        <family val="0"/>
        <charset val="1"/>
      </rPr>
      <t xml:space="preserve">767</t>
    </r>
    <r>
      <rPr>
        <sz val="10"/>
        <rFont val="WenQuanYi Zen Hei"/>
        <family val="2"/>
      </rPr>
      <t xml:space="preserve">表示・</t>
    </r>
    <r>
      <rPr>
        <sz val="10"/>
        <rFont val="Meiryo UI"/>
        <family val="0"/>
        <charset val="1"/>
      </rPr>
      <t xml:space="preserve">6.3</t>
    </r>
    <r>
      <rPr>
        <sz val="10"/>
        <rFont val="WenQuanYi Zen Hei"/>
        <family val="2"/>
      </rPr>
      <t xml:space="preserve">位・</t>
    </r>
    <r>
      <rPr>
        <sz val="10"/>
        <rFont val="Meiryo UI"/>
        <family val="0"/>
        <charset val="1"/>
      </rPr>
      <t xml:space="preserve">CTR0.4%</t>
    </r>
    <r>
      <rPr>
        <sz val="10"/>
        <rFont val="WenQuanYi Zen Hei"/>
        <family val="2"/>
      </rPr>
      <t xml:space="preserve">） </t>
    </r>
    <r>
      <rPr>
        <sz val="10"/>
        <rFont val="Meiryo UI"/>
        <family val="0"/>
        <charset val="1"/>
      </rPr>
      <t xml:space="preserve">/ </t>
    </r>
    <r>
      <rPr>
        <sz val="10"/>
        <rFont val="WenQuanYi Zen Hei"/>
        <family val="2"/>
      </rPr>
      <t xml:space="preserve">職務経歴書 </t>
    </r>
    <r>
      <rPr>
        <sz val="10"/>
        <rFont val="Meiryo UI"/>
        <family val="0"/>
        <charset val="1"/>
      </rPr>
      <t xml:space="preserve">ai </t>
    </r>
    <r>
      <rPr>
        <sz val="10"/>
        <rFont val="WenQuanYi Zen Hei"/>
        <family val="2"/>
      </rPr>
      <t xml:space="preserve">バレる（</t>
    </r>
    <r>
      <rPr>
        <sz val="10"/>
        <rFont val="Meiryo UI"/>
        <family val="0"/>
        <charset val="1"/>
      </rPr>
      <t xml:space="preserve">389</t>
    </r>
    <r>
      <rPr>
        <sz val="10"/>
        <rFont val="WenQuanYi Zen Hei"/>
        <family val="2"/>
      </rPr>
      <t xml:space="preserve">表示・</t>
    </r>
    <r>
      <rPr>
        <sz val="10"/>
        <rFont val="Meiryo UI"/>
        <family val="0"/>
        <charset val="1"/>
      </rPr>
      <t xml:space="preserve">12.0</t>
    </r>
    <r>
      <rPr>
        <sz val="10"/>
        <rFont val="WenQuanYi Zen Hei"/>
        <family val="2"/>
      </rPr>
      <t xml:space="preserve">位・</t>
    </r>
    <r>
      <rPr>
        <sz val="10"/>
        <rFont val="Meiryo UI"/>
        <family val="0"/>
        <charset val="1"/>
      </rPr>
      <t xml:space="preserve">CTR0.5%</t>
    </r>
    <r>
      <rPr>
        <sz val="10"/>
        <rFont val="WenQuanYi Zen Hei"/>
        <family val="2"/>
      </rPr>
      <t xml:space="preserve">） </t>
    </r>
    <r>
      <rPr>
        <sz val="10"/>
        <rFont val="Meiryo UI"/>
        <family val="0"/>
        <charset val="1"/>
      </rPr>
      <t xml:space="preserve">/ </t>
    </r>
    <r>
      <rPr>
        <sz val="10"/>
        <rFont val="WenQuanYi Zen Hei"/>
        <family val="2"/>
      </rPr>
      <t xml:space="preserve">職務経歴書 </t>
    </r>
    <r>
      <rPr>
        <sz val="10"/>
        <rFont val="Meiryo UI"/>
        <family val="0"/>
        <charset val="1"/>
      </rPr>
      <t xml:space="preserve">chatgpt </t>
    </r>
    <r>
      <rPr>
        <sz val="10"/>
        <rFont val="WenQuanYi Zen Hei"/>
        <family val="2"/>
      </rPr>
      <t xml:space="preserve">バレる（</t>
    </r>
    <r>
      <rPr>
        <sz val="10"/>
        <rFont val="Meiryo UI"/>
        <family val="0"/>
        <charset val="1"/>
      </rPr>
      <t xml:space="preserve">134</t>
    </r>
    <r>
      <rPr>
        <sz val="10"/>
        <rFont val="WenQuanYi Zen Hei"/>
        <family val="2"/>
      </rPr>
      <t xml:space="preserve">表示・</t>
    </r>
    <r>
      <rPr>
        <sz val="10"/>
        <rFont val="Meiryo UI"/>
        <family val="0"/>
        <charset val="1"/>
      </rPr>
      <t xml:space="preserve">10.2</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</si>
  <si>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3,319</t>
    </r>
    <r>
      <rPr>
        <sz val="10"/>
        <rFont val="WenQuanYi Zen Hei"/>
        <family val="2"/>
      </rPr>
      <t xml:space="preserve">表示・</t>
    </r>
    <r>
      <rPr>
        <sz val="10"/>
        <rFont val="Meiryo UI"/>
        <family val="0"/>
        <charset val="1"/>
      </rPr>
      <t xml:space="preserve">7.5</t>
    </r>
    <r>
      <rPr>
        <sz val="10"/>
        <rFont val="WenQuanYi Zen Hei"/>
        <family val="2"/>
      </rPr>
      <t xml:space="preserve">位なのに</t>
    </r>
    <r>
      <rPr>
        <sz val="10"/>
        <rFont val="Meiryo UI"/>
        <family val="0"/>
        <charset val="1"/>
      </rPr>
      <t xml:space="preserve">CTR0.7%</t>
    </r>
    <r>
      <rPr>
        <sz val="10"/>
        <rFont val="WenQuanYi Zen Hei"/>
        <family val="2"/>
      </rPr>
      <t xml:space="preserve">（同順位帯のサイト標準は約</t>
    </r>
    <r>
      <rPr>
        <sz val="10"/>
        <rFont val="Meiryo UI"/>
        <family val="0"/>
        <charset val="1"/>
      </rPr>
      <t xml:space="preserve">3.5%</t>
    </r>
    <r>
      <rPr>
        <sz val="10"/>
        <rFont val="WenQuanYi Zen Hei"/>
        <family val="2"/>
      </rPr>
      <t xml:space="preserve">）。直近</t>
    </r>
    <r>
      <rPr>
        <sz val="10"/>
        <rFont val="Meiryo UI"/>
        <family val="0"/>
        <charset val="1"/>
      </rPr>
      <t xml:space="preserve">28</t>
    </r>
    <r>
      <rPr>
        <sz val="10"/>
        <rFont val="WenQuanYi Zen Hei"/>
        <family val="2"/>
      </rPr>
      <t xml:space="preserve">日は</t>
    </r>
    <r>
      <rPr>
        <sz val="10"/>
        <rFont val="Meiryo UI"/>
        <family val="0"/>
        <charset val="1"/>
      </rPr>
      <t xml:space="preserve">8.6</t>
    </r>
    <r>
      <rPr>
        <sz val="10"/>
        <rFont val="WenQuanYi Zen Hei"/>
        <family val="2"/>
      </rPr>
      <t xml:space="preserve">位に低下（今回唯一、カニバリによる順位低下と言える事例）。「履歴書 </t>
    </r>
    <r>
      <rPr>
        <sz val="10"/>
        <rFont val="Meiryo UI"/>
        <family val="0"/>
        <charset val="1"/>
      </rPr>
      <t xml:space="preserve">ai </t>
    </r>
    <r>
      <rPr>
        <sz val="10"/>
        <rFont val="WenQuanYi Zen Hei"/>
        <family val="2"/>
      </rPr>
      <t xml:space="preserve">バレる」</t>
    </r>
    <r>
      <rPr>
        <sz val="10"/>
        <rFont val="Meiryo UI"/>
        <family val="0"/>
        <charset val="1"/>
      </rPr>
      <t xml:space="preserve">767</t>
    </r>
    <r>
      <rPr>
        <sz val="10"/>
        <rFont val="WenQuanYi Zen Hei"/>
        <family val="2"/>
      </rPr>
      <t xml:space="preserve">表示</t>
    </r>
    <r>
      <rPr>
        <sz val="10"/>
        <rFont val="Meiryo UI"/>
        <family val="0"/>
        <charset val="1"/>
      </rPr>
      <t xml:space="preserve">6.3</t>
    </r>
    <r>
      <rPr>
        <sz val="10"/>
        <rFont val="WenQuanYi Zen Hei"/>
        <family val="2"/>
      </rPr>
      <t xml:space="preserve">位</t>
    </r>
    <r>
      <rPr>
        <sz val="10"/>
        <rFont val="Meiryo UI"/>
        <family val="0"/>
        <charset val="1"/>
      </rPr>
      <t xml:space="preserve">CTR0.4%</t>
    </r>
    <r>
      <rPr>
        <sz val="10"/>
        <rFont val="WenQuanYi Zen Hei"/>
        <family val="2"/>
      </rPr>
      <t xml:space="preserve">、「職務経歴書 </t>
    </r>
    <r>
      <rPr>
        <sz val="10"/>
        <rFont val="Meiryo UI"/>
        <family val="0"/>
        <charset val="1"/>
      </rPr>
      <t xml:space="preserve">ai </t>
    </r>
    <r>
      <rPr>
        <sz val="10"/>
        <rFont val="WenQuanYi Zen Hei"/>
        <family val="2"/>
      </rPr>
      <t xml:space="preserve">バレる」</t>
    </r>
    <r>
      <rPr>
        <sz val="10"/>
        <rFont val="Meiryo UI"/>
        <family val="0"/>
        <charset val="1"/>
      </rPr>
      <t xml:space="preserve">389</t>
    </r>
    <r>
      <rPr>
        <sz val="10"/>
        <rFont val="WenQuanYi Zen Hei"/>
        <family val="2"/>
      </rPr>
      <t xml:space="preserve">表示</t>
    </r>
    <r>
      <rPr>
        <sz val="10"/>
        <rFont val="Meiryo UI"/>
        <family val="0"/>
        <charset val="1"/>
      </rPr>
      <t xml:space="preserve">12.0</t>
    </r>
    <r>
      <rPr>
        <sz val="10"/>
        <rFont val="WenQuanYi Zen Hei"/>
        <family val="2"/>
      </rPr>
      <t xml:space="preserve">位、「職務経歴書 </t>
    </r>
    <r>
      <rPr>
        <sz val="10"/>
        <rFont val="Meiryo UI"/>
        <family val="0"/>
        <charset val="1"/>
      </rPr>
      <t xml:space="preserve">chatgpt </t>
    </r>
    <r>
      <rPr>
        <sz val="10"/>
        <rFont val="WenQuanYi Zen Hei"/>
        <family val="2"/>
      </rPr>
      <t xml:space="preserve">バレる」</t>
    </r>
    <r>
      <rPr>
        <sz val="10"/>
        <rFont val="Meiryo UI"/>
        <family val="0"/>
        <charset val="1"/>
      </rPr>
      <t xml:space="preserve">134</t>
    </r>
    <r>
      <rPr>
        <sz val="10"/>
        <rFont val="WenQuanYi Zen Hei"/>
        <family val="2"/>
      </rPr>
      <t xml:space="preserve">表示クリック</t>
    </r>
    <r>
      <rPr>
        <sz val="10"/>
        <rFont val="Meiryo UI"/>
        <family val="0"/>
        <charset val="1"/>
      </rPr>
      <t xml:space="preserve">0</t>
    </r>
    <r>
      <rPr>
        <sz val="10"/>
        <rFont val="WenQuanYi Zen Hei"/>
        <family val="2"/>
      </rPr>
      <t xml:space="preserve">。現行タイトル（検索結果で確認）は長く、答えが見えず「暴露」が煽りに見える。</t>
    </r>
  </si>
  <si>
    <r>
      <rPr>
        <sz val="10"/>
        <rFont val="WenQuanYi Zen Hei"/>
        <family val="2"/>
      </rPr>
      <t xml:space="preserve">【</t>
    </r>
    <r>
      <rPr>
        <sz val="10"/>
        <rFont val="Meiryo UI"/>
        <family val="0"/>
        <charset val="1"/>
      </rPr>
      <t xml:space="preserve">AI</t>
    </r>
    <r>
      <rPr>
        <sz val="10"/>
        <rFont val="WenQuanYi Zen Hei"/>
        <family val="2"/>
      </rPr>
      <t xml:space="preserve">応募書類】競合相手：</t>
    </r>
    <r>
      <rPr>
        <sz val="10"/>
        <rFont val="Meiryo UI"/>
        <family val="0"/>
        <charset val="1"/>
      </rPr>
      <t xml:space="preserve">/shokumukeirekisho-ai-chatgpt-sakusei/</t>
    </r>
    <r>
      <rPr>
        <sz val="10"/>
        <rFont val="WenQuanYi Zen Hei"/>
        <family val="2"/>
      </rPr>
      <t xml:space="preserve">、</t>
    </r>
    <r>
      <rPr>
        <sz val="10"/>
        <rFont val="Meiryo UI"/>
        <family val="0"/>
        <charset val="1"/>
      </rPr>
      <t xml:space="preserve">/ai-buntai-rirekisho-syokumukerekisho/</t>
    </r>
    <r>
      <rPr>
        <sz val="10"/>
        <rFont val="WenQuanYi Zen Hei"/>
        <family val="2"/>
      </rPr>
      <t xml:space="preserve">、</t>
    </r>
    <r>
      <rPr>
        <sz val="10"/>
        <rFont val="Meiryo UI"/>
        <family val="0"/>
        <charset val="1"/>
      </rPr>
      <t xml:space="preserve">/ai-mensetsu-shorui-senko/</t>
    </r>
  </si>
  <si>
    <r>
      <rPr>
        <sz val="10"/>
        <rFont val="Meiryo UI"/>
        <family val="0"/>
        <charset val="1"/>
      </rPr>
      <t xml:space="preserve">AI×</t>
    </r>
    <r>
      <rPr>
        <sz val="10"/>
        <rFont val="WenQuanYi Zen Hei"/>
        <family val="2"/>
      </rPr>
      <t xml:space="preserve">応募書類の記事を整理。</t>
    </r>
    <r>
      <rPr>
        <sz val="10"/>
        <rFont val="Meiryo UI"/>
        <family val="0"/>
        <charset val="1"/>
      </rPr>
      <t xml:space="preserve">/ai-buntai-rirekisho-syokumukerekisho/</t>
    </r>
    <r>
      <rPr>
        <sz val="10"/>
        <rFont val="WenQuanYi Zen Hei"/>
        <family val="2"/>
      </rPr>
      <t xml:space="preserve">を本記事に統合して</t>
    </r>
    <r>
      <rPr>
        <sz val="10"/>
        <rFont val="Meiryo UI"/>
        <family val="0"/>
        <charset val="1"/>
      </rPr>
      <t xml:space="preserve">301</t>
    </r>
    <r>
      <rPr>
        <sz val="10"/>
        <rFont val="WenQuanYi Zen Hei"/>
        <family val="2"/>
      </rPr>
      <t xml:space="preserve">。</t>
    </r>
    <r>
      <rPr>
        <sz val="10"/>
        <rFont val="Meiryo UI"/>
        <family val="0"/>
        <charset val="1"/>
      </rPr>
      <t xml:space="preserve">/shokumukeirekisho-ai-chatgpt-sakusei/</t>
    </r>
    <r>
      <rPr>
        <sz val="10"/>
        <rFont val="WenQuanYi Zen Hei"/>
        <family val="2"/>
      </rPr>
      <t xml:space="preserve">は「作り方・プロンプト例」に特化し、タイトルから「バレる」を外す。本記事は履歴書・職務経歴書の両方の「バレる？」を担当し、職務経歴書の見出しを強化。「チャッピー」など俗称（</t>
    </r>
    <r>
      <rPr>
        <sz val="10"/>
        <rFont val="Meiryo UI"/>
        <family val="0"/>
        <charset val="1"/>
      </rPr>
      <t xml:space="preserve">33</t>
    </r>
    <r>
      <rPr>
        <sz val="10"/>
        <rFont val="WenQuanYi Zen Hei"/>
        <family val="2"/>
      </rPr>
      <t xml:space="preserve">表示）も本文で拾う。</t>
    </r>
  </si>
  <si>
    <r>
      <rPr>
        <sz val="10"/>
        <rFont val="WenQuanYi Zen Hei"/>
        <family val="2"/>
      </rPr>
      <t xml:space="preserve">【案</t>
    </r>
    <r>
      <rPr>
        <sz val="10"/>
        <rFont val="Meiryo UI"/>
        <family val="0"/>
        <charset val="1"/>
      </rPr>
      <t xml:space="preserve">A</t>
    </r>
    <r>
      <rPr>
        <sz val="10"/>
        <rFont val="WenQuanYi Zen Hei"/>
        <family val="2"/>
      </rPr>
      <t xml:space="preserve">】履歴書・職務経歴書の</t>
    </r>
    <r>
      <rPr>
        <sz val="10"/>
        <rFont val="Meiryo UI"/>
        <family val="0"/>
        <charset val="1"/>
      </rPr>
      <t xml:space="preserve">AI</t>
    </r>
    <r>
      <rPr>
        <sz val="10"/>
        <rFont val="WenQuanYi Zen Hei"/>
        <family val="2"/>
      </rPr>
      <t xml:space="preserve">作成はバレる？採用担当が答える「バレる文章」の特徴
【案</t>
    </r>
    <r>
      <rPr>
        <sz val="10"/>
        <rFont val="Meiryo UI"/>
        <family val="0"/>
        <charset val="1"/>
      </rPr>
      <t xml:space="preserve">B</t>
    </r>
    <r>
      <rPr>
        <sz val="10"/>
        <rFont val="WenQuanYi Zen Hei"/>
        <family val="2"/>
      </rPr>
      <t xml:space="preserve">】【人事が回答】</t>
    </r>
    <r>
      <rPr>
        <sz val="10"/>
        <rFont val="Meiryo UI"/>
        <family val="0"/>
        <charset val="1"/>
      </rPr>
      <t xml:space="preserve">AI</t>
    </r>
    <r>
      <rPr>
        <sz val="10"/>
        <rFont val="WenQuanYi Zen Hei"/>
        <family val="2"/>
      </rPr>
      <t xml:space="preserve">で書いた職務経歴書はバレる？バレても落ちない使い方
【説明文】結論、</t>
    </r>
    <r>
      <rPr>
        <sz val="10"/>
        <rFont val="Meiryo UI"/>
        <family val="0"/>
        <charset val="1"/>
      </rPr>
      <t xml:space="preserve">AI</t>
    </r>
    <r>
      <rPr>
        <sz val="10"/>
        <rFont val="WenQuanYi Zen Hei"/>
        <family val="2"/>
      </rPr>
      <t xml:space="preserve">で作った履歴書・職務経歴書は「使い方次第でバレます」。現役の採用担当が、</t>
    </r>
    <r>
      <rPr>
        <sz val="10"/>
        <rFont val="Meiryo UI"/>
        <family val="0"/>
        <charset val="1"/>
      </rPr>
      <t xml:space="preserve">AI</t>
    </r>
    <r>
      <rPr>
        <sz val="10"/>
        <rFont val="WenQuanYi Zen Hei"/>
        <family val="2"/>
      </rPr>
      <t xml:space="preserve">文章だと気づく瞬間と、バレても評価が下がらない使い方を具体例つきで解説。</t>
    </r>
  </si>
  <si>
    <r>
      <rPr>
        <sz val="10"/>
        <rFont val="WenQuanYi Zen Hei"/>
        <family val="2"/>
      </rPr>
      <t xml:space="preserve">①「バレても落ちない使い方」の末尾：「</t>
    </r>
    <r>
      <rPr>
        <sz val="10"/>
        <rFont val="Meiryo UI"/>
        <family val="0"/>
        <charset val="1"/>
      </rPr>
      <t xml:space="preserve">AI</t>
    </r>
    <r>
      <rPr>
        <sz val="10"/>
        <rFont val="WenQuanYi Zen Hei"/>
        <family val="2"/>
      </rPr>
      <t xml:space="preserve">の下書きは、採用側の目線を持つ第三者に一度見てもらうのが確実。エージェントの書類添削は無料なので、下書きを持ち込むのが一番コスパが良い」→リクルートエージェント
②「人事が見ているポイント」：「</t>
    </r>
    <r>
      <rPr>
        <sz val="10"/>
        <rFont val="Meiryo UI"/>
        <family val="0"/>
        <charset val="1"/>
      </rPr>
      <t xml:space="preserve">IT</t>
    </r>
    <r>
      <rPr>
        <sz val="10"/>
        <rFont val="WenQuanYi Zen Hei"/>
        <family val="2"/>
      </rPr>
      <t xml:space="preserve">エンジニアなら、職務経歴書を登録してスカウトが来るかで書類の通過力を試せる」→レバテックダイレクト</t>
    </r>
  </si>
  <si>
    <t xml:space="preserve">/instant-offer-one-interview-black-company-warning/</t>
  </si>
  <si>
    <t xml:space="preserve">即内定</t>
  </si>
  <si>
    <t xml:space="preserve">下落</t>
  </si>
  <si>
    <r>
      <rPr>
        <sz val="10"/>
        <rFont val="WenQuanYi Zen Hei"/>
        <family val="2"/>
      </rPr>
      <t xml:space="preserve">面接</t>
    </r>
    <r>
      <rPr>
        <sz val="10"/>
        <rFont val="Meiryo UI"/>
        <family val="0"/>
        <charset val="1"/>
      </rPr>
      <t xml:space="preserve">1</t>
    </r>
    <r>
      <rPr>
        <sz val="10"/>
        <rFont val="WenQuanYi Zen Hei"/>
        <family val="2"/>
      </rPr>
      <t xml:space="preserve">回で内定 やばい（</t>
    </r>
    <r>
      <rPr>
        <sz val="10"/>
        <rFont val="Meiryo UI"/>
        <family val="0"/>
        <charset val="1"/>
      </rPr>
      <t xml:space="preserve">764</t>
    </r>
    <r>
      <rPr>
        <sz val="10"/>
        <rFont val="WenQuanYi Zen Hei"/>
        <family val="2"/>
      </rPr>
      <t xml:space="preserve">表示・</t>
    </r>
    <r>
      <rPr>
        <sz val="10"/>
        <rFont val="Meiryo UI"/>
        <family val="0"/>
        <charset val="1"/>
      </rPr>
      <t xml:space="preserve">2.8</t>
    </r>
    <r>
      <rPr>
        <sz val="10"/>
        <rFont val="WenQuanYi Zen Hei"/>
        <family val="2"/>
      </rPr>
      <t xml:space="preserve">位・</t>
    </r>
    <r>
      <rPr>
        <sz val="10"/>
        <rFont val="Meiryo UI"/>
        <family val="0"/>
        <charset val="1"/>
      </rPr>
      <t xml:space="preserve">CTR7.6%</t>
    </r>
    <r>
      <rPr>
        <sz val="10"/>
        <rFont val="WenQuanYi Zen Hei"/>
        <family val="2"/>
      </rPr>
      <t xml:space="preserve">） </t>
    </r>
    <r>
      <rPr>
        <sz val="10"/>
        <rFont val="Meiryo UI"/>
        <family val="0"/>
        <charset val="1"/>
      </rPr>
      <t xml:space="preserve">/ </t>
    </r>
    <r>
      <rPr>
        <sz val="10"/>
        <rFont val="WenQuanYi Zen Hei"/>
        <family val="2"/>
      </rPr>
      <t xml:space="preserve">面接</t>
    </r>
    <r>
      <rPr>
        <sz val="10"/>
        <rFont val="Meiryo UI"/>
        <family val="0"/>
        <charset val="1"/>
      </rPr>
      <t xml:space="preserve">1</t>
    </r>
    <r>
      <rPr>
        <sz val="10"/>
        <rFont val="WenQuanYi Zen Hei"/>
        <family val="2"/>
      </rPr>
      <t xml:space="preserve">回 やばい（</t>
    </r>
    <r>
      <rPr>
        <sz val="10"/>
        <rFont val="Meiryo UI"/>
        <family val="0"/>
        <charset val="1"/>
      </rPr>
      <t xml:space="preserve">393</t>
    </r>
    <r>
      <rPr>
        <sz val="10"/>
        <rFont val="WenQuanYi Zen Hei"/>
        <family val="2"/>
      </rPr>
      <t xml:space="preserve">表示・</t>
    </r>
    <r>
      <rPr>
        <sz val="10"/>
        <rFont val="Meiryo UI"/>
        <family val="0"/>
        <charset val="1"/>
      </rPr>
      <t xml:space="preserve">2.5</t>
    </r>
    <r>
      <rPr>
        <sz val="10"/>
        <rFont val="WenQuanYi Zen Hei"/>
        <family val="2"/>
      </rPr>
      <t xml:space="preserve">位・</t>
    </r>
    <r>
      <rPr>
        <sz val="10"/>
        <rFont val="Meiryo UI"/>
        <family val="0"/>
        <charset val="1"/>
      </rPr>
      <t xml:space="preserve">CTR9.7%</t>
    </r>
    <r>
      <rPr>
        <sz val="10"/>
        <rFont val="WenQuanYi Zen Hei"/>
        <family val="2"/>
      </rPr>
      <t xml:space="preserve">） </t>
    </r>
    <r>
      <rPr>
        <sz val="10"/>
        <rFont val="Meiryo UI"/>
        <family val="0"/>
        <charset val="1"/>
      </rPr>
      <t xml:space="preserve">/ </t>
    </r>
    <r>
      <rPr>
        <sz val="10"/>
        <rFont val="WenQuanYi Zen Hei"/>
        <family val="2"/>
      </rPr>
      <t xml:space="preserve">即日内定 やばい（</t>
    </r>
    <r>
      <rPr>
        <sz val="10"/>
        <rFont val="Meiryo UI"/>
        <family val="0"/>
        <charset val="1"/>
      </rPr>
      <t xml:space="preserve">308</t>
    </r>
    <r>
      <rPr>
        <sz val="10"/>
        <rFont val="WenQuanYi Zen Hei"/>
        <family val="2"/>
      </rPr>
      <t xml:space="preserve">表示・</t>
    </r>
    <r>
      <rPr>
        <sz val="10"/>
        <rFont val="Meiryo UI"/>
        <family val="0"/>
        <charset val="1"/>
      </rPr>
      <t xml:space="preserve">5.5</t>
    </r>
    <r>
      <rPr>
        <sz val="10"/>
        <rFont val="WenQuanYi Zen Hei"/>
        <family val="2"/>
      </rPr>
      <t xml:space="preserve">位・</t>
    </r>
    <r>
      <rPr>
        <sz val="10"/>
        <rFont val="Meiryo UI"/>
        <family val="0"/>
        <charset val="1"/>
      </rPr>
      <t xml:space="preserve">CTR2.6%</t>
    </r>
    <r>
      <rPr>
        <sz val="10"/>
        <rFont val="WenQuanYi Zen Hei"/>
        <family val="2"/>
      </rPr>
      <t xml:space="preserve">）</t>
    </r>
  </si>
  <si>
    <r>
      <rPr>
        <sz val="10"/>
        <rFont val="WenQuanYi Zen Hei"/>
        <family val="2"/>
      </rPr>
      <t xml:space="preserve">日次クリック</t>
    </r>
    <r>
      <rPr>
        <sz val="10"/>
        <rFont val="Meiryo UI"/>
        <family val="0"/>
        <charset val="1"/>
      </rPr>
      <t xml:space="preserve">4.5→2.1</t>
    </r>
    <r>
      <rPr>
        <sz val="10"/>
        <rFont val="WenQuanYi Zen Hei"/>
        <family val="2"/>
      </rPr>
      <t xml:space="preserve">に半減。順位は</t>
    </r>
    <r>
      <rPr>
        <sz val="10"/>
        <rFont val="Meiryo UI"/>
        <family val="0"/>
        <charset val="1"/>
      </rPr>
      <t xml:space="preserve">6.4→6.0</t>
    </r>
    <r>
      <rPr>
        <sz val="10"/>
        <rFont val="WenQuanYi Zen Hei"/>
        <family val="2"/>
      </rPr>
      <t xml:space="preserve">でむしろ改善、表示−</t>
    </r>
    <r>
      <rPr>
        <sz val="10"/>
        <rFont val="Meiryo UI"/>
        <family val="0"/>
        <charset val="1"/>
      </rPr>
      <t xml:space="preserve">23%</t>
    </r>
    <r>
      <rPr>
        <sz val="10"/>
        <rFont val="WenQuanYi Zen Hei"/>
        <family val="2"/>
      </rPr>
      <t xml:space="preserve">、</t>
    </r>
    <r>
      <rPr>
        <sz val="10"/>
        <rFont val="Meiryo UI"/>
        <family val="0"/>
        <charset val="1"/>
      </rPr>
      <t xml:space="preserve">CTR</t>
    </r>
    <r>
      <rPr>
        <sz val="10"/>
        <rFont val="WenQuanYi Zen Hei"/>
        <family val="2"/>
      </rPr>
      <t xml:space="preserve">が</t>
    </r>
    <r>
      <rPr>
        <sz val="10"/>
        <rFont val="Meiryo UI"/>
        <family val="0"/>
        <charset val="1"/>
      </rPr>
      <t xml:space="preserve">3.9%→2.3%</t>
    </r>
    <r>
      <rPr>
        <sz val="10"/>
        <rFont val="WenQuanYi Zen Hei"/>
        <family val="2"/>
      </rPr>
      <t xml:space="preserve">に低下。順位ではなく検索結果の見え方（競合タイトル・</t>
    </r>
    <r>
      <rPr>
        <sz val="10"/>
        <rFont val="Meiryo UI"/>
        <family val="0"/>
        <charset val="1"/>
      </rPr>
      <t xml:space="preserve">AI</t>
    </r>
    <r>
      <rPr>
        <sz val="10"/>
        <rFont val="WenQuanYi Zen Hei"/>
        <family val="2"/>
      </rPr>
      <t xml:space="preserve">による概要表示など）の変化が原因の可能性が高い。主要クエリ「面接</t>
    </r>
    <r>
      <rPr>
        <sz val="10"/>
        <rFont val="Meiryo UI"/>
        <family val="0"/>
        <charset val="1"/>
      </rPr>
      <t xml:space="preserve">1</t>
    </r>
    <r>
      <rPr>
        <sz val="10"/>
        <rFont val="WenQuanYi Zen Hei"/>
        <family val="2"/>
      </rPr>
      <t xml:space="preserve">回で内定 やばい」</t>
    </r>
    <r>
      <rPr>
        <sz val="10"/>
        <rFont val="Meiryo UI"/>
        <family val="0"/>
        <charset val="1"/>
      </rPr>
      <t xml:space="preserve">764</t>
    </r>
    <r>
      <rPr>
        <sz val="10"/>
        <rFont val="WenQuanYi Zen Hei"/>
        <family val="2"/>
      </rPr>
      <t xml:space="preserve">表示</t>
    </r>
    <r>
      <rPr>
        <sz val="10"/>
        <rFont val="Meiryo UI"/>
        <family val="0"/>
        <charset val="1"/>
      </rPr>
      <t xml:space="preserve">2.8</t>
    </r>
    <r>
      <rPr>
        <sz val="10"/>
        <rFont val="WenQuanYi Zen Hei"/>
        <family val="2"/>
      </rPr>
      <t xml:space="preserve">位</t>
    </r>
    <r>
      <rPr>
        <sz val="10"/>
        <rFont val="Meiryo UI"/>
        <family val="0"/>
        <charset val="1"/>
      </rPr>
      <t xml:space="preserve">CTR7.6%</t>
    </r>
    <r>
      <rPr>
        <sz val="10"/>
        <rFont val="WenQuanYi Zen Hei"/>
        <family val="2"/>
      </rPr>
      <t xml:space="preserve">は健在。</t>
    </r>
  </si>
  <si>
    <r>
      <rPr>
        <sz val="10"/>
        <rFont val="WenQuanYi Zen Hei"/>
        <family val="2"/>
      </rPr>
      <t xml:space="preserve">【即内定】競合相手：</t>
    </r>
    <r>
      <rPr>
        <sz val="10"/>
        <rFont val="Meiryo UI"/>
        <family val="0"/>
        <charset val="1"/>
      </rPr>
      <t xml:space="preserve">/low-hiring-standards-black-company-risk/</t>
    </r>
  </si>
  <si>
    <r>
      <rPr>
        <sz val="10"/>
        <rFont val="WenQuanYi Zen Hei"/>
        <family val="2"/>
      </rPr>
      <t xml:space="preserve">まずシークレットウィンドウで「面接</t>
    </r>
    <r>
      <rPr>
        <sz val="10"/>
        <rFont val="Meiryo UI"/>
        <family val="0"/>
        <charset val="1"/>
      </rPr>
      <t xml:space="preserve">1</t>
    </r>
    <r>
      <rPr>
        <sz val="10"/>
        <rFont val="WenQuanYi Zen Hei"/>
        <family val="2"/>
      </rPr>
      <t xml:space="preserve">回で内定 やばい」「即日内定 やばい」の検索結果を目視確認。「即日内定 やばい」</t>
    </r>
    <r>
      <rPr>
        <sz val="10"/>
        <rFont val="Meiryo UI"/>
        <family val="0"/>
        <charset val="1"/>
      </rPr>
      <t xml:space="preserve">308</t>
    </r>
    <r>
      <rPr>
        <sz val="10"/>
        <rFont val="WenQuanYi Zen Hei"/>
        <family val="2"/>
      </rPr>
      <t xml:space="preserve">表示</t>
    </r>
    <r>
      <rPr>
        <sz val="10"/>
        <rFont val="Meiryo UI"/>
        <family val="0"/>
        <charset val="1"/>
      </rPr>
      <t xml:space="preserve">5.5</t>
    </r>
    <r>
      <rPr>
        <sz val="10"/>
        <rFont val="WenQuanYi Zen Hei"/>
        <family val="2"/>
      </rPr>
      <t xml:space="preserve">位</t>
    </r>
    <r>
      <rPr>
        <sz val="10"/>
        <rFont val="Meiryo UI"/>
        <family val="0"/>
        <charset val="1"/>
      </rPr>
      <t xml:space="preserve">CTR2.6%</t>
    </r>
    <r>
      <rPr>
        <sz val="10"/>
        <rFont val="WenQuanYi Zen Hei"/>
        <family val="2"/>
      </rPr>
      <t xml:space="preserve">、「</t>
    </r>
    <r>
      <rPr>
        <sz val="10"/>
        <rFont val="Meiryo UI"/>
        <family val="0"/>
        <charset val="1"/>
      </rPr>
      <t xml:space="preserve">1day</t>
    </r>
    <r>
      <rPr>
        <sz val="10"/>
        <rFont val="WenQuanYi Zen Hei"/>
        <family val="2"/>
      </rPr>
      <t xml:space="preserve">選考会 やばい」（計</t>
    </r>
    <r>
      <rPr>
        <sz val="10"/>
        <rFont val="Meiryo UI"/>
        <family val="0"/>
        <charset val="1"/>
      </rPr>
      <t xml:space="preserve">175</t>
    </r>
    <r>
      <rPr>
        <sz val="10"/>
        <rFont val="WenQuanYi Zen Hei"/>
        <family val="2"/>
      </rPr>
      <t xml:space="preserve">表示・</t>
    </r>
    <r>
      <rPr>
        <sz val="10"/>
        <rFont val="Meiryo UI"/>
        <family val="0"/>
        <charset val="1"/>
      </rPr>
      <t xml:space="preserve">22</t>
    </r>
    <r>
      <rPr>
        <sz val="10"/>
        <rFont val="WenQuanYi Zen Hei"/>
        <family val="2"/>
      </rPr>
      <t xml:space="preserve">〜</t>
    </r>
    <r>
      <rPr>
        <sz val="10"/>
        <rFont val="Meiryo UI"/>
        <family val="0"/>
        <charset val="1"/>
      </rPr>
      <t xml:space="preserve">24</t>
    </r>
    <r>
      <rPr>
        <sz val="10"/>
        <rFont val="WenQuanYi Zen Hei"/>
        <family val="2"/>
      </rPr>
      <t xml:space="preserve">位）に答える見出しを追加。「面接</t>
    </r>
    <r>
      <rPr>
        <sz val="10"/>
        <rFont val="Meiryo UI"/>
        <family val="0"/>
        <charset val="1"/>
      </rPr>
      <t xml:space="preserve">1</t>
    </r>
    <r>
      <rPr>
        <sz val="10"/>
        <rFont val="WenQuanYi Zen Hei"/>
        <family val="2"/>
      </rPr>
      <t xml:space="preserve">回 ホワイト」（</t>
    </r>
    <r>
      <rPr>
        <sz val="10"/>
        <rFont val="Meiryo UI"/>
        <family val="0"/>
        <charset val="1"/>
      </rPr>
      <t xml:space="preserve">208</t>
    </r>
    <r>
      <rPr>
        <sz val="10"/>
        <rFont val="WenQuanYi Zen Hei"/>
        <family val="2"/>
      </rPr>
      <t xml:space="preserve">表示</t>
    </r>
    <r>
      <rPr>
        <sz val="10"/>
        <rFont val="Meiryo UI"/>
        <family val="0"/>
        <charset val="1"/>
      </rPr>
      <t xml:space="preserve">3.1</t>
    </r>
    <r>
      <rPr>
        <sz val="10"/>
        <rFont val="WenQuanYi Zen Hei"/>
        <family val="2"/>
      </rPr>
      <t xml:space="preserve">位）向けに「ホワイトな場合」の見出しを強化。</t>
    </r>
    <r>
      <rPr>
        <sz val="10"/>
        <rFont val="Meiryo UI"/>
        <family val="0"/>
        <charset val="1"/>
      </rPr>
      <t xml:space="preserve">/low-hiring-standards-black-company-risk/</t>
    </r>
    <r>
      <rPr>
        <sz val="10"/>
        <rFont val="WenQuanYi Zen Hei"/>
        <family val="2"/>
      </rPr>
      <t xml:space="preserve">と相互リンク。</t>
    </r>
  </si>
  <si>
    <r>
      <rPr>
        <sz val="10"/>
        <rFont val="WenQuanYi Zen Hei"/>
        <family val="2"/>
      </rPr>
      <t xml:space="preserve">【案</t>
    </r>
    <r>
      <rPr>
        <sz val="10"/>
        <rFont val="Meiryo UI"/>
        <family val="0"/>
        <charset val="1"/>
      </rPr>
      <t xml:space="preserve">A</t>
    </r>
    <r>
      <rPr>
        <sz val="10"/>
        <rFont val="WenQuanYi Zen Hei"/>
        <family val="2"/>
      </rPr>
      <t xml:space="preserve">】面接</t>
    </r>
    <r>
      <rPr>
        <sz val="10"/>
        <rFont val="Meiryo UI"/>
        <family val="0"/>
        <charset val="1"/>
      </rPr>
      <t xml:space="preserve">1</t>
    </r>
    <r>
      <rPr>
        <sz val="10"/>
        <rFont val="WenQuanYi Zen Hei"/>
        <family val="2"/>
      </rPr>
      <t xml:space="preserve">回で内定はやばい？人事が教える「ブラックかどうか」見分ける</t>
    </r>
    <r>
      <rPr>
        <sz val="10"/>
        <rFont val="Meiryo UI"/>
        <family val="0"/>
        <charset val="1"/>
      </rPr>
      <t xml:space="preserve">5</t>
    </r>
    <r>
      <rPr>
        <sz val="10"/>
        <rFont val="WenQuanYi Zen Hei"/>
        <family val="2"/>
      </rPr>
      <t xml:space="preserve">つの質問
【案</t>
    </r>
    <r>
      <rPr>
        <sz val="10"/>
        <rFont val="Meiryo UI"/>
        <family val="0"/>
        <charset val="1"/>
      </rPr>
      <t xml:space="preserve">B</t>
    </r>
    <r>
      <rPr>
        <sz val="10"/>
        <rFont val="WenQuanYi Zen Hei"/>
        <family val="2"/>
      </rPr>
      <t xml:space="preserve">】面接</t>
    </r>
    <r>
      <rPr>
        <sz val="10"/>
        <rFont val="Meiryo UI"/>
        <family val="0"/>
        <charset val="1"/>
      </rPr>
      <t xml:space="preserve">1</t>
    </r>
    <r>
      <rPr>
        <sz val="10"/>
        <rFont val="WenQuanYi Zen Hei"/>
        <family val="2"/>
      </rPr>
      <t xml:space="preserve">回・即日内定はやばい？ホワイト企業との違いを現役人事が解説
【説明文】面接</t>
    </r>
    <r>
      <rPr>
        <sz val="10"/>
        <rFont val="Meiryo UI"/>
        <family val="0"/>
        <charset val="1"/>
      </rPr>
      <t xml:space="preserve">1</t>
    </r>
    <r>
      <rPr>
        <sz val="10"/>
        <rFont val="WenQuanYi Zen Hei"/>
        <family val="2"/>
      </rPr>
      <t xml:space="preserve">回で内定が出るのは危ないのか、現役の採用担当が理由を解説。即内定でもホワイトな企業の特徴と、内定承諾前に確認すべき質問を具体的に。</t>
    </r>
  </si>
  <si>
    <r>
      <rPr>
        <sz val="10"/>
        <rFont val="WenQuanYi Zen Hei"/>
        <family val="2"/>
      </rPr>
      <t xml:space="preserve">読者は内定を持って迷っている、緊急度の高い層。
①「内定承諾前に確認すべきこと」：「承諾の返事をする前に、退職者の口コミを</t>
    </r>
    <r>
      <rPr>
        <sz val="10"/>
        <rFont val="Meiryo UI"/>
        <family val="0"/>
        <charset val="1"/>
      </rPr>
      <t xml:space="preserve">5</t>
    </r>
    <r>
      <rPr>
        <sz val="10"/>
        <rFont val="WenQuanYi Zen Hei"/>
        <family val="2"/>
      </rPr>
      <t xml:space="preserve">分だけ見て。転職会議なら面接内容や入社後のギャップの口コミがまとまっている」→転職会議
②記事末：「</t>
    </r>
    <r>
      <rPr>
        <sz val="10"/>
        <rFont val="Meiryo UI"/>
        <family val="0"/>
        <charset val="1"/>
      </rPr>
      <t xml:space="preserve">1</t>
    </r>
    <r>
      <rPr>
        <sz val="10"/>
        <rFont val="WenQuanYi Zen Hei"/>
        <family val="2"/>
      </rPr>
      <t xml:space="preserve">社だけで決めるのが不安なら、エージェント経由で比較対象の内定を持っておくと判断を誤らない」→リクルートエージェント</t>
    </r>
  </si>
  <si>
    <t xml:space="preserve">/it-tensyoku-agent-osusume/</t>
  </si>
  <si>
    <t xml:space="preserve">エージェント総合</t>
  </si>
  <si>
    <r>
      <rPr>
        <sz val="10"/>
        <rFont val="WenQuanYi Zen Hei"/>
        <family val="2"/>
      </rPr>
      <t xml:space="preserve">（上位</t>
    </r>
    <r>
      <rPr>
        <sz val="10"/>
        <rFont val="Meiryo UI"/>
        <family val="0"/>
        <charset val="1"/>
      </rPr>
      <t xml:space="preserve">1,000</t>
    </r>
    <r>
      <rPr>
        <sz val="10"/>
        <rFont val="WenQuanYi Zen Hei"/>
        <family val="2"/>
      </rPr>
      <t xml:space="preserve">件のクエリに該当なし）</t>
    </r>
  </si>
  <si>
    <r>
      <rPr>
        <sz val="10"/>
        <rFont val="Meiryo UI"/>
        <family val="0"/>
        <charset val="1"/>
      </rPr>
      <t xml:space="preserve">3</t>
    </r>
    <r>
      <rPr>
        <sz val="10"/>
        <rFont val="WenQuanYi Zen Hei"/>
        <family val="2"/>
      </rPr>
      <t xml:space="preserve">か月</t>
    </r>
    <r>
      <rPr>
        <sz val="10"/>
        <rFont val="Meiryo UI"/>
        <family val="0"/>
        <charset val="1"/>
      </rPr>
      <t xml:space="preserve">72</t>
    </r>
    <r>
      <rPr>
        <sz val="10"/>
        <rFont val="WenQuanYi Zen Hei"/>
        <family val="2"/>
      </rPr>
      <t xml:space="preserve">表示・</t>
    </r>
    <r>
      <rPr>
        <sz val="10"/>
        <rFont val="Meiryo UI"/>
        <family val="0"/>
        <charset val="1"/>
      </rPr>
      <t xml:space="preserve">11.9</t>
    </r>
    <r>
      <rPr>
        <sz val="10"/>
        <rFont val="WenQuanYi Zen Hei"/>
        <family val="2"/>
      </rPr>
      <t xml:space="preserve">位・クリック</t>
    </r>
    <r>
      <rPr>
        <sz val="10"/>
        <rFont val="Meiryo UI"/>
        <family val="0"/>
        <charset val="1"/>
      </rPr>
      <t xml:space="preserve">0</t>
    </r>
    <r>
      <rPr>
        <sz val="10"/>
        <rFont val="WenQuanYi Zen Hei"/>
        <family val="2"/>
      </rPr>
      <t xml:space="preserve">。「</t>
    </r>
    <r>
      <rPr>
        <sz val="10"/>
        <rFont val="Meiryo UI"/>
        <family val="0"/>
        <charset val="1"/>
      </rPr>
      <t xml:space="preserve">IT</t>
    </r>
    <r>
      <rPr>
        <sz val="10"/>
        <rFont val="WenQuanYi Zen Hei"/>
        <family val="2"/>
      </rPr>
      <t xml:space="preserve">転職エージェント おすすめ」は大手メディアが占めるビッグワードで、短期の上位化は現実的でない。一方で「企業側から見て質の高いエージェント」という切り口はサイトで最も強い一次情報。現行タイトル（検索結果で確認）は長すぎて切れる。</t>
    </r>
  </si>
  <si>
    <r>
      <rPr>
        <sz val="10"/>
        <rFont val="WenQuanYi Zen Hei"/>
        <family val="2"/>
      </rPr>
      <t xml:space="preserve">【エージェント総合】競合相手：</t>
    </r>
    <r>
      <rPr>
        <sz val="10"/>
        <rFont val="Meiryo UI"/>
        <family val="0"/>
        <charset val="1"/>
      </rPr>
      <t xml:space="preserve">/agent-review/</t>
    </r>
  </si>
  <si>
    <r>
      <rPr>
        <sz val="10"/>
        <rFont val="WenQuanYi Zen Hei"/>
        <family val="2"/>
      </rPr>
      <t xml:space="preserve">検索流入ではなく「サイト内からの送客で稼ぐ収益ハブ」に位置付け直す。エージェント個別評判記事（</t>
    </r>
    <r>
      <rPr>
        <sz val="10"/>
        <rFont val="Meiryo UI"/>
        <family val="0"/>
        <charset val="1"/>
      </rPr>
      <t xml:space="preserve">14</t>
    </r>
    <r>
      <rPr>
        <sz val="10"/>
        <rFont val="WenQuanYi Zen Hei"/>
        <family val="2"/>
      </rPr>
      <t xml:space="preserve">本）と相互リンク（ハブ＆スポーク）。</t>
    </r>
    <r>
      <rPr>
        <sz val="10"/>
        <rFont val="Meiryo UI"/>
        <family val="0"/>
        <charset val="1"/>
      </rPr>
      <t xml:space="preserve">/agent-review/</t>
    </r>
    <r>
      <rPr>
        <sz val="10"/>
        <rFont val="WenQuanYi Zen Hei"/>
        <family val="2"/>
      </rPr>
      <t xml:space="preserve">（表示</t>
    </r>
    <r>
      <rPr>
        <sz val="10"/>
        <rFont val="Meiryo UI"/>
        <family val="0"/>
        <charset val="1"/>
      </rPr>
      <t xml:space="preserve">1</t>
    </r>
    <r>
      <rPr>
        <sz val="10"/>
        <rFont val="WenQuanYi Zen Hei"/>
        <family val="2"/>
      </rPr>
      <t xml:space="preserve">回）を本記事に統合。</t>
    </r>
    <r>
      <rPr>
        <sz val="10"/>
        <rFont val="Meiryo UI"/>
        <family val="0"/>
        <charset val="1"/>
      </rPr>
      <t xml:space="preserve">KPI</t>
    </r>
    <r>
      <rPr>
        <sz val="10"/>
        <rFont val="WenQuanYi Zen Hei"/>
        <family val="2"/>
      </rPr>
      <t xml:space="preserve">は順位ではなく「サイト内からの流入 月</t>
    </r>
    <r>
      <rPr>
        <sz val="10"/>
        <rFont val="Meiryo UI"/>
        <family val="0"/>
        <charset val="1"/>
      </rPr>
      <t xml:space="preserve">100</t>
    </r>
    <r>
      <rPr>
        <sz val="10"/>
        <rFont val="WenQuanYi Zen Hei"/>
        <family val="2"/>
      </rPr>
      <t xml:space="preserve">以上」。</t>
    </r>
  </si>
  <si>
    <r>
      <rPr>
        <sz val="10"/>
        <rFont val="WenQuanYi Zen Hei"/>
        <family val="2"/>
      </rPr>
      <t xml:space="preserve">【案】</t>
    </r>
    <r>
      <rPr>
        <sz val="10"/>
        <rFont val="Meiryo UI"/>
        <family val="0"/>
        <charset val="1"/>
      </rPr>
      <t xml:space="preserve">IT</t>
    </r>
    <r>
      <rPr>
        <sz val="10"/>
        <rFont val="WenQuanYi Zen Hei"/>
        <family val="2"/>
      </rPr>
      <t xml:space="preserve">転職エージェントおすすめ</t>
    </r>
    <r>
      <rPr>
        <sz val="10"/>
        <rFont val="Meiryo UI"/>
        <family val="0"/>
        <charset val="1"/>
      </rPr>
      <t xml:space="preserve">8</t>
    </r>
    <r>
      <rPr>
        <sz val="10"/>
        <rFont val="WenQuanYi Zen Hei"/>
        <family val="2"/>
      </rPr>
      <t xml:space="preserve">社｜企業側の人事が「本当に使える」と思う会社
【説明文】求人を出す側の現役</t>
    </r>
    <r>
      <rPr>
        <sz val="10"/>
        <rFont val="Meiryo UI"/>
        <family val="0"/>
        <charset val="1"/>
      </rPr>
      <t xml:space="preserve">IT</t>
    </r>
    <r>
      <rPr>
        <sz val="10"/>
        <rFont val="WenQuanYi Zen Hei"/>
        <family val="2"/>
      </rPr>
      <t xml:space="preserve">人事が、候補者の質・提案力から本当に使える転職エージェント</t>
    </r>
    <r>
      <rPr>
        <sz val="10"/>
        <rFont val="Meiryo UI"/>
        <family val="0"/>
        <charset val="1"/>
      </rPr>
      <t xml:space="preserve">8</t>
    </r>
    <r>
      <rPr>
        <sz val="10"/>
        <rFont val="WenQuanYi Zen Hei"/>
        <family val="2"/>
      </rPr>
      <t xml:space="preserve">社を厳選。年収・経験年数別にどこへ登録すべきかを本音で解説。</t>
    </r>
  </si>
  <si>
    <r>
      <rPr>
        <sz val="10"/>
        <rFont val="WenQuanYi Zen Hei"/>
        <family val="2"/>
      </rPr>
      <t xml:space="preserve">①冒頭に「タイプ別おすすめ早見表」の</t>
    </r>
    <r>
      <rPr>
        <sz val="10"/>
        <rFont val="Meiryo UI"/>
        <family val="0"/>
        <charset val="1"/>
      </rPr>
      <t xml:space="preserve">3</t>
    </r>
    <r>
      <rPr>
        <sz val="10"/>
        <rFont val="WenQuanYi Zen Hei"/>
        <family val="2"/>
      </rPr>
      <t xml:space="preserve">択：とりあえず</t>
    </r>
    <r>
      <rPr>
        <sz val="10"/>
        <rFont val="Meiryo UI"/>
        <family val="0"/>
        <charset val="1"/>
      </rPr>
      <t xml:space="preserve">1</t>
    </r>
    <r>
      <rPr>
        <sz val="10"/>
        <rFont val="WenQuanYi Zen Hei"/>
        <family val="2"/>
      </rPr>
      <t xml:space="preserve">社→リクルートエージェント／年収</t>
    </r>
    <r>
      <rPr>
        <sz val="10"/>
        <rFont val="Meiryo UI"/>
        <family val="0"/>
        <charset val="1"/>
      </rPr>
      <t xml:space="preserve">600</t>
    </r>
    <r>
      <rPr>
        <sz val="10"/>
        <rFont val="WenQuanYi Zen Hei"/>
        <family val="2"/>
      </rPr>
      <t xml:space="preserve">万円以上→</t>
    </r>
    <r>
      <rPr>
        <sz val="10"/>
        <rFont val="Meiryo UI"/>
        <family val="0"/>
        <charset val="1"/>
      </rPr>
      <t xml:space="preserve">JAC</t>
    </r>
    <r>
      <rPr>
        <sz val="10"/>
        <rFont val="WenQuanYi Zen Hei"/>
        <family val="2"/>
      </rPr>
      <t xml:space="preserve">／</t>
    </r>
    <r>
      <rPr>
        <sz val="10"/>
        <rFont val="Meiryo UI"/>
        <family val="0"/>
        <charset val="1"/>
      </rPr>
      <t xml:space="preserve">IT</t>
    </r>
    <r>
      <rPr>
        <sz val="10"/>
        <rFont val="WenQuanYi Zen Hei"/>
        <family val="2"/>
      </rPr>
      <t xml:space="preserve">エンジニアでスカウト型→レバテックダイレクト
②各社紹介の末尾に「企業側から見た評価」の一言＋ボタン
③「併用のすすめ」：「エージェントごとに求人が違うので</t>
    </r>
    <r>
      <rPr>
        <sz val="10"/>
        <rFont val="Meiryo UI"/>
        <family val="0"/>
        <charset val="1"/>
      </rPr>
      <t xml:space="preserve">2</t>
    </r>
    <r>
      <rPr>
        <sz val="10"/>
        <rFont val="WenQuanYi Zen Hei"/>
        <family val="2"/>
      </rPr>
      <t xml:space="preserve">社併用が基本」
※掲載</t>
    </r>
    <r>
      <rPr>
        <sz val="10"/>
        <rFont val="Meiryo UI"/>
        <family val="0"/>
        <charset val="1"/>
      </rPr>
      <t xml:space="preserve">8</t>
    </r>
    <r>
      <rPr>
        <sz val="10"/>
        <rFont val="WenQuanYi Zen Hei"/>
        <family val="2"/>
      </rPr>
      <t xml:space="preserve">社は提携済み案件（</t>
    </r>
    <r>
      <rPr>
        <sz val="10"/>
        <rFont val="Meiryo UI"/>
        <family val="0"/>
        <charset val="1"/>
      </rPr>
      <t xml:space="preserve">VC</t>
    </r>
    <r>
      <rPr>
        <sz val="10"/>
        <rFont val="WenQuanYi Zen Hei"/>
        <family val="2"/>
      </rPr>
      <t xml:space="preserve">：リクルートエージェント・</t>
    </r>
    <r>
      <rPr>
        <sz val="10"/>
        <rFont val="Meiryo UI"/>
        <family val="0"/>
        <charset val="1"/>
      </rPr>
      <t xml:space="preserve">JAC</t>
    </r>
    <r>
      <rPr>
        <sz val="10"/>
        <rFont val="WenQuanYi Zen Hei"/>
        <family val="2"/>
      </rPr>
      <t xml:space="preserve">、</t>
    </r>
    <r>
      <rPr>
        <sz val="10"/>
        <rFont val="Meiryo UI"/>
        <family val="0"/>
        <charset val="1"/>
      </rPr>
      <t xml:space="preserve">A8</t>
    </r>
    <r>
      <rPr>
        <sz val="10"/>
        <rFont val="WenQuanYi Zen Hei"/>
        <family val="2"/>
      </rPr>
      <t xml:space="preserve">：レバテックダイレクト・</t>
    </r>
    <r>
      <rPr>
        <sz val="10"/>
        <rFont val="Meiryo UI"/>
        <family val="0"/>
        <charset val="1"/>
      </rPr>
      <t xml:space="preserve">Geekly</t>
    </r>
    <r>
      <rPr>
        <sz val="10"/>
        <rFont val="WenQuanYi Zen Hei"/>
        <family val="2"/>
      </rPr>
      <t xml:space="preserve">・第二新卒エージェント</t>
    </r>
    <r>
      <rPr>
        <sz val="10"/>
        <rFont val="Meiryo UI"/>
        <family val="0"/>
        <charset val="1"/>
      </rPr>
      <t xml:space="preserve">neo</t>
    </r>
    <r>
      <rPr>
        <sz val="10"/>
        <rFont val="WenQuanYi Zen Hei"/>
        <family val="2"/>
      </rPr>
      <t xml:space="preserve">）を優先</t>
    </r>
  </si>
  <si>
    <r>
      <rPr>
        <sz val="10"/>
        <rFont val="WenQuanYi Zen Hei"/>
        <family val="2"/>
      </rPr>
      <t xml:space="preserve">リクルートエージェント</t>
    </r>
    <r>
      <rPr>
        <sz val="10"/>
        <rFont val="Meiryo UI"/>
        <family val="0"/>
        <charset val="1"/>
      </rPr>
      <t xml:space="preserve">(VC)/JAC(VC)/</t>
    </r>
    <r>
      <rPr>
        <sz val="10"/>
        <rFont val="WenQuanYi Zen Hei"/>
        <family val="2"/>
      </rPr>
      <t xml:space="preserve">レバテックダイレクト</t>
    </r>
    <r>
      <rPr>
        <sz val="10"/>
        <rFont val="Meiryo UI"/>
        <family val="0"/>
        <charset val="1"/>
      </rPr>
      <t xml:space="preserve">(A8)</t>
    </r>
  </si>
  <si>
    <t xml:space="preserve">今月中</t>
  </si>
  <si>
    <t xml:space="preserve">/tenshokukaigi-cancel-withdrawal/</t>
  </si>
  <si>
    <r>
      <rPr>
        <sz val="10"/>
        <rFont val="WenQuanYi Zen Hei"/>
        <family val="2"/>
      </rPr>
      <t xml:space="preserve">転職会議 退会（</t>
    </r>
    <r>
      <rPr>
        <sz val="10"/>
        <rFont val="Meiryo UI"/>
        <family val="0"/>
        <charset val="1"/>
      </rPr>
      <t xml:space="preserve">1,169</t>
    </r>
    <r>
      <rPr>
        <sz val="10"/>
        <rFont val="WenQuanYi Zen Hei"/>
        <family val="2"/>
      </rPr>
      <t xml:space="preserve">表示・</t>
    </r>
    <r>
      <rPr>
        <sz val="10"/>
        <rFont val="Meiryo UI"/>
        <family val="0"/>
        <charset val="1"/>
      </rPr>
      <t xml:space="preserve">5.3</t>
    </r>
    <r>
      <rPr>
        <sz val="10"/>
        <rFont val="WenQuanYi Zen Hei"/>
        <family val="2"/>
      </rPr>
      <t xml:space="preserve">位・</t>
    </r>
    <r>
      <rPr>
        <sz val="10"/>
        <rFont val="Meiryo UI"/>
        <family val="0"/>
        <charset val="1"/>
      </rPr>
      <t xml:space="preserve">CTR3.7%</t>
    </r>
    <r>
      <rPr>
        <sz val="10"/>
        <rFont val="WenQuanYi Zen Hei"/>
        <family val="2"/>
      </rPr>
      <t xml:space="preserve">） </t>
    </r>
    <r>
      <rPr>
        <sz val="10"/>
        <rFont val="Meiryo UI"/>
        <family val="0"/>
        <charset val="1"/>
      </rPr>
      <t xml:space="preserve">/ </t>
    </r>
    <r>
      <rPr>
        <sz val="10"/>
        <rFont val="WenQuanYi Zen Hei"/>
        <family val="2"/>
      </rPr>
      <t xml:space="preserve">転職会議 解約（</t>
    </r>
    <r>
      <rPr>
        <sz val="10"/>
        <rFont val="Meiryo UI"/>
        <family val="0"/>
        <charset val="1"/>
      </rPr>
      <t xml:space="preserve">530</t>
    </r>
    <r>
      <rPr>
        <sz val="10"/>
        <rFont val="WenQuanYi Zen Hei"/>
        <family val="2"/>
      </rPr>
      <t xml:space="preserve">表示・</t>
    </r>
    <r>
      <rPr>
        <sz val="10"/>
        <rFont val="Meiryo UI"/>
        <family val="0"/>
        <charset val="1"/>
      </rPr>
      <t xml:space="preserve">6.0</t>
    </r>
    <r>
      <rPr>
        <sz val="10"/>
        <rFont val="WenQuanYi Zen Hei"/>
        <family val="2"/>
      </rPr>
      <t xml:space="preserve">位・</t>
    </r>
    <r>
      <rPr>
        <sz val="10"/>
        <rFont val="Meiryo UI"/>
        <family val="0"/>
        <charset val="1"/>
      </rPr>
      <t xml:space="preserve">CTR2.6%</t>
    </r>
    <r>
      <rPr>
        <sz val="10"/>
        <rFont val="WenQuanYi Zen Hei"/>
        <family val="2"/>
      </rPr>
      <t xml:space="preserve">） </t>
    </r>
    <r>
      <rPr>
        <sz val="10"/>
        <rFont val="Meiryo UI"/>
        <family val="0"/>
        <charset val="1"/>
      </rPr>
      <t xml:space="preserve">/ </t>
    </r>
    <r>
      <rPr>
        <sz val="10"/>
        <rFont val="WenQuanYi Zen Hei"/>
        <family val="2"/>
      </rPr>
      <t xml:space="preserve">転職会議 有料 解約（</t>
    </r>
    <r>
      <rPr>
        <sz val="10"/>
        <rFont val="Meiryo UI"/>
        <family val="0"/>
        <charset val="1"/>
      </rPr>
      <t xml:space="preserve">279</t>
    </r>
    <r>
      <rPr>
        <sz val="10"/>
        <rFont val="WenQuanYi Zen Hei"/>
        <family val="2"/>
      </rPr>
      <t xml:space="preserve">表示・</t>
    </r>
    <r>
      <rPr>
        <sz val="10"/>
        <rFont val="Meiryo UI"/>
        <family val="0"/>
        <charset val="1"/>
      </rPr>
      <t xml:space="preserve">4.6</t>
    </r>
    <r>
      <rPr>
        <sz val="10"/>
        <rFont val="WenQuanYi Zen Hei"/>
        <family val="2"/>
      </rPr>
      <t xml:space="preserve">位・</t>
    </r>
    <r>
      <rPr>
        <sz val="10"/>
        <rFont val="Meiryo UI"/>
        <family val="0"/>
        <charset val="1"/>
      </rPr>
      <t xml:space="preserve">CTR3.9%</t>
    </r>
    <r>
      <rPr>
        <sz val="10"/>
        <rFont val="WenQuanYi Zen Hei"/>
        <family val="2"/>
      </rPr>
      <t xml:space="preserve">）</t>
    </r>
  </si>
  <si>
    <r>
      <rPr>
        <sz val="10"/>
        <rFont val="Meiryo UI"/>
        <family val="0"/>
        <charset val="1"/>
      </rPr>
      <t xml:space="preserve">4.5</t>
    </r>
    <r>
      <rPr>
        <sz val="10"/>
        <rFont val="WenQuanYi Zen Hei"/>
        <family val="2"/>
      </rPr>
      <t xml:space="preserve">位・</t>
    </r>
    <r>
      <rPr>
        <sz val="10"/>
        <rFont val="Meiryo UI"/>
        <family val="0"/>
        <charset val="1"/>
      </rPr>
      <t xml:space="preserve">CTR7.1%</t>
    </r>
    <r>
      <rPr>
        <sz val="10"/>
        <rFont val="WenQuanYi Zen Hei"/>
        <family val="2"/>
      </rPr>
      <t xml:space="preserve">で健全、日次クリック</t>
    </r>
    <r>
      <rPr>
        <sz val="10"/>
        <rFont val="Meiryo UI"/>
        <family val="0"/>
        <charset val="1"/>
      </rPr>
      <t xml:space="preserve">1.2→6.6</t>
    </r>
    <r>
      <rPr>
        <sz val="10"/>
        <rFont val="WenQuanYi Zen Hei"/>
        <family val="2"/>
      </rPr>
      <t xml:space="preserve">に増加。「転職会議 退会」</t>
    </r>
    <r>
      <rPr>
        <sz val="10"/>
        <rFont val="Meiryo UI"/>
        <family val="0"/>
        <charset val="1"/>
      </rPr>
      <t xml:space="preserve">1,169</t>
    </r>
    <r>
      <rPr>
        <sz val="10"/>
        <rFont val="WenQuanYi Zen Hei"/>
        <family val="2"/>
      </rPr>
      <t xml:space="preserve">表示</t>
    </r>
    <r>
      <rPr>
        <sz val="10"/>
        <rFont val="Meiryo UI"/>
        <family val="0"/>
        <charset val="1"/>
      </rPr>
      <t xml:space="preserve">5.3</t>
    </r>
    <r>
      <rPr>
        <sz val="10"/>
        <rFont val="WenQuanYi Zen Hei"/>
        <family val="2"/>
      </rPr>
      <t xml:space="preserve">位、「解約」</t>
    </r>
    <r>
      <rPr>
        <sz val="10"/>
        <rFont val="Meiryo UI"/>
        <family val="0"/>
        <charset val="1"/>
      </rPr>
      <t xml:space="preserve">530</t>
    </r>
    <r>
      <rPr>
        <sz val="10"/>
        <rFont val="WenQuanYi Zen Hei"/>
        <family val="2"/>
      </rPr>
      <t xml:space="preserve">表示</t>
    </r>
    <r>
      <rPr>
        <sz val="10"/>
        <rFont val="Meiryo UI"/>
        <family val="0"/>
        <charset val="1"/>
      </rPr>
      <t xml:space="preserve">6.0</t>
    </r>
    <r>
      <rPr>
        <sz val="10"/>
        <rFont val="WenQuanYi Zen Hei"/>
        <family val="2"/>
      </rPr>
      <t xml:space="preserve">位。</t>
    </r>
  </si>
  <si>
    <r>
      <rPr>
        <sz val="10"/>
        <rFont val="WenQuanYi Zen Hei"/>
        <family val="2"/>
      </rPr>
      <t xml:space="preserve">【転職会議】競合相手：</t>
    </r>
    <r>
      <rPr>
        <sz val="10"/>
        <rFont val="Meiryo UI"/>
        <family val="0"/>
        <charset val="1"/>
      </rPr>
      <t xml:space="preserve">/tenshokukaigi-kuchikomi-mikata-tsukaikata/</t>
    </r>
    <r>
      <rPr>
        <sz val="10"/>
        <rFont val="WenQuanYi Zen Hei"/>
        <family val="2"/>
      </rPr>
      <t xml:space="preserve">、</t>
    </r>
    <r>
      <rPr>
        <sz val="10"/>
        <rFont val="Meiryo UI"/>
        <family val="0"/>
        <charset val="1"/>
      </rPr>
      <t xml:space="preserve">/tenshokukaigi-openwork-comparison/</t>
    </r>
    <r>
      <rPr>
        <sz val="10"/>
        <rFont val="WenQuanYi Zen Hei"/>
        <family val="2"/>
      </rPr>
      <t xml:space="preserve">、</t>
    </r>
    <r>
      <rPr>
        <sz val="10"/>
        <rFont val="Meiryo UI"/>
        <family val="0"/>
        <charset val="1"/>
      </rPr>
      <t xml:space="preserve">/tenshokukaigi-toroku-bareru/</t>
    </r>
  </si>
  <si>
    <r>
      <rPr>
        <sz val="10"/>
        <rFont val="WenQuanYi Zen Hei"/>
        <family val="2"/>
      </rPr>
      <t xml:space="preserve">手順の画像と所要時間を冒頭に置き</t>
    </r>
    <r>
      <rPr>
        <sz val="10"/>
        <rFont val="Meiryo UI"/>
        <family val="0"/>
        <charset val="1"/>
      </rPr>
      <t xml:space="preserve">3</t>
    </r>
    <r>
      <rPr>
        <sz val="10"/>
        <rFont val="WenQuanYi Zen Hei"/>
        <family val="2"/>
      </rPr>
      <t xml:space="preserve">位以内を狙う。「</t>
    </r>
    <r>
      <rPr>
        <sz val="10"/>
        <rFont val="Meiryo UI"/>
        <family val="0"/>
        <charset val="1"/>
      </rPr>
      <t xml:space="preserve">livesense </t>
    </r>
    <r>
      <rPr>
        <sz val="10"/>
        <rFont val="WenQuanYi Zen Hei"/>
        <family val="2"/>
      </rPr>
      <t xml:space="preserve">解約」（</t>
    </r>
    <r>
      <rPr>
        <sz val="10"/>
        <rFont val="Meiryo UI"/>
        <family val="0"/>
        <charset val="1"/>
      </rPr>
      <t xml:space="preserve">49</t>
    </r>
    <r>
      <rPr>
        <sz val="10"/>
        <rFont val="WenQuanYi Zen Hei"/>
        <family val="2"/>
      </rPr>
      <t xml:space="preserve">表示）など請求名での検索にも対応。</t>
    </r>
  </si>
  <si>
    <r>
      <rPr>
        <sz val="10"/>
        <rFont val="WenQuanYi Zen Hei"/>
        <family val="2"/>
      </rPr>
      <t xml:space="preserve">現行維持。説明文で「</t>
    </r>
    <r>
      <rPr>
        <sz val="10"/>
        <rFont val="Meiryo UI"/>
        <family val="0"/>
        <charset val="1"/>
      </rPr>
      <t xml:space="preserve">1</t>
    </r>
    <r>
      <rPr>
        <sz val="10"/>
        <rFont val="WenQuanYi Zen Hei"/>
        <family val="2"/>
      </rPr>
      <t xml:space="preserve">分で完了・有料プランの解約手順も」を明示。</t>
    </r>
  </si>
  <si>
    <r>
      <rPr>
        <sz val="10"/>
        <rFont val="WenQuanYi Zen Hei"/>
        <family val="2"/>
      </rPr>
      <t xml:space="preserve">退会したい読者に転職会議は勧めない（信頼を損なう）。「口コミを見る目的だけなら有料プランを解約して無料会員に戻す選択肢も」と案内し、</t>
    </r>
    <r>
      <rPr>
        <sz val="10"/>
        <rFont val="Meiryo UI"/>
        <family val="0"/>
        <charset val="1"/>
      </rPr>
      <t xml:space="preserve">OpenWork</t>
    </r>
    <r>
      <rPr>
        <sz val="10"/>
        <rFont val="WenQuanYi Zen Hei"/>
        <family val="2"/>
      </rPr>
      <t xml:space="preserve">記事へ内部リンク。</t>
    </r>
  </si>
  <si>
    <t xml:space="preserve">/openwork-toroku-bareru/</t>
  </si>
  <si>
    <t xml:space="preserve">新規出現</t>
  </si>
  <si>
    <r>
      <rPr>
        <sz val="10"/>
        <rFont val="WenQuanYi Zen Hei"/>
        <family val="2"/>
      </rPr>
      <t xml:space="preserve">オープンワーク 登録 ばれる（</t>
    </r>
    <r>
      <rPr>
        <sz val="10"/>
        <rFont val="Meiryo UI"/>
        <family val="0"/>
        <charset val="1"/>
      </rPr>
      <t xml:space="preserve">2,285</t>
    </r>
    <r>
      <rPr>
        <sz val="10"/>
        <rFont val="WenQuanYi Zen Hei"/>
        <family val="2"/>
      </rPr>
      <t xml:space="preserve">表示・</t>
    </r>
    <r>
      <rPr>
        <sz val="10"/>
        <rFont val="Meiryo UI"/>
        <family val="0"/>
        <charset val="1"/>
      </rPr>
      <t xml:space="preserve">7.0</t>
    </r>
    <r>
      <rPr>
        <sz val="10"/>
        <rFont val="WenQuanYi Zen Hei"/>
        <family val="2"/>
      </rPr>
      <t xml:space="preserve">位・</t>
    </r>
    <r>
      <rPr>
        <sz val="10"/>
        <rFont val="Meiryo UI"/>
        <family val="0"/>
        <charset val="1"/>
      </rPr>
      <t xml:space="preserve">CTR1.5%</t>
    </r>
    <r>
      <rPr>
        <sz val="10"/>
        <rFont val="WenQuanYi Zen Hei"/>
        <family val="2"/>
      </rPr>
      <t xml:space="preserve">） </t>
    </r>
    <r>
      <rPr>
        <sz val="10"/>
        <rFont val="Meiryo UI"/>
        <family val="0"/>
        <charset val="1"/>
      </rPr>
      <t xml:space="preserve">/ openwork </t>
    </r>
    <r>
      <rPr>
        <sz val="10"/>
        <rFont val="WenQuanYi Zen Hei"/>
        <family val="2"/>
      </rPr>
      <t xml:space="preserve">バレる（</t>
    </r>
    <r>
      <rPr>
        <sz val="10"/>
        <rFont val="Meiryo UI"/>
        <family val="0"/>
        <charset val="1"/>
      </rPr>
      <t xml:space="preserve">422</t>
    </r>
    <r>
      <rPr>
        <sz val="10"/>
        <rFont val="WenQuanYi Zen Hei"/>
        <family val="2"/>
      </rPr>
      <t xml:space="preserve">表示・</t>
    </r>
    <r>
      <rPr>
        <sz val="10"/>
        <rFont val="Meiryo UI"/>
        <family val="0"/>
        <charset val="1"/>
      </rPr>
      <t xml:space="preserve">7.1</t>
    </r>
    <r>
      <rPr>
        <sz val="10"/>
        <rFont val="WenQuanYi Zen Hei"/>
        <family val="2"/>
      </rPr>
      <t xml:space="preserve">位・</t>
    </r>
    <r>
      <rPr>
        <sz val="10"/>
        <rFont val="Meiryo UI"/>
        <family val="0"/>
        <charset val="1"/>
      </rPr>
      <t xml:space="preserve">CTR0.7%</t>
    </r>
    <r>
      <rPr>
        <sz val="10"/>
        <rFont val="WenQuanYi Zen Hei"/>
        <family val="2"/>
      </rPr>
      <t xml:space="preserve">） </t>
    </r>
    <r>
      <rPr>
        <sz val="10"/>
        <rFont val="Meiryo UI"/>
        <family val="0"/>
        <charset val="1"/>
      </rPr>
      <t xml:space="preserve">/ </t>
    </r>
    <r>
      <rPr>
        <sz val="10"/>
        <rFont val="WenQuanYi Zen Hei"/>
        <family val="2"/>
      </rPr>
      <t xml:space="preserve">オープンワーク 登録 バレる（</t>
    </r>
    <r>
      <rPr>
        <sz val="10"/>
        <rFont val="Meiryo UI"/>
        <family val="0"/>
        <charset val="1"/>
      </rPr>
      <t xml:space="preserve">241</t>
    </r>
    <r>
      <rPr>
        <sz val="10"/>
        <rFont val="WenQuanYi Zen Hei"/>
        <family val="2"/>
      </rPr>
      <t xml:space="preserve">表示・</t>
    </r>
    <r>
      <rPr>
        <sz val="10"/>
        <rFont val="Meiryo UI"/>
        <family val="0"/>
        <charset val="1"/>
      </rPr>
      <t xml:space="preserve">6.3</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</si>
  <si>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直近</t>
    </r>
    <r>
      <rPr>
        <sz val="10"/>
        <rFont val="Meiryo UI"/>
        <family val="0"/>
        <charset val="1"/>
      </rPr>
      <t xml:space="preserve">28</t>
    </r>
    <r>
      <rPr>
        <sz val="10"/>
        <rFont val="WenQuanYi Zen Hei"/>
        <family val="2"/>
      </rPr>
      <t xml:space="preserve">日で表示</t>
    </r>
    <r>
      <rPr>
        <sz val="10"/>
        <rFont val="Meiryo UI"/>
        <family val="0"/>
        <charset val="1"/>
      </rPr>
      <t xml:space="preserve">/</t>
    </r>
    <r>
      <rPr>
        <sz val="10"/>
        <rFont val="WenQuanYi Zen Hei"/>
        <family val="2"/>
      </rPr>
      <t xml:space="preserve">日が約</t>
    </r>
    <r>
      <rPr>
        <sz val="10"/>
        <rFont val="Meiryo UI"/>
        <family val="0"/>
        <charset val="1"/>
      </rPr>
      <t xml:space="preserve">1→100</t>
    </r>
    <r>
      <rPr>
        <sz val="10"/>
        <rFont val="WenQuanYi Zen Hei"/>
        <family val="2"/>
      </rPr>
      <t xml:space="preserve">に急伸（新しい記事）。「オープンワーク 登録 ばれる」</t>
    </r>
    <r>
      <rPr>
        <sz val="10"/>
        <rFont val="Meiryo UI"/>
        <family val="0"/>
        <charset val="1"/>
      </rPr>
      <t xml:space="preserve">2,285</t>
    </r>
    <r>
      <rPr>
        <sz val="10"/>
        <rFont val="WenQuanYi Zen Hei"/>
        <family val="2"/>
      </rPr>
      <t xml:space="preserve">表示</t>
    </r>
    <r>
      <rPr>
        <sz val="10"/>
        <rFont val="Meiryo UI"/>
        <family val="0"/>
        <charset val="1"/>
      </rPr>
      <t xml:space="preserve">7.0</t>
    </r>
    <r>
      <rPr>
        <sz val="10"/>
        <rFont val="WenQuanYi Zen Hei"/>
        <family val="2"/>
      </rPr>
      <t xml:space="preserve">位</t>
    </r>
    <r>
      <rPr>
        <sz val="10"/>
        <rFont val="Meiryo UI"/>
        <family val="0"/>
        <charset val="1"/>
      </rPr>
      <t xml:space="preserve">CTR1.5%</t>
    </r>
    <r>
      <rPr>
        <sz val="10"/>
        <rFont val="WenQuanYi Zen Hei"/>
        <family val="2"/>
      </rPr>
      <t xml:space="preserve">、「</t>
    </r>
    <r>
      <rPr>
        <sz val="10"/>
        <rFont val="Meiryo UI"/>
        <family val="0"/>
        <charset val="1"/>
      </rPr>
      <t xml:space="preserve">openwork </t>
    </r>
    <r>
      <rPr>
        <sz val="10"/>
        <rFont val="WenQuanYi Zen Hei"/>
        <family val="2"/>
      </rPr>
      <t xml:space="preserve">バレる」</t>
    </r>
    <r>
      <rPr>
        <sz val="10"/>
        <rFont val="Meiryo UI"/>
        <family val="0"/>
        <charset val="1"/>
      </rPr>
      <t xml:space="preserve">422</t>
    </r>
    <r>
      <rPr>
        <sz val="10"/>
        <rFont val="WenQuanYi Zen Hei"/>
        <family val="2"/>
      </rPr>
      <t xml:space="preserve">表示</t>
    </r>
    <r>
      <rPr>
        <sz val="10"/>
        <rFont val="Meiryo UI"/>
        <family val="0"/>
        <charset val="1"/>
      </rPr>
      <t xml:space="preserve">7.1</t>
    </r>
    <r>
      <rPr>
        <sz val="10"/>
        <rFont val="WenQuanYi Zen Hei"/>
        <family val="2"/>
      </rPr>
      <t xml:space="preserve">位。</t>
    </r>
    <r>
      <rPr>
        <sz val="10"/>
        <rFont val="Meiryo UI"/>
        <family val="0"/>
        <charset val="1"/>
      </rPr>
      <t xml:space="preserve">/openwork-tsukaikata/</t>
    </r>
    <r>
      <rPr>
        <sz val="10"/>
        <rFont val="WenQuanYi Zen Hei"/>
        <family val="2"/>
      </rPr>
      <t xml:space="preserve">とバレる系で競合している可能性。</t>
    </r>
  </si>
  <si>
    <r>
      <rPr>
        <sz val="10"/>
        <rFont val="WenQuanYi Zen Hei"/>
        <family val="2"/>
      </rPr>
      <t xml:space="preserve">【</t>
    </r>
    <r>
      <rPr>
        <sz val="10"/>
        <rFont val="Meiryo UI"/>
        <family val="0"/>
        <charset val="1"/>
      </rPr>
      <t xml:space="preserve">OpenWork</t>
    </r>
    <r>
      <rPr>
        <sz val="10"/>
        <rFont val="WenQuanYi Zen Hei"/>
        <family val="2"/>
      </rPr>
      <t xml:space="preserve">】競合相手：</t>
    </r>
    <r>
      <rPr>
        <sz val="10"/>
        <rFont val="Meiryo UI"/>
        <family val="0"/>
        <charset val="1"/>
      </rPr>
      <t xml:space="preserve">/openwork-tsukaikata/</t>
    </r>
    <r>
      <rPr>
        <sz val="10"/>
        <rFont val="WenQuanYi Zen Hei"/>
        <family val="2"/>
      </rPr>
      <t xml:space="preserve">、</t>
    </r>
    <r>
      <rPr>
        <sz val="10"/>
        <rFont val="Meiryo UI"/>
        <family val="0"/>
        <charset val="1"/>
      </rPr>
      <t xml:space="preserve">/openwork-graph-mikata/</t>
    </r>
    <r>
      <rPr>
        <sz val="10"/>
        <rFont val="WenQuanYi Zen Hei"/>
        <family val="2"/>
      </rPr>
      <t xml:space="preserve">、</t>
    </r>
    <r>
      <rPr>
        <sz val="10"/>
        <rFont val="Meiryo UI"/>
        <family val="0"/>
        <charset val="1"/>
      </rPr>
      <t xml:space="preserve">/openwork-white-company-mikata/</t>
    </r>
    <r>
      <rPr>
        <sz val="10"/>
        <rFont val="WenQuanYi Zen Hei"/>
        <family val="2"/>
      </rPr>
      <t xml:space="preserve">、</t>
    </r>
    <r>
      <rPr>
        <sz val="10"/>
        <rFont val="Meiryo UI"/>
        <family val="0"/>
        <charset val="1"/>
      </rPr>
      <t xml:space="preserve">/openwork-hikaku-kinou/</t>
    </r>
  </si>
  <si>
    <r>
      <rPr>
        <sz val="10"/>
        <rFont val="WenQuanYi Zen Hei"/>
        <family val="2"/>
      </rPr>
      <t xml:space="preserve">バレる系クエリの専任記事にする。</t>
    </r>
    <r>
      <rPr>
        <sz val="10"/>
        <rFont val="Meiryo UI"/>
        <family val="0"/>
        <charset val="1"/>
      </rPr>
      <t xml:space="preserve">tsukaikata</t>
    </r>
    <r>
      <rPr>
        <sz val="10"/>
        <rFont val="WenQuanYi Zen Hei"/>
        <family val="2"/>
      </rPr>
      <t xml:space="preserve">側のバレる解説を縮小して本記事にリンクを集める。「企業ブロック」「</t>
    </r>
    <r>
      <rPr>
        <sz val="10"/>
        <rFont val="Meiryo UI"/>
        <family val="0"/>
        <charset val="1"/>
      </rPr>
      <t xml:space="preserve">Web</t>
    </r>
    <r>
      <rPr>
        <sz val="10"/>
        <rFont val="WenQuanYi Zen Hei"/>
        <family val="2"/>
      </rPr>
      <t xml:space="preserve">履歴書 非公開」（計</t>
    </r>
    <r>
      <rPr>
        <sz val="10"/>
        <rFont val="Meiryo UI"/>
        <family val="0"/>
        <charset val="1"/>
      </rPr>
      <t xml:space="preserve">200</t>
    </r>
    <r>
      <rPr>
        <sz val="10"/>
        <rFont val="WenQuanYi Zen Hei"/>
        <family val="2"/>
      </rPr>
      <t xml:space="preserve">表示超）の見出しを追加。冒頭で「結論：バレない設定の手順」を即答。</t>
    </r>
  </si>
  <si>
    <r>
      <rPr>
        <sz val="10"/>
        <rFont val="WenQuanYi Zen Hei"/>
        <family val="2"/>
      </rPr>
      <t xml:space="preserve">【案】</t>
    </r>
    <r>
      <rPr>
        <sz val="10"/>
        <rFont val="Meiryo UI"/>
        <family val="0"/>
        <charset val="1"/>
      </rPr>
      <t xml:space="preserve">OpenWork</t>
    </r>
    <r>
      <rPr>
        <sz val="10"/>
        <rFont val="WenQuanYi Zen Hei"/>
        <family val="2"/>
      </rPr>
      <t xml:space="preserve">の登録は会社にバレる？企業ブロックと</t>
    </r>
    <r>
      <rPr>
        <sz val="10"/>
        <rFont val="Meiryo UI"/>
        <family val="0"/>
        <charset val="1"/>
      </rPr>
      <t xml:space="preserve">Web</t>
    </r>
    <r>
      <rPr>
        <sz val="10"/>
        <rFont val="WenQuanYi Zen Hei"/>
        <family val="2"/>
      </rPr>
      <t xml:space="preserve">履歴書の非公開設定【現役人事】</t>
    </r>
  </si>
  <si>
    <t xml:space="preserve">「バレない設定」の直後：「身バレが不安なら、口コミの裏取りは転職会議でも可能」→転職会議
記事末：スカウトを受けたい人→レバテックダイレクト（非公開・ブロック機能の有無は公式で要確認）</t>
  </si>
  <si>
    <t xml:space="preserve">/nec-career-change-reputation-difficulty/</t>
  </si>
  <si>
    <t xml:space="preserve">NEC</t>
  </si>
  <si>
    <r>
      <rPr>
        <sz val="10"/>
        <rFont val="Meiryo UI"/>
        <family val="0"/>
        <charset val="1"/>
      </rPr>
      <t xml:space="preserve">nec </t>
    </r>
    <r>
      <rPr>
        <sz val="10"/>
        <rFont val="WenQuanYi Zen Hei"/>
        <family val="2"/>
      </rPr>
      <t xml:space="preserve">退職金（</t>
    </r>
    <r>
      <rPr>
        <sz val="10"/>
        <rFont val="Meiryo UI"/>
        <family val="0"/>
        <charset val="1"/>
      </rPr>
      <t xml:space="preserve">368</t>
    </r>
    <r>
      <rPr>
        <sz val="10"/>
        <rFont val="WenQuanYi Zen Hei"/>
        <family val="2"/>
      </rPr>
      <t xml:space="preserve">表示・</t>
    </r>
    <r>
      <rPr>
        <sz val="10"/>
        <rFont val="Meiryo UI"/>
        <family val="0"/>
        <charset val="1"/>
      </rPr>
      <t xml:space="preserve">5.3</t>
    </r>
    <r>
      <rPr>
        <sz val="10"/>
        <rFont val="WenQuanYi Zen Hei"/>
        <family val="2"/>
      </rPr>
      <t xml:space="preserve">位・</t>
    </r>
    <r>
      <rPr>
        <sz val="10"/>
        <rFont val="Meiryo UI"/>
        <family val="0"/>
        <charset val="1"/>
      </rPr>
      <t xml:space="preserve">CTR10.9%</t>
    </r>
    <r>
      <rPr>
        <sz val="10"/>
        <rFont val="WenQuanYi Zen Hei"/>
        <family val="2"/>
      </rPr>
      <t xml:space="preserve">） </t>
    </r>
    <r>
      <rPr>
        <sz val="10"/>
        <rFont val="Meiryo UI"/>
        <family val="0"/>
        <charset val="1"/>
      </rPr>
      <t xml:space="preserve">/ nec </t>
    </r>
    <r>
      <rPr>
        <sz val="10"/>
        <rFont val="WenQuanYi Zen Hei"/>
        <family val="2"/>
      </rPr>
      <t xml:space="preserve">退職金 いくら（</t>
    </r>
    <r>
      <rPr>
        <sz val="10"/>
        <rFont val="Meiryo UI"/>
        <family val="0"/>
        <charset val="1"/>
      </rPr>
      <t xml:space="preserve">176</t>
    </r>
    <r>
      <rPr>
        <sz val="10"/>
        <rFont val="WenQuanYi Zen Hei"/>
        <family val="2"/>
      </rPr>
      <t xml:space="preserve">表示・</t>
    </r>
    <r>
      <rPr>
        <sz val="10"/>
        <rFont val="Meiryo UI"/>
        <family val="0"/>
        <charset val="1"/>
      </rPr>
      <t xml:space="preserve">3.2</t>
    </r>
    <r>
      <rPr>
        <sz val="10"/>
        <rFont val="WenQuanYi Zen Hei"/>
        <family val="2"/>
      </rPr>
      <t xml:space="preserve">位・</t>
    </r>
    <r>
      <rPr>
        <sz val="10"/>
        <rFont val="Meiryo UI"/>
        <family val="0"/>
        <charset val="1"/>
      </rPr>
      <t xml:space="preserve">CTR9.1%</t>
    </r>
    <r>
      <rPr>
        <sz val="10"/>
        <rFont val="WenQuanYi Zen Hei"/>
        <family val="2"/>
      </rPr>
      <t xml:space="preserve">） </t>
    </r>
    <r>
      <rPr>
        <sz val="10"/>
        <rFont val="Meiryo UI"/>
        <family val="0"/>
        <charset val="1"/>
      </rPr>
      <t xml:space="preserve">/ nec</t>
    </r>
    <r>
      <rPr>
        <sz val="10"/>
        <rFont val="WenQuanYi Zen Hei"/>
        <family val="2"/>
      </rPr>
      <t xml:space="preserve">退職金いくら（</t>
    </r>
    <r>
      <rPr>
        <sz val="10"/>
        <rFont val="Meiryo UI"/>
        <family val="0"/>
        <charset val="1"/>
      </rPr>
      <t xml:space="preserve">142</t>
    </r>
    <r>
      <rPr>
        <sz val="10"/>
        <rFont val="WenQuanYi Zen Hei"/>
        <family val="2"/>
      </rPr>
      <t xml:space="preserve">表示・</t>
    </r>
    <r>
      <rPr>
        <sz val="10"/>
        <rFont val="Meiryo UI"/>
        <family val="0"/>
        <charset val="1"/>
      </rPr>
      <t xml:space="preserve">2.9</t>
    </r>
    <r>
      <rPr>
        <sz val="10"/>
        <rFont val="WenQuanYi Zen Hei"/>
        <family val="2"/>
      </rPr>
      <t xml:space="preserve">位・</t>
    </r>
    <r>
      <rPr>
        <sz val="10"/>
        <rFont val="Meiryo UI"/>
        <family val="0"/>
        <charset val="1"/>
      </rPr>
      <t xml:space="preserve">CTR12.0%</t>
    </r>
    <r>
      <rPr>
        <sz val="10"/>
        <rFont val="WenQuanYi Zen Hei"/>
        <family val="2"/>
      </rPr>
      <t xml:space="preserve">）</t>
    </r>
  </si>
  <si>
    <r>
      <rPr>
        <sz val="10"/>
        <rFont val="Meiryo UI"/>
        <family val="0"/>
        <charset val="1"/>
      </rPr>
      <t xml:space="preserve">5.8</t>
    </r>
    <r>
      <rPr>
        <sz val="10"/>
        <rFont val="WenQuanYi Zen Hei"/>
        <family val="2"/>
      </rPr>
      <t xml:space="preserve">位・</t>
    </r>
    <r>
      <rPr>
        <sz val="10"/>
        <rFont val="Meiryo UI"/>
        <family val="0"/>
        <charset val="1"/>
      </rPr>
      <t xml:space="preserve">CTR5.1%</t>
    </r>
    <r>
      <rPr>
        <sz val="10"/>
        <rFont val="WenQuanYi Zen Hei"/>
        <family val="2"/>
      </rPr>
      <t xml:space="preserve">、日次クリック</t>
    </r>
    <r>
      <rPr>
        <sz val="10"/>
        <rFont val="Meiryo UI"/>
        <family val="0"/>
        <charset val="1"/>
      </rPr>
      <t xml:space="preserve">2.1→4.6</t>
    </r>
    <r>
      <rPr>
        <sz val="10"/>
        <rFont val="WenQuanYi Zen Hei"/>
        <family val="2"/>
      </rPr>
      <t xml:space="preserve">。関連クエリは「</t>
    </r>
    <r>
      <rPr>
        <sz val="10"/>
        <rFont val="Meiryo UI"/>
        <family val="0"/>
        <charset val="1"/>
      </rPr>
      <t xml:space="preserve">nec </t>
    </r>
    <r>
      <rPr>
        <sz val="10"/>
        <rFont val="WenQuanYi Zen Hei"/>
        <family val="2"/>
      </rPr>
      <t xml:space="preserve">退職金」</t>
    </r>
    <r>
      <rPr>
        <sz val="10"/>
        <rFont val="Meiryo UI"/>
        <family val="0"/>
        <charset val="1"/>
      </rPr>
      <t xml:space="preserve">368</t>
    </r>
    <r>
      <rPr>
        <sz val="10"/>
        <rFont val="WenQuanYi Zen Hei"/>
        <family val="2"/>
      </rPr>
      <t xml:space="preserve">表示</t>
    </r>
    <r>
      <rPr>
        <sz val="10"/>
        <rFont val="Meiryo UI"/>
        <family val="0"/>
        <charset val="1"/>
      </rPr>
      <t xml:space="preserve">5.3</t>
    </r>
    <r>
      <rPr>
        <sz val="10"/>
        <rFont val="WenQuanYi Zen Hei"/>
        <family val="2"/>
      </rPr>
      <t xml:space="preserve">位</t>
    </r>
    <r>
      <rPr>
        <sz val="10"/>
        <rFont val="Meiryo UI"/>
        <family val="0"/>
        <charset val="1"/>
      </rPr>
      <t xml:space="preserve">CTR11%</t>
    </r>
    <r>
      <rPr>
        <sz val="10"/>
        <rFont val="WenQuanYi Zen Hei"/>
        <family val="2"/>
      </rPr>
      <t xml:space="preserve">、「</t>
    </r>
    <r>
      <rPr>
        <sz val="10"/>
        <rFont val="Meiryo UI"/>
        <family val="0"/>
        <charset val="1"/>
      </rPr>
      <t xml:space="preserve">nec </t>
    </r>
    <r>
      <rPr>
        <sz val="10"/>
        <rFont val="WenQuanYi Zen Hei"/>
        <family val="2"/>
      </rPr>
      <t xml:space="preserve">早期退職 </t>
    </r>
    <r>
      <rPr>
        <sz val="10"/>
        <rFont val="Meiryo UI"/>
        <family val="0"/>
        <charset val="1"/>
      </rPr>
      <t xml:space="preserve">2026</t>
    </r>
    <r>
      <rPr>
        <sz val="10"/>
        <rFont val="WenQuanYi Zen Hei"/>
        <family val="2"/>
      </rPr>
      <t xml:space="preserve">」</t>
    </r>
    <r>
      <rPr>
        <sz val="10"/>
        <rFont val="Meiryo UI"/>
        <family val="0"/>
        <charset val="1"/>
      </rPr>
      <t xml:space="preserve">118</t>
    </r>
    <r>
      <rPr>
        <sz val="10"/>
        <rFont val="WenQuanYi Zen Hei"/>
        <family val="2"/>
      </rPr>
      <t xml:space="preserve">表示</t>
    </r>
    <r>
      <rPr>
        <sz val="10"/>
        <rFont val="Meiryo UI"/>
        <family val="0"/>
        <charset val="1"/>
      </rPr>
      <t xml:space="preserve">3.8</t>
    </r>
    <r>
      <rPr>
        <sz val="10"/>
        <rFont val="WenQuanYi Zen Hei"/>
        <family val="2"/>
      </rPr>
      <t xml:space="preserve">位など、退職金・早期退職が中心。読者は</t>
    </r>
    <r>
      <rPr>
        <sz val="10"/>
        <rFont val="Meiryo UI"/>
        <family val="0"/>
        <charset val="1"/>
      </rPr>
      <t xml:space="preserve">NEC</t>
    </r>
    <r>
      <rPr>
        <sz val="10"/>
        <rFont val="WenQuanYi Zen Hei"/>
        <family val="2"/>
      </rPr>
      <t xml:space="preserve">社員で、転職を検討し始めた層（収益化の見込みが高い）。</t>
    </r>
  </si>
  <si>
    <r>
      <rPr>
        <sz val="10"/>
        <rFont val="WenQuanYi Zen Hei"/>
        <family val="2"/>
      </rPr>
      <t xml:space="preserve">退職金・早期退職・リストラ（計</t>
    </r>
    <r>
      <rPr>
        <sz val="10"/>
        <rFont val="Meiryo UI"/>
        <family val="0"/>
        <charset val="1"/>
      </rPr>
      <t xml:space="preserve">700</t>
    </r>
    <r>
      <rPr>
        <sz val="10"/>
        <rFont val="WenQuanYi Zen Hei"/>
        <family val="2"/>
      </rPr>
      <t xml:space="preserve">表示超）の見出しを強化し、退職金の計算例を追加。「日本電気 退職金」（</t>
    </r>
    <r>
      <rPr>
        <sz val="10"/>
        <rFont val="Meiryo UI"/>
        <family val="0"/>
        <charset val="1"/>
      </rPr>
      <t xml:space="preserve">98</t>
    </r>
    <r>
      <rPr>
        <sz val="10"/>
        <rFont val="WenQuanYi Zen Hei"/>
        <family val="2"/>
      </rPr>
      <t xml:space="preserve">表示</t>
    </r>
    <r>
      <rPr>
        <sz val="10"/>
        <rFont val="Meiryo UI"/>
        <family val="0"/>
        <charset val="1"/>
      </rPr>
      <t xml:space="preserve">5.4</t>
    </r>
    <r>
      <rPr>
        <sz val="10"/>
        <rFont val="WenQuanYi Zen Hei"/>
        <family val="2"/>
      </rPr>
      <t xml:space="preserve">位）など正式社名でも拾う。</t>
    </r>
  </si>
  <si>
    <r>
      <rPr>
        <sz val="10"/>
        <rFont val="WenQuanYi Zen Hei"/>
        <family val="2"/>
      </rPr>
      <t xml:space="preserve">【案】</t>
    </r>
    <r>
      <rPr>
        <sz val="10"/>
        <rFont val="Meiryo UI"/>
        <family val="0"/>
        <charset val="1"/>
      </rPr>
      <t xml:space="preserve">NEC</t>
    </r>
    <r>
      <rPr>
        <sz val="10"/>
        <rFont val="WenQuanYi Zen Hei"/>
        <family val="2"/>
      </rPr>
      <t xml:space="preserve">の退職金はいくら？早期退職・転職の難易度と評判を現役</t>
    </r>
    <r>
      <rPr>
        <sz val="10"/>
        <rFont val="Meiryo UI"/>
        <family val="0"/>
        <charset val="1"/>
      </rPr>
      <t xml:space="preserve">IT</t>
    </r>
    <r>
      <rPr>
        <sz val="10"/>
        <rFont val="WenQuanYi Zen Hei"/>
        <family val="2"/>
      </rPr>
      <t xml:space="preserve">人事が解説
（現行タイトルに「退職金」が入っていなければ必ず入れる）</t>
    </r>
  </si>
  <si>
    <r>
      <rPr>
        <sz val="10"/>
        <rFont val="WenQuanYi Zen Hei"/>
        <family val="2"/>
      </rPr>
      <t xml:space="preserve">①退職金・早期退職の見出しの直後：「早期退職に応じるか迷ったら、まず自分の市場価値を確認。応じる前に内定を持つのが鉄則」→</t>
    </r>
    <r>
      <rPr>
        <sz val="10"/>
        <rFont val="Meiryo UI"/>
        <family val="0"/>
        <charset val="1"/>
      </rPr>
      <t xml:space="preserve">JAC Recruitment</t>
    </r>
    <r>
      <rPr>
        <sz val="10"/>
        <rFont val="WenQuanYi Zen Hei"/>
        <family val="2"/>
      </rPr>
      <t xml:space="preserve">／レバテックダイレクト
②記事末：社内でバレずに情報収集できるスカウト型を紹介</t>
    </r>
  </si>
  <si>
    <r>
      <rPr>
        <sz val="10"/>
        <rFont val="Meiryo UI"/>
        <family val="0"/>
        <charset val="1"/>
      </rPr>
      <t xml:space="preserve">JAC Recruitment(VC)/</t>
    </r>
    <r>
      <rPr>
        <sz val="10"/>
        <rFont val="WenQuanYi Zen Hei"/>
        <family val="2"/>
      </rPr>
      <t xml:space="preserve">リクルートエージェント</t>
    </r>
    <r>
      <rPr>
        <sz val="10"/>
        <rFont val="Meiryo UI"/>
        <family val="0"/>
        <charset val="1"/>
      </rPr>
      <t xml:space="preserve">(VC)</t>
    </r>
  </si>
  <si>
    <t xml:space="preserve">/tenshokukaigi-openwork-comparison/</t>
  </si>
  <si>
    <r>
      <rPr>
        <sz val="10"/>
        <rFont val="Meiryo UI"/>
        <family val="0"/>
        <charset val="1"/>
      </rPr>
      <t xml:space="preserve">vorkers </t>
    </r>
    <r>
      <rPr>
        <sz val="10"/>
        <rFont val="WenQuanYi Zen Hei"/>
        <family val="2"/>
      </rPr>
      <t xml:space="preserve">転職 会議（</t>
    </r>
    <r>
      <rPr>
        <sz val="10"/>
        <rFont val="Meiryo UI"/>
        <family val="0"/>
        <charset val="1"/>
      </rPr>
      <t xml:space="preserve">87</t>
    </r>
    <r>
      <rPr>
        <sz val="10"/>
        <rFont val="WenQuanYi Zen Hei"/>
        <family val="2"/>
      </rPr>
      <t xml:space="preserve">表示・</t>
    </r>
    <r>
      <rPr>
        <sz val="10"/>
        <rFont val="Meiryo UI"/>
        <family val="0"/>
        <charset val="1"/>
      </rPr>
      <t xml:space="preserve">5.1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オープンワーク 転職会議（</t>
    </r>
    <r>
      <rPr>
        <sz val="10"/>
        <rFont val="Meiryo UI"/>
        <family val="0"/>
        <charset val="1"/>
      </rPr>
      <t xml:space="preserve">59</t>
    </r>
    <r>
      <rPr>
        <sz val="10"/>
        <rFont val="WenQuanYi Zen Hei"/>
        <family val="2"/>
      </rPr>
      <t xml:space="preserve">表示・</t>
    </r>
    <r>
      <rPr>
        <sz val="10"/>
        <rFont val="Meiryo UI"/>
        <family val="0"/>
        <charset val="1"/>
      </rPr>
      <t xml:space="preserve">4.2</t>
    </r>
    <r>
      <rPr>
        <sz val="10"/>
        <rFont val="WenQuanYi Zen Hei"/>
        <family val="2"/>
      </rPr>
      <t xml:space="preserve">位・</t>
    </r>
    <r>
      <rPr>
        <sz val="10"/>
        <rFont val="Meiryo UI"/>
        <family val="0"/>
        <charset val="1"/>
      </rPr>
      <t xml:space="preserve">CTR3.4%</t>
    </r>
    <r>
      <rPr>
        <sz val="10"/>
        <rFont val="WenQuanYi Zen Hei"/>
        <family val="2"/>
      </rPr>
      <t xml:space="preserve">） </t>
    </r>
    <r>
      <rPr>
        <sz val="10"/>
        <rFont val="Meiryo UI"/>
        <family val="0"/>
        <charset val="1"/>
      </rPr>
      <t xml:space="preserve">/ </t>
    </r>
    <r>
      <rPr>
        <sz val="10"/>
        <rFont val="WenQuanYi Zen Hei"/>
        <family val="2"/>
      </rPr>
      <t xml:space="preserve">転職会議 オープンワーク（</t>
    </r>
    <r>
      <rPr>
        <sz val="10"/>
        <rFont val="Meiryo UI"/>
        <family val="0"/>
        <charset val="1"/>
      </rPr>
      <t xml:space="preserve">55</t>
    </r>
    <r>
      <rPr>
        <sz val="10"/>
        <rFont val="WenQuanYi Zen Hei"/>
        <family val="2"/>
      </rPr>
      <t xml:space="preserve">表示・</t>
    </r>
    <r>
      <rPr>
        <sz val="10"/>
        <rFont val="Meiryo UI"/>
        <family val="0"/>
        <charset val="1"/>
      </rPr>
      <t xml:space="preserve">4.1</t>
    </r>
    <r>
      <rPr>
        <sz val="10"/>
        <rFont val="WenQuanYi Zen Hei"/>
        <family val="2"/>
      </rPr>
      <t xml:space="preserve">位・</t>
    </r>
    <r>
      <rPr>
        <sz val="10"/>
        <rFont val="Meiryo UI"/>
        <family val="0"/>
        <charset val="1"/>
      </rPr>
      <t xml:space="preserve">CTR9.1%</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</si>
  <si>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8,555</t>
    </r>
    <r>
      <rPr>
        <sz val="10"/>
        <rFont val="WenQuanYi Zen Hei"/>
        <family val="2"/>
      </rPr>
      <t xml:space="preserve">表示・</t>
    </r>
    <r>
      <rPr>
        <sz val="10"/>
        <rFont val="Meiryo UI"/>
        <family val="0"/>
        <charset val="1"/>
      </rPr>
      <t xml:space="preserve">7.9</t>
    </r>
    <r>
      <rPr>
        <sz val="10"/>
        <rFont val="WenQuanYi Zen Hei"/>
        <family val="2"/>
      </rPr>
      <t xml:space="preserve">位・</t>
    </r>
    <r>
      <rPr>
        <sz val="10"/>
        <rFont val="Meiryo UI"/>
        <family val="0"/>
        <charset val="1"/>
      </rPr>
      <t xml:space="preserve">CTR1.0%</t>
    </r>
    <r>
      <rPr>
        <sz val="10"/>
        <rFont val="WenQuanYi Zen Hei"/>
        <family val="2"/>
      </rPr>
      <t xml:space="preserve">。比較系クエリの表示は少なく、汎用的な「転職会議」系クエリで表示されて</t>
    </r>
    <r>
      <rPr>
        <sz val="10"/>
        <rFont val="Meiryo UI"/>
        <family val="0"/>
        <charset val="1"/>
      </rPr>
      <t xml:space="preserve">CTR</t>
    </r>
    <r>
      <rPr>
        <sz val="10"/>
        <rFont val="WenQuanYi Zen Hei"/>
        <family val="2"/>
      </rPr>
      <t xml:space="preserve">を下げている可能性（親記事とのカニバリ）。「</t>
    </r>
    <r>
      <rPr>
        <sz val="10"/>
        <rFont val="Meiryo UI"/>
        <family val="0"/>
        <charset val="1"/>
      </rPr>
      <t xml:space="preserve">vorkers </t>
    </r>
    <r>
      <rPr>
        <sz val="10"/>
        <rFont val="WenQuanYi Zen Hei"/>
        <family val="2"/>
      </rPr>
      <t xml:space="preserve">転職会議」</t>
    </r>
    <r>
      <rPr>
        <sz val="10"/>
        <rFont val="Meiryo UI"/>
        <family val="0"/>
        <charset val="1"/>
      </rPr>
      <t xml:space="preserve">87</t>
    </r>
    <r>
      <rPr>
        <sz val="10"/>
        <rFont val="WenQuanYi Zen Hei"/>
        <family val="2"/>
      </rPr>
      <t xml:space="preserve">表示</t>
    </r>
    <r>
      <rPr>
        <sz val="10"/>
        <rFont val="Meiryo UI"/>
        <family val="0"/>
        <charset val="1"/>
      </rPr>
      <t xml:space="preserve">5.1</t>
    </r>
    <r>
      <rPr>
        <sz val="10"/>
        <rFont val="WenQuanYi Zen Hei"/>
        <family val="2"/>
      </rPr>
      <t xml:space="preserve">位</t>
    </r>
    <r>
      <rPr>
        <sz val="10"/>
        <rFont val="Meiryo UI"/>
        <family val="0"/>
        <charset val="1"/>
      </rPr>
      <t xml:space="preserve">CTR0%</t>
    </r>
    <r>
      <rPr>
        <sz val="10"/>
        <rFont val="WenQuanYi Zen Hei"/>
        <family val="2"/>
      </rPr>
      <t xml:space="preserve">。</t>
    </r>
  </si>
  <si>
    <r>
      <rPr>
        <sz val="10"/>
        <rFont val="WenQuanYi Zen Hei"/>
        <family val="2"/>
      </rPr>
      <t xml:space="preserve">【転職会議】競合相手：</t>
    </r>
    <r>
      <rPr>
        <sz val="10"/>
        <rFont val="Meiryo UI"/>
        <family val="0"/>
        <charset val="1"/>
      </rPr>
      <t xml:space="preserve">/tenshokukaigi-kuchikomi-mikata-tsukaikata/</t>
    </r>
    <r>
      <rPr>
        <sz val="10"/>
        <rFont val="WenQuanYi Zen Hei"/>
        <family val="2"/>
      </rPr>
      <t xml:space="preserve">、</t>
    </r>
    <r>
      <rPr>
        <sz val="10"/>
        <rFont val="Meiryo UI"/>
        <family val="0"/>
        <charset val="1"/>
      </rPr>
      <t xml:space="preserve">/tenshokukaigi-cancel-withdrawal/</t>
    </r>
    <r>
      <rPr>
        <sz val="10"/>
        <rFont val="WenQuanYi Zen Hei"/>
        <family val="2"/>
      </rPr>
      <t xml:space="preserve">、</t>
    </r>
    <r>
      <rPr>
        <sz val="10"/>
        <rFont val="Meiryo UI"/>
        <family val="0"/>
        <charset val="1"/>
      </rPr>
      <t xml:space="preserve">/tenshokukaigi-toroku-bareru/</t>
    </r>
  </si>
  <si>
    <r>
      <rPr>
        <sz val="10"/>
        <rFont val="WenQuanYi Zen Hei"/>
        <family val="2"/>
      </rPr>
      <t xml:space="preserve">「比較・違い・どっち」だけを担当。転職会議単体の使い方説明を削り、要約＋親記事へのリンクに。</t>
    </r>
    <r>
      <rPr>
        <sz val="10"/>
        <rFont val="Meiryo UI"/>
        <family val="0"/>
        <charset val="1"/>
      </rPr>
      <t xml:space="preserve">OpenWork</t>
    </r>
    <r>
      <rPr>
        <sz val="10"/>
        <rFont val="WenQuanYi Zen Hei"/>
        <family val="2"/>
      </rPr>
      <t xml:space="preserve">の旧名称「</t>
    </r>
    <r>
      <rPr>
        <sz val="10"/>
        <rFont val="Meiryo UI"/>
        <family val="0"/>
        <charset val="1"/>
      </rPr>
      <t xml:space="preserve">Vorkers</t>
    </r>
    <r>
      <rPr>
        <sz val="10"/>
        <rFont val="WenQuanYi Zen Hei"/>
        <family val="2"/>
      </rPr>
      <t xml:space="preserve">」を明記。</t>
    </r>
  </si>
  <si>
    <r>
      <rPr>
        <sz val="10"/>
        <rFont val="WenQuanYi Zen Hei"/>
        <family val="2"/>
      </rPr>
      <t xml:space="preserve">【案】転職会議と</t>
    </r>
    <r>
      <rPr>
        <sz val="10"/>
        <rFont val="Meiryo UI"/>
        <family val="0"/>
        <charset val="1"/>
      </rPr>
      <t xml:space="preserve">OpenWork</t>
    </r>
    <r>
      <rPr>
        <sz val="10"/>
        <rFont val="WenQuanYi Zen Hei"/>
        <family val="2"/>
      </rPr>
      <t xml:space="preserve">の違いは？どっちを使うべきか現役人事が比較【旧</t>
    </r>
    <r>
      <rPr>
        <sz val="10"/>
        <rFont val="Meiryo UI"/>
        <family val="0"/>
        <charset val="1"/>
      </rPr>
      <t xml:space="preserve">Vorkers</t>
    </r>
    <r>
      <rPr>
        <sz val="10"/>
        <rFont val="WenQuanYi Zen Hei"/>
        <family val="2"/>
      </rPr>
      <t xml:space="preserve">】</t>
    </r>
  </si>
  <si>
    <t xml:space="preserve">比較表の直後：「結論：両方登録して同じ会社を見比べるのが最も正確」→転職会議ボタン</t>
  </si>
  <si>
    <t xml:space="preserve">/nttdata-chuto-nanido/</t>
  </si>
  <si>
    <r>
      <rPr>
        <sz val="10"/>
        <rFont val="Meiryo UI"/>
        <family val="0"/>
        <charset val="1"/>
      </rPr>
      <t xml:space="preserve">NTT</t>
    </r>
    <r>
      <rPr>
        <sz val="10"/>
        <rFont val="WenQuanYi Zen Hei"/>
        <family val="2"/>
      </rPr>
      <t xml:space="preserve">データ</t>
    </r>
  </si>
  <si>
    <r>
      <rPr>
        <sz val="10"/>
        <rFont val="Meiryo UI"/>
        <family val="0"/>
        <charset val="1"/>
      </rPr>
      <t xml:space="preserve">ntt</t>
    </r>
    <r>
      <rPr>
        <sz val="10"/>
        <rFont val="WenQuanYi Zen Hei"/>
        <family val="2"/>
      </rPr>
      <t xml:space="preserve">データ中途採用 厳しい（</t>
    </r>
    <r>
      <rPr>
        <sz val="10"/>
        <rFont val="Meiryo UI"/>
        <family val="0"/>
        <charset val="1"/>
      </rPr>
      <t xml:space="preserve">661</t>
    </r>
    <r>
      <rPr>
        <sz val="10"/>
        <rFont val="WenQuanYi Zen Hei"/>
        <family val="2"/>
      </rPr>
      <t xml:space="preserve">表示・</t>
    </r>
    <r>
      <rPr>
        <sz val="10"/>
        <rFont val="Meiryo UI"/>
        <family val="0"/>
        <charset val="1"/>
      </rPr>
      <t xml:space="preserve">7.9</t>
    </r>
    <r>
      <rPr>
        <sz val="10"/>
        <rFont val="WenQuanYi Zen Hei"/>
        <family val="2"/>
      </rPr>
      <t xml:space="preserve">位・</t>
    </r>
    <r>
      <rPr>
        <sz val="10"/>
        <rFont val="Meiryo UI"/>
        <family val="0"/>
        <charset val="1"/>
      </rPr>
      <t xml:space="preserve">CTR1.5%</t>
    </r>
    <r>
      <rPr>
        <sz val="10"/>
        <rFont val="WenQuanYi Zen Hei"/>
        <family val="2"/>
      </rPr>
      <t xml:space="preserve">） </t>
    </r>
    <r>
      <rPr>
        <sz val="10"/>
        <rFont val="Meiryo UI"/>
        <family val="0"/>
        <charset val="1"/>
      </rPr>
      <t xml:space="preserve">/ ntt</t>
    </r>
    <r>
      <rPr>
        <sz val="10"/>
        <rFont val="WenQuanYi Zen Hei"/>
        <family val="2"/>
      </rPr>
      <t xml:space="preserve">データ 中途採用 厳しい（</t>
    </r>
    <r>
      <rPr>
        <sz val="10"/>
        <rFont val="Meiryo UI"/>
        <family val="0"/>
        <charset val="1"/>
      </rPr>
      <t xml:space="preserve">253</t>
    </r>
    <r>
      <rPr>
        <sz val="10"/>
        <rFont val="WenQuanYi Zen Hei"/>
        <family val="2"/>
      </rPr>
      <t xml:space="preserve">表示・</t>
    </r>
    <r>
      <rPr>
        <sz val="10"/>
        <rFont val="Meiryo UI"/>
        <family val="0"/>
        <charset val="1"/>
      </rPr>
      <t xml:space="preserve">8.0</t>
    </r>
    <r>
      <rPr>
        <sz val="10"/>
        <rFont val="WenQuanYi Zen Hei"/>
        <family val="2"/>
      </rPr>
      <t xml:space="preserve">位・</t>
    </r>
    <r>
      <rPr>
        <sz val="10"/>
        <rFont val="Meiryo UI"/>
        <family val="0"/>
        <charset val="1"/>
      </rPr>
      <t xml:space="preserve">CTR0.4%</t>
    </r>
    <r>
      <rPr>
        <sz val="10"/>
        <rFont val="WenQuanYi Zen Hei"/>
        <family val="2"/>
      </rPr>
      <t xml:space="preserve">） </t>
    </r>
    <r>
      <rPr>
        <sz val="10"/>
        <rFont val="Meiryo UI"/>
        <family val="0"/>
        <charset val="1"/>
      </rPr>
      <t xml:space="preserve">/ ntt</t>
    </r>
    <r>
      <rPr>
        <sz val="10"/>
        <rFont val="WenQuanYi Zen Hei"/>
        <family val="2"/>
      </rPr>
      <t xml:space="preserve">データ 中途採用 難易度（</t>
    </r>
    <r>
      <rPr>
        <sz val="10"/>
        <rFont val="Meiryo UI"/>
        <family val="0"/>
        <charset val="1"/>
      </rPr>
      <t xml:space="preserve">201</t>
    </r>
    <r>
      <rPr>
        <sz val="10"/>
        <rFont val="WenQuanYi Zen Hei"/>
        <family val="2"/>
      </rPr>
      <t xml:space="preserve">表示・</t>
    </r>
    <r>
      <rPr>
        <sz val="10"/>
        <rFont val="Meiryo UI"/>
        <family val="0"/>
        <charset val="1"/>
      </rPr>
      <t xml:space="preserve">10.2</t>
    </r>
    <r>
      <rPr>
        <sz val="10"/>
        <rFont val="WenQuanYi Zen Hei"/>
        <family val="2"/>
      </rPr>
      <t xml:space="preserve">位・</t>
    </r>
    <r>
      <rPr>
        <sz val="10"/>
        <rFont val="Meiryo UI"/>
        <family val="0"/>
        <charset val="1"/>
      </rPr>
      <t xml:space="preserve">CTR2.0%</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</si>
  <si>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6,787</t>
    </r>
    <r>
      <rPr>
        <sz val="10"/>
        <rFont val="WenQuanYi Zen Hei"/>
        <family val="2"/>
      </rPr>
      <t xml:space="preserve">表示・</t>
    </r>
    <r>
      <rPr>
        <sz val="10"/>
        <rFont val="Meiryo UI"/>
        <family val="0"/>
        <charset val="1"/>
      </rPr>
      <t xml:space="preserve">8.9</t>
    </r>
    <r>
      <rPr>
        <sz val="10"/>
        <rFont val="WenQuanYi Zen Hei"/>
        <family val="2"/>
      </rPr>
      <t xml:space="preserve">位・</t>
    </r>
    <r>
      <rPr>
        <sz val="10"/>
        <rFont val="Meiryo UI"/>
        <family val="0"/>
        <charset val="1"/>
      </rPr>
      <t xml:space="preserve">CTR4.0%</t>
    </r>
    <r>
      <rPr>
        <sz val="10"/>
        <rFont val="WenQuanYi Zen Hei"/>
        <family val="2"/>
      </rPr>
      <t xml:space="preserve">。「</t>
    </r>
    <r>
      <rPr>
        <sz val="10"/>
        <rFont val="Meiryo UI"/>
        <family val="0"/>
        <charset val="1"/>
      </rPr>
      <t xml:space="preserve">ntt</t>
    </r>
    <r>
      <rPr>
        <sz val="10"/>
        <rFont val="WenQuanYi Zen Hei"/>
        <family val="2"/>
      </rPr>
      <t xml:space="preserve">データ中途採用 厳しい」</t>
    </r>
    <r>
      <rPr>
        <sz val="10"/>
        <rFont val="Meiryo UI"/>
        <family val="0"/>
        <charset val="1"/>
      </rPr>
      <t xml:space="preserve">661</t>
    </r>
    <r>
      <rPr>
        <sz val="10"/>
        <rFont val="WenQuanYi Zen Hei"/>
        <family val="2"/>
      </rPr>
      <t xml:space="preserve">表示</t>
    </r>
    <r>
      <rPr>
        <sz val="10"/>
        <rFont val="Meiryo UI"/>
        <family val="0"/>
        <charset val="1"/>
      </rPr>
      <t xml:space="preserve">7.9</t>
    </r>
    <r>
      <rPr>
        <sz val="10"/>
        <rFont val="WenQuanYi Zen Hei"/>
        <family val="2"/>
      </rPr>
      <t xml:space="preserve">位</t>
    </r>
    <r>
      <rPr>
        <sz val="10"/>
        <rFont val="Meiryo UI"/>
        <family val="0"/>
        <charset val="1"/>
      </rPr>
      <t xml:space="preserve">CTR2%</t>
    </r>
    <r>
      <rPr>
        <sz val="10"/>
        <rFont val="WenQuanYi Zen Hei"/>
        <family val="2"/>
      </rPr>
      <t xml:space="preserve">、同（空白あり）</t>
    </r>
    <r>
      <rPr>
        <sz val="10"/>
        <rFont val="Meiryo UI"/>
        <family val="0"/>
        <charset val="1"/>
      </rPr>
      <t xml:space="preserve">253</t>
    </r>
    <r>
      <rPr>
        <sz val="10"/>
        <rFont val="WenQuanYi Zen Hei"/>
        <family val="2"/>
      </rPr>
      <t xml:space="preserve">表示</t>
    </r>
    <r>
      <rPr>
        <sz val="10"/>
        <rFont val="Meiryo UI"/>
        <family val="0"/>
        <charset val="1"/>
      </rPr>
      <t xml:space="preserve">CTR0%</t>
    </r>
    <r>
      <rPr>
        <sz val="10"/>
        <rFont val="WenQuanYi Zen Hei"/>
        <family val="2"/>
      </rPr>
      <t xml:space="preserve">。書類通過率系（計</t>
    </r>
    <r>
      <rPr>
        <sz val="10"/>
        <rFont val="Meiryo UI"/>
        <family val="0"/>
        <charset val="1"/>
      </rPr>
      <t xml:space="preserve">250</t>
    </r>
    <r>
      <rPr>
        <sz val="10"/>
        <rFont val="WenQuanYi Zen Hei"/>
        <family val="2"/>
      </rPr>
      <t xml:space="preserve">表示・</t>
    </r>
    <r>
      <rPr>
        <sz val="10"/>
        <rFont val="Meiryo UI"/>
        <family val="0"/>
        <charset val="1"/>
      </rPr>
      <t xml:space="preserve">6</t>
    </r>
    <r>
      <rPr>
        <sz val="10"/>
        <rFont val="WenQuanYi Zen Hei"/>
        <family val="2"/>
      </rPr>
      <t xml:space="preserve">〜</t>
    </r>
    <r>
      <rPr>
        <sz val="10"/>
        <rFont val="Meiryo UI"/>
        <family val="0"/>
        <charset val="1"/>
      </rPr>
      <t xml:space="preserve">10</t>
    </r>
    <r>
      <rPr>
        <sz val="10"/>
        <rFont val="WenQuanYi Zen Hei"/>
        <family val="2"/>
      </rPr>
      <t xml:space="preserve">位）も来ている。</t>
    </r>
  </si>
  <si>
    <r>
      <rPr>
        <sz val="10"/>
        <rFont val="WenQuanYi Zen Hei"/>
        <family val="2"/>
      </rPr>
      <t xml:space="preserve">「中途採用は厳しい？」に冒頭で即答し、書類通過率・適性検査・面接回数を表で示す。通過率系クエリは本記事に一本化し、</t>
    </r>
    <r>
      <rPr>
        <sz val="10"/>
        <rFont val="Meiryo UI"/>
        <family val="0"/>
        <charset val="1"/>
      </rPr>
      <t xml:space="preserve">/nttdata-tekiseikensa-ochita/</t>
    </r>
    <r>
      <rPr>
        <sz val="10"/>
        <rFont val="WenQuanYi Zen Hei"/>
        <family val="2"/>
      </rPr>
      <t xml:space="preserve">・</t>
    </r>
    <r>
      <rPr>
        <sz val="10"/>
        <rFont val="Meiryo UI"/>
        <family val="0"/>
        <charset val="1"/>
      </rPr>
      <t xml:space="preserve">/document-screening-pass-rate/</t>
    </r>
    <r>
      <rPr>
        <sz val="10"/>
        <rFont val="WenQuanYi Zen Hei"/>
        <family val="2"/>
      </rPr>
      <t xml:space="preserve">と相互リンク。</t>
    </r>
  </si>
  <si>
    <r>
      <rPr>
        <sz val="10"/>
        <rFont val="WenQuanYi Zen Hei"/>
        <family val="2"/>
      </rPr>
      <t xml:space="preserve">【案】</t>
    </r>
    <r>
      <rPr>
        <sz val="10"/>
        <rFont val="Meiryo UI"/>
        <family val="0"/>
        <charset val="1"/>
      </rPr>
      <t xml:space="preserve">NTT</t>
    </r>
    <r>
      <rPr>
        <sz val="10"/>
        <rFont val="WenQuanYi Zen Hei"/>
        <family val="2"/>
      </rPr>
      <t xml:space="preserve">データの中途採用は厳しい？難易度・書類通過率・選考フローを現役</t>
    </r>
    <r>
      <rPr>
        <sz val="10"/>
        <rFont val="Meiryo UI"/>
        <family val="0"/>
        <charset val="1"/>
      </rPr>
      <t xml:space="preserve">IT</t>
    </r>
    <r>
      <rPr>
        <sz val="10"/>
        <rFont val="WenQuanYi Zen Hei"/>
        <family val="2"/>
      </rPr>
      <t xml:space="preserve">人事が解説</t>
    </r>
  </si>
  <si>
    <r>
      <rPr>
        <sz val="10"/>
        <rFont val="WenQuanYi Zen Hei"/>
        <family val="2"/>
      </rPr>
      <t xml:space="preserve">①選考フロー表の直下：「大手</t>
    </r>
    <r>
      <rPr>
        <sz val="10"/>
        <rFont val="Meiryo UI"/>
        <family val="0"/>
        <charset val="1"/>
      </rPr>
      <t xml:space="preserve">SIer</t>
    </r>
    <r>
      <rPr>
        <sz val="10"/>
        <rFont val="WenQuanYi Zen Hei"/>
        <family val="2"/>
      </rPr>
      <t xml:space="preserve">は部署ごとに求める経験が違い、求人票だけでは分からない。エージェント経由なら面接傾向を事前に聞ける」→リクルートエージェント（年収</t>
    </r>
    <r>
      <rPr>
        <sz val="10"/>
        <rFont val="Meiryo UI"/>
        <family val="0"/>
        <charset val="1"/>
      </rPr>
      <t xml:space="preserve">600</t>
    </r>
    <r>
      <rPr>
        <sz val="10"/>
        <rFont val="WenQuanYi Zen Hei"/>
        <family val="2"/>
      </rPr>
      <t xml:space="preserve">万円以上は</t>
    </r>
    <r>
      <rPr>
        <sz val="10"/>
        <rFont val="Meiryo UI"/>
        <family val="0"/>
        <charset val="1"/>
      </rPr>
      <t xml:space="preserve">JAC</t>
    </r>
    <r>
      <rPr>
        <sz val="10"/>
        <rFont val="WenQuanYi Zen Hei"/>
        <family val="2"/>
      </rPr>
      <t xml:space="preserve">）
②記事末：「入社後のギャップは口コミで確認」→転職会議</t>
    </r>
  </si>
  <si>
    <t xml:space="preserve">/tenshokukaigi-toroku-bareru/</t>
  </si>
  <si>
    <r>
      <rPr>
        <sz val="10"/>
        <rFont val="WenQuanYi Zen Hei"/>
        <family val="2"/>
      </rPr>
      <t xml:space="preserve">転職会議 登録 ばれる（</t>
    </r>
    <r>
      <rPr>
        <sz val="10"/>
        <rFont val="Meiryo UI"/>
        <family val="0"/>
        <charset val="1"/>
      </rPr>
      <t xml:space="preserve">376</t>
    </r>
    <r>
      <rPr>
        <sz val="10"/>
        <rFont val="WenQuanYi Zen Hei"/>
        <family val="2"/>
      </rPr>
      <t xml:space="preserve">表示・</t>
    </r>
    <r>
      <rPr>
        <sz val="10"/>
        <rFont val="Meiryo UI"/>
        <family val="0"/>
        <charset val="1"/>
      </rPr>
      <t xml:space="preserve">4.9</t>
    </r>
    <r>
      <rPr>
        <sz val="10"/>
        <rFont val="WenQuanYi Zen Hei"/>
        <family val="2"/>
      </rPr>
      <t xml:space="preserve">位・</t>
    </r>
    <r>
      <rPr>
        <sz val="10"/>
        <rFont val="Meiryo UI"/>
        <family val="0"/>
        <charset val="1"/>
      </rPr>
      <t xml:space="preserve">CTR1.1%</t>
    </r>
    <r>
      <rPr>
        <sz val="10"/>
        <rFont val="WenQuanYi Zen Hei"/>
        <family val="2"/>
      </rPr>
      <t xml:space="preserve">） </t>
    </r>
    <r>
      <rPr>
        <sz val="10"/>
        <rFont val="Meiryo UI"/>
        <family val="0"/>
        <charset val="1"/>
      </rPr>
      <t xml:space="preserve">/ </t>
    </r>
    <r>
      <rPr>
        <sz val="10"/>
        <rFont val="WenQuanYi Zen Hei"/>
        <family val="2"/>
      </rPr>
      <t xml:space="preserve">転職会議 口コミ バレる（</t>
    </r>
    <r>
      <rPr>
        <sz val="10"/>
        <rFont val="Meiryo UI"/>
        <family val="0"/>
        <charset val="1"/>
      </rPr>
      <t xml:space="preserve">98</t>
    </r>
    <r>
      <rPr>
        <sz val="10"/>
        <rFont val="WenQuanYi Zen Hei"/>
        <family val="2"/>
      </rPr>
      <t xml:space="preserve">表示・</t>
    </r>
    <r>
      <rPr>
        <sz val="10"/>
        <rFont val="Meiryo UI"/>
        <family val="0"/>
        <charset val="1"/>
      </rPr>
      <t xml:space="preserve">7.1</t>
    </r>
    <r>
      <rPr>
        <sz val="10"/>
        <rFont val="WenQuanYi Zen Hei"/>
        <family val="2"/>
      </rPr>
      <t xml:space="preserve">位・</t>
    </r>
    <r>
      <rPr>
        <sz val="10"/>
        <rFont val="Meiryo UI"/>
        <family val="0"/>
        <charset val="1"/>
      </rPr>
      <t xml:space="preserve">CTR1.0%</t>
    </r>
    <r>
      <rPr>
        <sz val="10"/>
        <rFont val="WenQuanYi Zen Hei"/>
        <family val="2"/>
      </rPr>
      <t xml:space="preserve">） </t>
    </r>
    <r>
      <rPr>
        <sz val="10"/>
        <rFont val="Meiryo UI"/>
        <family val="0"/>
        <charset val="1"/>
      </rPr>
      <t xml:space="preserve">/ </t>
    </r>
    <r>
      <rPr>
        <sz val="10"/>
        <rFont val="WenQuanYi Zen Hei"/>
        <family val="2"/>
      </rPr>
      <t xml:space="preserve">転職会議バレる（</t>
    </r>
    <r>
      <rPr>
        <sz val="10"/>
        <rFont val="Meiryo UI"/>
        <family val="0"/>
        <charset val="1"/>
      </rPr>
      <t xml:space="preserve">74</t>
    </r>
    <r>
      <rPr>
        <sz val="10"/>
        <rFont val="WenQuanYi Zen Hei"/>
        <family val="2"/>
      </rPr>
      <t xml:space="preserve">表示・</t>
    </r>
    <r>
      <rPr>
        <sz val="10"/>
        <rFont val="Meiryo UI"/>
        <family val="0"/>
        <charset val="1"/>
      </rPr>
      <t xml:space="preserve">6.6</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</si>
  <si>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直近</t>
    </r>
    <r>
      <rPr>
        <sz val="10"/>
        <rFont val="Meiryo UI"/>
        <family val="0"/>
        <charset val="1"/>
      </rPr>
      <t xml:space="preserve">28</t>
    </r>
    <r>
      <rPr>
        <sz val="10"/>
        <rFont val="WenQuanYi Zen Hei"/>
        <family val="2"/>
      </rPr>
      <t xml:space="preserve">日に出現した新しい記事。「転職会議 登録 ばれる」</t>
    </r>
    <r>
      <rPr>
        <sz val="10"/>
        <rFont val="Meiryo UI"/>
        <family val="0"/>
        <charset val="1"/>
      </rPr>
      <t xml:space="preserve">376</t>
    </r>
    <r>
      <rPr>
        <sz val="10"/>
        <rFont val="WenQuanYi Zen Hei"/>
        <family val="2"/>
      </rPr>
      <t xml:space="preserve">表示</t>
    </r>
    <r>
      <rPr>
        <sz val="10"/>
        <rFont val="Meiryo UI"/>
        <family val="0"/>
        <charset val="1"/>
      </rPr>
      <t xml:space="preserve">4.9</t>
    </r>
    <r>
      <rPr>
        <sz val="10"/>
        <rFont val="WenQuanYi Zen Hei"/>
        <family val="2"/>
      </rPr>
      <t xml:space="preserve">位</t>
    </r>
    <r>
      <rPr>
        <sz val="10"/>
        <rFont val="Meiryo UI"/>
        <family val="0"/>
        <charset val="1"/>
      </rPr>
      <t xml:space="preserve">CTR1.1%</t>
    </r>
    <r>
      <rPr>
        <sz val="10"/>
        <rFont val="WenQuanYi Zen Hei"/>
        <family val="2"/>
      </rPr>
      <t xml:space="preserve">、「口コミ バレる」</t>
    </r>
    <r>
      <rPr>
        <sz val="10"/>
        <rFont val="Meiryo UI"/>
        <family val="0"/>
        <charset val="1"/>
      </rPr>
      <t xml:space="preserve">98</t>
    </r>
    <r>
      <rPr>
        <sz val="10"/>
        <rFont val="WenQuanYi Zen Hei"/>
        <family val="2"/>
      </rPr>
      <t xml:space="preserve">表示</t>
    </r>
    <r>
      <rPr>
        <sz val="10"/>
        <rFont val="Meiryo UI"/>
        <family val="0"/>
        <charset val="1"/>
      </rPr>
      <t xml:space="preserve">7.1</t>
    </r>
    <r>
      <rPr>
        <sz val="10"/>
        <rFont val="WenQuanYi Zen Hei"/>
        <family val="2"/>
      </rPr>
      <t xml:space="preserve">位。</t>
    </r>
  </si>
  <si>
    <r>
      <rPr>
        <sz val="10"/>
        <rFont val="WenQuanYi Zen Hei"/>
        <family val="2"/>
      </rPr>
      <t xml:space="preserve">【転職会議】競合相手：</t>
    </r>
    <r>
      <rPr>
        <sz val="10"/>
        <rFont val="Meiryo UI"/>
        <family val="0"/>
        <charset val="1"/>
      </rPr>
      <t xml:space="preserve">/tenshokukaigi-kuchikomi-mikata-tsukaikata/</t>
    </r>
    <r>
      <rPr>
        <sz val="10"/>
        <rFont val="WenQuanYi Zen Hei"/>
        <family val="2"/>
      </rPr>
      <t xml:space="preserve">、</t>
    </r>
    <r>
      <rPr>
        <sz val="10"/>
        <rFont val="Meiryo UI"/>
        <family val="0"/>
        <charset val="1"/>
      </rPr>
      <t xml:space="preserve">/tenshokukaigi-openwork-comparison/</t>
    </r>
    <r>
      <rPr>
        <sz val="10"/>
        <rFont val="WenQuanYi Zen Hei"/>
        <family val="2"/>
      </rPr>
      <t xml:space="preserve">、</t>
    </r>
    <r>
      <rPr>
        <sz val="10"/>
        <rFont val="Meiryo UI"/>
        <family val="0"/>
        <charset val="1"/>
      </rPr>
      <t xml:space="preserve">/tenshokukaigi-cancel-withdrawal/</t>
    </r>
  </si>
  <si>
    <r>
      <rPr>
        <sz val="10"/>
        <rFont val="WenQuanYi Zen Hei"/>
        <family val="2"/>
      </rPr>
      <t xml:space="preserve">冒頭で「会社にバレることは基本ない。理由は</t>
    </r>
    <r>
      <rPr>
        <sz val="10"/>
        <rFont val="Meiryo UI"/>
        <family val="0"/>
        <charset val="1"/>
      </rPr>
      <t xml:space="preserve">3</t>
    </r>
    <r>
      <rPr>
        <sz val="10"/>
        <rFont val="WenQuanYi Zen Hei"/>
        <family val="2"/>
      </rPr>
      <t xml:space="preserve">つ」と即答。親記事から内部リンクを集める。</t>
    </r>
  </si>
  <si>
    <t xml:space="preserve">【案】転職会議の登録は会社にバレる？口コミ投稿で特定されない方法【人事が解説】</t>
  </si>
  <si>
    <t xml:space="preserve">不安を解消した直後：「バレない設定を確認したうえで無料登録」→転職会議ボタン</t>
  </si>
  <si>
    <t xml:space="preserve">/recruit-agent-tsukaikata/</t>
  </si>
  <si>
    <r>
      <rPr>
        <sz val="10"/>
        <rFont val="WenQuanYi Zen Hei"/>
        <family val="2"/>
      </rPr>
      <t xml:space="preserve">リクルートエージェント 求人ポストとは（</t>
    </r>
    <r>
      <rPr>
        <sz val="10"/>
        <rFont val="Meiryo UI"/>
        <family val="0"/>
        <charset val="1"/>
      </rPr>
      <t xml:space="preserve">134</t>
    </r>
    <r>
      <rPr>
        <sz val="10"/>
        <rFont val="WenQuanYi Zen Hei"/>
        <family val="2"/>
      </rPr>
      <t xml:space="preserve">表示・</t>
    </r>
    <r>
      <rPr>
        <sz val="10"/>
        <rFont val="Meiryo UI"/>
        <family val="0"/>
        <charset val="1"/>
      </rPr>
      <t xml:space="preserve">3.4</t>
    </r>
    <r>
      <rPr>
        <sz val="10"/>
        <rFont val="WenQuanYi Zen Hei"/>
        <family val="2"/>
      </rPr>
      <t xml:space="preserve">位・</t>
    </r>
    <r>
      <rPr>
        <sz val="10"/>
        <rFont val="Meiryo UI"/>
        <family val="0"/>
        <charset val="1"/>
      </rPr>
      <t xml:space="preserve">CTR0.8%</t>
    </r>
    <r>
      <rPr>
        <sz val="10"/>
        <rFont val="WenQuanYi Zen Hei"/>
        <family val="2"/>
      </rPr>
      <t xml:space="preserve">） </t>
    </r>
    <r>
      <rPr>
        <sz val="10"/>
        <rFont val="Meiryo UI"/>
        <family val="0"/>
        <charset val="1"/>
      </rPr>
      <t xml:space="preserve">/ </t>
    </r>
    <r>
      <rPr>
        <sz val="10"/>
        <rFont val="WenQuanYi Zen Hei"/>
        <family val="2"/>
      </rPr>
      <t xml:space="preserve">リクルートエージェント 面接後 アンケート（</t>
    </r>
    <r>
      <rPr>
        <sz val="10"/>
        <rFont val="Meiryo UI"/>
        <family val="0"/>
        <charset val="1"/>
      </rPr>
      <t xml:space="preserve">52</t>
    </r>
    <r>
      <rPr>
        <sz val="10"/>
        <rFont val="WenQuanYi Zen Hei"/>
        <family val="2"/>
      </rPr>
      <t xml:space="preserve">表示・</t>
    </r>
    <r>
      <rPr>
        <sz val="10"/>
        <rFont val="Meiryo UI"/>
        <family val="0"/>
        <charset val="1"/>
      </rPr>
      <t xml:space="preserve">3.9</t>
    </r>
    <r>
      <rPr>
        <sz val="10"/>
        <rFont val="WenQuanYi Zen Hei"/>
        <family val="2"/>
      </rPr>
      <t xml:space="preserve">位・</t>
    </r>
    <r>
      <rPr>
        <sz val="10"/>
        <rFont val="Meiryo UI"/>
        <family val="0"/>
        <charset val="1"/>
      </rPr>
      <t xml:space="preserve">CTR21.1%</t>
    </r>
    <r>
      <rPr>
        <sz val="10"/>
        <rFont val="WenQuanYi Zen Hei"/>
        <family val="2"/>
      </rPr>
      <t xml:space="preserve">） </t>
    </r>
    <r>
      <rPr>
        <sz val="10"/>
        <rFont val="Meiryo UI"/>
        <family val="0"/>
        <charset val="1"/>
      </rPr>
      <t xml:space="preserve">/ </t>
    </r>
    <r>
      <rPr>
        <sz val="10"/>
        <rFont val="WenQuanYi Zen Hei"/>
        <family val="2"/>
      </rPr>
      <t xml:space="preserve">リクルートエージェント 面接後のアンケート（</t>
    </r>
    <r>
      <rPr>
        <sz val="10"/>
        <rFont val="Meiryo UI"/>
        <family val="0"/>
        <charset val="1"/>
      </rPr>
      <t xml:space="preserve">49</t>
    </r>
    <r>
      <rPr>
        <sz val="10"/>
        <rFont val="WenQuanYi Zen Hei"/>
        <family val="2"/>
      </rPr>
      <t xml:space="preserve">表示・</t>
    </r>
    <r>
      <rPr>
        <sz val="10"/>
        <rFont val="Meiryo UI"/>
        <family val="0"/>
        <charset val="1"/>
      </rPr>
      <t xml:space="preserve">3.9</t>
    </r>
    <r>
      <rPr>
        <sz val="10"/>
        <rFont val="WenQuanYi Zen Hei"/>
        <family val="2"/>
      </rPr>
      <t xml:space="preserve">位・</t>
    </r>
    <r>
      <rPr>
        <sz val="10"/>
        <rFont val="Meiryo UI"/>
        <family val="0"/>
        <charset val="1"/>
      </rPr>
      <t xml:space="preserve">CTR22.4%</t>
    </r>
    <r>
      <rPr>
        <sz val="10"/>
        <rFont val="WenQuanYi Zen Hei"/>
        <family val="2"/>
      </rPr>
      <t xml:space="preserve">）</t>
    </r>
  </si>
  <si>
    <r>
      <rPr>
        <sz val="10"/>
        <rFont val="WenQuanYi Zen Hei"/>
        <family val="2"/>
      </rPr>
      <t xml:space="preserve">直近</t>
    </r>
    <r>
      <rPr>
        <sz val="10"/>
        <rFont val="Meiryo UI"/>
        <family val="0"/>
        <charset val="1"/>
      </rPr>
      <t xml:space="preserve">28</t>
    </r>
    <r>
      <rPr>
        <sz val="10"/>
        <rFont val="WenQuanYi Zen Hei"/>
        <family val="2"/>
      </rPr>
      <t xml:space="preserve">日に出現、</t>
    </r>
    <r>
      <rPr>
        <sz val="10"/>
        <rFont val="Meiryo UI"/>
        <family val="0"/>
        <charset val="1"/>
      </rPr>
      <t xml:space="preserve">6.2</t>
    </r>
    <r>
      <rPr>
        <sz val="10"/>
        <rFont val="WenQuanYi Zen Hei"/>
        <family val="2"/>
      </rPr>
      <t xml:space="preserve">位・</t>
    </r>
    <r>
      <rPr>
        <sz val="10"/>
        <rFont val="Meiryo UI"/>
        <family val="0"/>
        <charset val="1"/>
      </rPr>
      <t xml:space="preserve">CTR2.5%</t>
    </r>
    <r>
      <rPr>
        <sz val="10"/>
        <rFont val="WenQuanYi Zen Hei"/>
        <family val="2"/>
      </rPr>
      <t xml:space="preserve">。「リクルートエージェント 求人ポストとは」</t>
    </r>
    <r>
      <rPr>
        <sz val="10"/>
        <rFont val="Meiryo UI"/>
        <family val="0"/>
        <charset val="1"/>
      </rPr>
      <t xml:space="preserve">134</t>
    </r>
    <r>
      <rPr>
        <sz val="10"/>
        <rFont val="WenQuanYi Zen Hei"/>
        <family val="2"/>
      </rPr>
      <t xml:space="preserve">表示</t>
    </r>
    <r>
      <rPr>
        <sz val="10"/>
        <rFont val="Meiryo UI"/>
        <family val="0"/>
        <charset val="1"/>
      </rPr>
      <t xml:space="preserve">3.4</t>
    </r>
    <r>
      <rPr>
        <sz val="10"/>
        <rFont val="WenQuanYi Zen Hei"/>
        <family val="2"/>
      </rPr>
      <t xml:space="preserve">位なのに</t>
    </r>
    <r>
      <rPr>
        <sz val="10"/>
        <rFont val="Meiryo UI"/>
        <family val="0"/>
        <charset val="1"/>
      </rPr>
      <t xml:space="preserve">CTR0.7%</t>
    </r>
    <r>
      <rPr>
        <sz val="10"/>
        <rFont val="WenQuanYi Zen Hei"/>
        <family val="2"/>
      </rPr>
      <t xml:space="preserve">。評判記事と「面接後アンケート」系で重複。</t>
    </r>
  </si>
  <si>
    <r>
      <rPr>
        <sz val="10"/>
        <rFont val="WenQuanYi Zen Hei"/>
        <family val="2"/>
      </rPr>
      <t xml:space="preserve">【リクルートエージェント】競合相手：</t>
    </r>
    <r>
      <rPr>
        <sz val="10"/>
        <rFont val="Meiryo UI"/>
        <family val="0"/>
        <charset val="1"/>
      </rPr>
      <t xml:space="preserve">/recruit-agent-hyoban/</t>
    </r>
  </si>
  <si>
    <t xml:space="preserve">「面接後アンケート」「求人ポスト」の専任記事に。評判記事のアンケート解説を移管。「求人ポストとは」に冒頭で即答。</t>
  </si>
  <si>
    <t xml:space="preserve">【案】リクルートエージェントの使い方｜求人ポスト・面接後アンケートの書き方を人事が解説</t>
  </si>
  <si>
    <t xml:space="preserve">冒頭（未登録者向け）にリクルートエージェントのボタン。「面接後アンケートの書き方」の後に「企業側にはこう伝わっている」という人事目線の一言。</t>
  </si>
  <si>
    <t xml:space="preserve">/nec-ai-department-corporate-ai-workforce/</t>
  </si>
  <si>
    <r>
      <rPr>
        <sz val="10"/>
        <rFont val="Meiryo UI"/>
        <family val="0"/>
        <charset val="1"/>
      </rPr>
      <t xml:space="preserve">nec ai </t>
    </r>
    <r>
      <rPr>
        <sz val="10"/>
        <rFont val="WenQuanYi Zen Hei"/>
        <family val="2"/>
      </rPr>
      <t xml:space="preserve">部署（</t>
    </r>
    <r>
      <rPr>
        <sz val="10"/>
        <rFont val="Meiryo UI"/>
        <family val="0"/>
        <charset val="1"/>
      </rPr>
      <t xml:space="preserve">411</t>
    </r>
    <r>
      <rPr>
        <sz val="10"/>
        <rFont val="WenQuanYi Zen Hei"/>
        <family val="2"/>
      </rPr>
      <t xml:space="preserve">表示・</t>
    </r>
    <r>
      <rPr>
        <sz val="10"/>
        <rFont val="Meiryo UI"/>
        <family val="0"/>
        <charset val="1"/>
      </rPr>
      <t xml:space="preserve">9.5</t>
    </r>
    <r>
      <rPr>
        <sz val="10"/>
        <rFont val="WenQuanYi Zen Hei"/>
        <family val="2"/>
      </rPr>
      <t xml:space="preserve">位・</t>
    </r>
    <r>
      <rPr>
        <sz val="10"/>
        <rFont val="Meiryo UI"/>
        <family val="0"/>
        <charset val="1"/>
      </rPr>
      <t xml:space="preserve">CTR1.7%</t>
    </r>
    <r>
      <rPr>
        <sz val="10"/>
        <rFont val="WenQuanYi Zen Hei"/>
        <family val="2"/>
      </rPr>
      <t xml:space="preserve">） </t>
    </r>
    <r>
      <rPr>
        <sz val="10"/>
        <rFont val="Meiryo UI"/>
        <family val="0"/>
        <charset val="1"/>
      </rPr>
      <t xml:space="preserve">/ nec ai</t>
    </r>
    <r>
      <rPr>
        <sz val="10"/>
        <rFont val="WenQuanYi Zen Hei"/>
        <family val="2"/>
      </rPr>
      <t xml:space="preserve">部署（</t>
    </r>
    <r>
      <rPr>
        <sz val="10"/>
        <rFont val="Meiryo UI"/>
        <family val="0"/>
        <charset val="1"/>
      </rPr>
      <t xml:space="preserve">225</t>
    </r>
    <r>
      <rPr>
        <sz val="10"/>
        <rFont val="WenQuanYi Zen Hei"/>
        <family val="2"/>
      </rPr>
      <t xml:space="preserve">表示・</t>
    </r>
    <r>
      <rPr>
        <sz val="10"/>
        <rFont val="Meiryo UI"/>
        <family val="0"/>
        <charset val="1"/>
      </rPr>
      <t xml:space="preserve">9.6</t>
    </r>
    <r>
      <rPr>
        <sz val="10"/>
        <rFont val="WenQuanYi Zen Hei"/>
        <family val="2"/>
      </rPr>
      <t xml:space="preserve">位・</t>
    </r>
    <r>
      <rPr>
        <sz val="10"/>
        <rFont val="Meiryo UI"/>
        <family val="0"/>
        <charset val="1"/>
      </rPr>
      <t xml:space="preserve">CTR2.2%</t>
    </r>
    <r>
      <rPr>
        <sz val="10"/>
        <rFont val="WenQuanYi Zen Hei"/>
        <family val="2"/>
      </rPr>
      <t xml:space="preserve">） </t>
    </r>
    <r>
      <rPr>
        <sz val="10"/>
        <rFont val="Meiryo UI"/>
        <family val="0"/>
        <charset val="1"/>
      </rPr>
      <t xml:space="preserve">/ nec ai</t>
    </r>
    <r>
      <rPr>
        <sz val="10"/>
        <rFont val="WenQuanYi Zen Hei"/>
        <family val="2"/>
      </rPr>
      <t xml:space="preserve">組織（</t>
    </r>
    <r>
      <rPr>
        <sz val="10"/>
        <rFont val="Meiryo UI"/>
        <family val="0"/>
        <charset val="1"/>
      </rPr>
      <t xml:space="preserve">184</t>
    </r>
    <r>
      <rPr>
        <sz val="10"/>
        <rFont val="WenQuanYi Zen Hei"/>
        <family val="2"/>
      </rPr>
      <t xml:space="preserve">表示・</t>
    </r>
    <r>
      <rPr>
        <sz val="10"/>
        <rFont val="Meiryo UI"/>
        <family val="0"/>
        <charset val="1"/>
      </rPr>
      <t xml:space="preserve">9.2</t>
    </r>
    <r>
      <rPr>
        <sz val="10"/>
        <rFont val="WenQuanYi Zen Hei"/>
        <family val="2"/>
      </rPr>
      <t xml:space="preserve">位・</t>
    </r>
    <r>
      <rPr>
        <sz val="10"/>
        <rFont val="Meiryo UI"/>
        <family val="0"/>
        <charset val="1"/>
      </rPr>
      <t xml:space="preserve">CTR2.2%</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</si>
  <si>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3,968</t>
    </r>
    <r>
      <rPr>
        <sz val="10"/>
        <rFont val="WenQuanYi Zen Hei"/>
        <family val="2"/>
      </rPr>
      <t xml:space="preserve">表示・</t>
    </r>
    <r>
      <rPr>
        <sz val="10"/>
        <rFont val="Meiryo UI"/>
        <family val="0"/>
        <charset val="1"/>
      </rPr>
      <t xml:space="preserve">8.9</t>
    </r>
    <r>
      <rPr>
        <sz val="10"/>
        <rFont val="WenQuanYi Zen Hei"/>
        <family val="2"/>
      </rPr>
      <t xml:space="preserve">位・</t>
    </r>
    <r>
      <rPr>
        <sz val="10"/>
        <rFont val="Meiryo UI"/>
        <family val="0"/>
        <charset val="1"/>
      </rPr>
      <t xml:space="preserve">CTR1.8%</t>
    </r>
    <r>
      <rPr>
        <sz val="10"/>
        <rFont val="WenQuanYi Zen Hei"/>
        <family val="2"/>
      </rPr>
      <t xml:space="preserve">、表示</t>
    </r>
    <r>
      <rPr>
        <sz val="10"/>
        <rFont val="Meiryo UI"/>
        <family val="0"/>
        <charset val="1"/>
      </rPr>
      <t xml:space="preserve">/</t>
    </r>
    <r>
      <rPr>
        <sz val="10"/>
        <rFont val="WenQuanYi Zen Hei"/>
        <family val="2"/>
      </rPr>
      <t xml:space="preserve">日</t>
    </r>
    <r>
      <rPr>
        <sz val="10"/>
        <rFont val="Meiryo UI"/>
        <family val="0"/>
        <charset val="1"/>
      </rPr>
      <t xml:space="preserve">26→83</t>
    </r>
    <r>
      <rPr>
        <sz val="10"/>
        <rFont val="WenQuanYi Zen Hei"/>
        <family val="2"/>
      </rPr>
      <t xml:space="preserve">に急伸。「</t>
    </r>
    <r>
      <rPr>
        <sz val="10"/>
        <rFont val="Meiryo UI"/>
        <family val="0"/>
        <charset val="1"/>
      </rPr>
      <t xml:space="preserve">nec ai </t>
    </r>
    <r>
      <rPr>
        <sz val="10"/>
        <rFont val="WenQuanYi Zen Hei"/>
        <family val="2"/>
      </rPr>
      <t xml:space="preserve">部署」</t>
    </r>
    <r>
      <rPr>
        <sz val="10"/>
        <rFont val="Meiryo UI"/>
        <family val="0"/>
        <charset val="1"/>
      </rPr>
      <t xml:space="preserve">411</t>
    </r>
    <r>
      <rPr>
        <sz val="10"/>
        <rFont val="WenQuanYi Zen Hei"/>
        <family val="2"/>
      </rPr>
      <t xml:space="preserve">表示</t>
    </r>
    <r>
      <rPr>
        <sz val="10"/>
        <rFont val="Meiryo UI"/>
        <family val="0"/>
        <charset val="1"/>
      </rPr>
      <t xml:space="preserve">9.5</t>
    </r>
    <r>
      <rPr>
        <sz val="10"/>
        <rFont val="WenQuanYi Zen Hei"/>
        <family val="2"/>
      </rPr>
      <t xml:space="preserve">位、「コーポレート</t>
    </r>
    <r>
      <rPr>
        <sz val="10"/>
        <rFont val="Meiryo UI"/>
        <family val="0"/>
        <charset val="1"/>
      </rPr>
      <t xml:space="preserve">AI</t>
    </r>
    <r>
      <rPr>
        <sz val="10"/>
        <rFont val="WenQuanYi Zen Hei"/>
        <family val="2"/>
      </rPr>
      <t xml:space="preserve">・ワークフォース部門」（計</t>
    </r>
    <r>
      <rPr>
        <sz val="10"/>
        <rFont val="Meiryo UI"/>
        <family val="0"/>
        <charset val="1"/>
      </rPr>
      <t xml:space="preserve">210</t>
    </r>
    <r>
      <rPr>
        <sz val="10"/>
        <rFont val="WenQuanYi Zen Hei"/>
        <family val="2"/>
      </rPr>
      <t xml:space="preserve">表示）</t>
    </r>
    <r>
      <rPr>
        <sz val="10"/>
        <rFont val="Meiryo UI"/>
        <family val="0"/>
        <charset val="1"/>
      </rPr>
      <t xml:space="preserve">8</t>
    </r>
    <r>
      <rPr>
        <sz val="10"/>
        <rFont val="WenQuanYi Zen Hei"/>
        <family val="2"/>
      </rPr>
      <t xml:space="preserve">〜</t>
    </r>
    <r>
      <rPr>
        <sz val="10"/>
        <rFont val="Meiryo UI"/>
        <family val="0"/>
        <charset val="1"/>
      </rPr>
      <t xml:space="preserve">9</t>
    </r>
    <r>
      <rPr>
        <sz val="10"/>
        <rFont val="WenQuanYi Zen Hei"/>
        <family val="2"/>
      </rPr>
      <t xml:space="preserve">位。</t>
    </r>
  </si>
  <si>
    <r>
      <rPr>
        <sz val="10"/>
        <rFont val="WenQuanYi Zen Hei"/>
        <family val="2"/>
      </rPr>
      <t xml:space="preserve">部署の正式名称と「何をする部署か」を冒頭で即答。ニュース系の需要なので最終更新日を明記し、関連の</t>
    </r>
    <r>
      <rPr>
        <sz val="10"/>
        <rFont val="Meiryo UI"/>
        <family val="0"/>
        <charset val="1"/>
      </rPr>
      <t xml:space="preserve">/nec-career-change-reputation-difficulty/</t>
    </r>
    <r>
      <rPr>
        <sz val="10"/>
        <rFont val="WenQuanYi Zen Hei"/>
        <family val="2"/>
      </rPr>
      <t xml:space="preserve">へ内部リンク。</t>
    </r>
  </si>
  <si>
    <r>
      <rPr>
        <sz val="10"/>
        <rFont val="WenQuanYi Zen Hei"/>
        <family val="2"/>
      </rPr>
      <t xml:space="preserve">【案】</t>
    </r>
    <r>
      <rPr>
        <sz val="10"/>
        <rFont val="Meiryo UI"/>
        <family val="0"/>
        <charset val="1"/>
      </rPr>
      <t xml:space="preserve">NEC</t>
    </r>
    <r>
      <rPr>
        <sz val="10"/>
        <rFont val="WenQuanYi Zen Hei"/>
        <family val="2"/>
      </rPr>
      <t xml:space="preserve">の</t>
    </r>
    <r>
      <rPr>
        <sz val="10"/>
        <rFont val="Meiryo UI"/>
        <family val="0"/>
        <charset val="1"/>
      </rPr>
      <t xml:space="preserve">AI</t>
    </r>
    <r>
      <rPr>
        <sz val="10"/>
        <rFont val="WenQuanYi Zen Hei"/>
        <family val="2"/>
      </rPr>
      <t xml:space="preserve">部署（コーポレート</t>
    </r>
    <r>
      <rPr>
        <sz val="10"/>
        <rFont val="Meiryo UI"/>
        <family val="0"/>
        <charset val="1"/>
      </rPr>
      <t xml:space="preserve">AI</t>
    </r>
    <r>
      <rPr>
        <sz val="10"/>
        <rFont val="WenQuanYi Zen Hei"/>
        <family val="2"/>
      </rPr>
      <t xml:space="preserve">・ワークフォース部門）とは？役割と社員への影響を人事が解説</t>
    </r>
  </si>
  <si>
    <r>
      <rPr>
        <sz val="10"/>
        <rFont val="WenQuanYi Zen Hei"/>
        <family val="2"/>
      </rPr>
      <t xml:space="preserve">記事末：「</t>
    </r>
    <r>
      <rPr>
        <sz val="10"/>
        <rFont val="Meiryo UI"/>
        <family val="0"/>
        <charset val="1"/>
      </rPr>
      <t xml:space="preserve">AI</t>
    </r>
    <r>
      <rPr>
        <sz val="10"/>
        <rFont val="WenQuanYi Zen Hei"/>
        <family val="2"/>
      </rPr>
      <t xml:space="preserve">人材の市場価値は急上昇中。自分の経験がどう評価されるかはスカウトで確認」→レバテックダイレクト／</t>
    </r>
    <r>
      <rPr>
        <sz val="10"/>
        <rFont val="Meiryo UI"/>
        <family val="0"/>
        <charset val="1"/>
      </rPr>
      <t xml:space="preserve">Geekly</t>
    </r>
  </si>
  <si>
    <t xml:space="preserve">/hitachi-tenshoku-koukai/</t>
  </si>
  <si>
    <t xml:space="preserve">日立</t>
  </si>
  <si>
    <r>
      <rPr>
        <sz val="10"/>
        <rFont val="WenQuanYi Zen Hei"/>
        <family val="2"/>
      </rPr>
      <t xml:space="preserve">日立ビルシステム 勝ち組（</t>
    </r>
    <r>
      <rPr>
        <sz val="10"/>
        <rFont val="Meiryo UI"/>
        <family val="0"/>
        <charset val="1"/>
      </rPr>
      <t xml:space="preserve">343</t>
    </r>
    <r>
      <rPr>
        <sz val="10"/>
        <rFont val="WenQuanYi Zen Hei"/>
        <family val="2"/>
      </rPr>
      <t xml:space="preserve">表示・</t>
    </r>
    <r>
      <rPr>
        <sz val="10"/>
        <rFont val="Meiryo UI"/>
        <family val="0"/>
        <charset val="1"/>
      </rPr>
      <t xml:space="preserve">7.0</t>
    </r>
    <r>
      <rPr>
        <sz val="10"/>
        <rFont val="WenQuanYi Zen Hei"/>
        <family val="2"/>
      </rPr>
      <t xml:space="preserve">位・</t>
    </r>
    <r>
      <rPr>
        <sz val="10"/>
        <rFont val="Meiryo UI"/>
        <family val="0"/>
        <charset val="1"/>
      </rPr>
      <t xml:space="preserve">CTR0.9%</t>
    </r>
    <r>
      <rPr>
        <sz val="10"/>
        <rFont val="WenQuanYi Zen Hei"/>
        <family val="2"/>
      </rPr>
      <t xml:space="preserve">） </t>
    </r>
    <r>
      <rPr>
        <sz val="10"/>
        <rFont val="Meiryo UI"/>
        <family val="0"/>
        <charset val="1"/>
      </rPr>
      <t xml:space="preserve">/ </t>
    </r>
    <r>
      <rPr>
        <sz val="10"/>
        <rFont val="WenQuanYi Zen Hei"/>
        <family val="2"/>
      </rPr>
      <t xml:space="preserve">日立 製作所 転職 後悔（</t>
    </r>
    <r>
      <rPr>
        <sz val="10"/>
        <rFont val="Meiryo UI"/>
        <family val="0"/>
        <charset val="1"/>
      </rPr>
      <t xml:space="preserve">227</t>
    </r>
    <r>
      <rPr>
        <sz val="10"/>
        <rFont val="WenQuanYi Zen Hei"/>
        <family val="2"/>
      </rPr>
      <t xml:space="preserve">表示・</t>
    </r>
    <r>
      <rPr>
        <sz val="10"/>
        <rFont val="Meiryo UI"/>
        <family val="0"/>
        <charset val="1"/>
      </rPr>
      <t xml:space="preserve">10.5</t>
    </r>
    <r>
      <rPr>
        <sz val="10"/>
        <rFont val="WenQuanYi Zen Hei"/>
        <family val="2"/>
      </rPr>
      <t xml:space="preserve">位・</t>
    </r>
    <r>
      <rPr>
        <sz val="10"/>
        <rFont val="Meiryo UI"/>
        <family val="0"/>
        <charset val="1"/>
      </rPr>
      <t xml:space="preserve">CTR1.8%</t>
    </r>
    <r>
      <rPr>
        <sz val="10"/>
        <rFont val="WenQuanYi Zen Hei"/>
        <family val="2"/>
      </rPr>
      <t xml:space="preserve">） </t>
    </r>
    <r>
      <rPr>
        <sz val="10"/>
        <rFont val="Meiryo UI"/>
        <family val="0"/>
        <charset val="1"/>
      </rPr>
      <t xml:space="preserve">/ </t>
    </r>
    <r>
      <rPr>
        <sz val="10"/>
        <rFont val="WenQuanYi Zen Hei"/>
        <family val="2"/>
      </rPr>
      <t xml:space="preserve">日立製作所 転勤（</t>
    </r>
    <r>
      <rPr>
        <sz val="10"/>
        <rFont val="Meiryo UI"/>
        <family val="0"/>
        <charset val="1"/>
      </rPr>
      <t xml:space="preserve">206</t>
    </r>
    <r>
      <rPr>
        <sz val="10"/>
        <rFont val="WenQuanYi Zen Hei"/>
        <family val="2"/>
      </rPr>
      <t xml:space="preserve">表示・</t>
    </r>
    <r>
      <rPr>
        <sz val="10"/>
        <rFont val="Meiryo UI"/>
        <family val="0"/>
        <charset val="1"/>
      </rPr>
      <t xml:space="preserve">6.8</t>
    </r>
    <r>
      <rPr>
        <sz val="10"/>
        <rFont val="WenQuanYi Zen Hei"/>
        <family val="2"/>
      </rPr>
      <t xml:space="preserve">位・</t>
    </r>
    <r>
      <rPr>
        <sz val="10"/>
        <rFont val="Meiryo UI"/>
        <family val="0"/>
        <charset val="1"/>
      </rPr>
      <t xml:space="preserve">CTR3.4%</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</si>
  <si>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5,258</t>
    </r>
    <r>
      <rPr>
        <sz val="10"/>
        <rFont val="WenQuanYi Zen Hei"/>
        <family val="2"/>
      </rPr>
      <t xml:space="preserve">表示・</t>
    </r>
    <r>
      <rPr>
        <sz val="10"/>
        <rFont val="Meiryo UI"/>
        <family val="0"/>
        <charset val="1"/>
      </rPr>
      <t xml:space="preserve">9.6</t>
    </r>
    <r>
      <rPr>
        <sz val="10"/>
        <rFont val="WenQuanYi Zen Hei"/>
        <family val="2"/>
      </rPr>
      <t xml:space="preserve">位・</t>
    </r>
    <r>
      <rPr>
        <sz val="10"/>
        <rFont val="Meiryo UI"/>
        <family val="0"/>
        <charset val="1"/>
      </rPr>
      <t xml:space="preserve">CTR3.1%</t>
    </r>
    <r>
      <rPr>
        <sz val="10"/>
        <rFont val="WenQuanYi Zen Hei"/>
        <family val="2"/>
      </rPr>
      <t xml:space="preserve">、日次クリック</t>
    </r>
    <r>
      <rPr>
        <sz val="10"/>
        <rFont val="Meiryo UI"/>
        <family val="0"/>
        <charset val="1"/>
      </rPr>
      <t xml:space="preserve">1.2→3.2</t>
    </r>
    <r>
      <rPr>
        <sz val="10"/>
        <rFont val="WenQuanYi Zen Hei"/>
        <family val="2"/>
      </rPr>
      <t xml:space="preserve">。「日立ビルシステム 勝ち組」</t>
    </r>
    <r>
      <rPr>
        <sz val="10"/>
        <rFont val="Meiryo UI"/>
        <family val="0"/>
        <charset val="1"/>
      </rPr>
      <t xml:space="preserve">343</t>
    </r>
    <r>
      <rPr>
        <sz val="10"/>
        <rFont val="WenQuanYi Zen Hei"/>
        <family val="2"/>
      </rPr>
      <t xml:space="preserve">表示</t>
    </r>
    <r>
      <rPr>
        <sz val="10"/>
        <rFont val="Meiryo UI"/>
        <family val="0"/>
        <charset val="1"/>
      </rPr>
      <t xml:space="preserve">7.0</t>
    </r>
    <r>
      <rPr>
        <sz val="10"/>
        <rFont val="WenQuanYi Zen Hei"/>
        <family val="2"/>
      </rPr>
      <t xml:space="preserve">位</t>
    </r>
    <r>
      <rPr>
        <sz val="10"/>
        <rFont val="Meiryo UI"/>
        <family val="0"/>
        <charset val="1"/>
      </rPr>
      <t xml:space="preserve">CTR1%</t>
    </r>
    <r>
      <rPr>
        <sz val="10"/>
        <rFont val="WenQuanYi Zen Hei"/>
        <family val="2"/>
      </rPr>
      <t xml:space="preserve">、「日立製作所 転職 後悔」</t>
    </r>
    <r>
      <rPr>
        <sz val="10"/>
        <rFont val="Meiryo UI"/>
        <family val="0"/>
        <charset val="1"/>
      </rPr>
      <t xml:space="preserve">227</t>
    </r>
    <r>
      <rPr>
        <sz val="10"/>
        <rFont val="WenQuanYi Zen Hei"/>
        <family val="2"/>
      </rPr>
      <t xml:space="preserve">表示</t>
    </r>
    <r>
      <rPr>
        <sz val="10"/>
        <rFont val="Meiryo UI"/>
        <family val="0"/>
        <charset val="1"/>
      </rPr>
      <t xml:space="preserve">10.5</t>
    </r>
    <r>
      <rPr>
        <sz val="10"/>
        <rFont val="WenQuanYi Zen Hei"/>
        <family val="2"/>
      </rPr>
      <t xml:space="preserve">位。一方「日立製作所 転職 勝ち組」</t>
    </r>
    <r>
      <rPr>
        <sz val="10"/>
        <rFont val="Meiryo UI"/>
        <family val="0"/>
        <charset val="1"/>
      </rPr>
      <t xml:space="preserve">198</t>
    </r>
    <r>
      <rPr>
        <sz val="10"/>
        <rFont val="WenQuanYi Zen Hei"/>
        <family val="2"/>
      </rPr>
      <t xml:space="preserve">表示は</t>
    </r>
    <r>
      <rPr>
        <sz val="10"/>
        <rFont val="Meiryo UI"/>
        <family val="0"/>
        <charset val="1"/>
      </rPr>
      <t xml:space="preserve">2.3</t>
    </r>
    <r>
      <rPr>
        <sz val="10"/>
        <rFont val="WenQuanYi Zen Hei"/>
        <family val="2"/>
      </rPr>
      <t xml:space="preserve">位</t>
    </r>
    <r>
      <rPr>
        <sz val="10"/>
        <rFont val="Meiryo UI"/>
        <family val="0"/>
        <charset val="1"/>
      </rPr>
      <t xml:space="preserve">CTR12%</t>
    </r>
    <r>
      <rPr>
        <sz val="10"/>
        <rFont val="WenQuanYi Zen Hei"/>
        <family val="2"/>
      </rPr>
      <t xml:space="preserve">。</t>
    </r>
  </si>
  <si>
    <r>
      <rPr>
        <sz val="10"/>
        <rFont val="WenQuanYi Zen Hei"/>
        <family val="2"/>
      </rPr>
      <t xml:space="preserve">「後悔」と「勝ち組」の両方の意図に答える構成に。グループ会社（日立ビルシステム等）の見出しを追加。転勤（</t>
    </r>
    <r>
      <rPr>
        <sz val="10"/>
        <rFont val="Meiryo UI"/>
        <family val="0"/>
        <charset val="1"/>
      </rPr>
      <t xml:space="preserve">206</t>
    </r>
    <r>
      <rPr>
        <sz val="10"/>
        <rFont val="WenQuanYi Zen Hei"/>
        <family val="2"/>
      </rPr>
      <t xml:space="preserve">表示</t>
    </r>
    <r>
      <rPr>
        <sz val="10"/>
        <rFont val="Meiryo UI"/>
        <family val="0"/>
        <charset val="1"/>
      </rPr>
      <t xml:space="preserve">6.8</t>
    </r>
    <r>
      <rPr>
        <sz val="10"/>
        <rFont val="WenQuanYi Zen Hei"/>
        <family val="2"/>
      </rPr>
      <t xml:space="preserve">位）の実態も追記。</t>
    </r>
  </si>
  <si>
    <r>
      <rPr>
        <sz val="10"/>
        <rFont val="WenQuanYi Zen Hei"/>
        <family val="2"/>
      </rPr>
      <t xml:space="preserve">【案】日立製作所への転職は後悔する？勝ち組と言われる理由と注意点を現役</t>
    </r>
    <r>
      <rPr>
        <sz val="10"/>
        <rFont val="Meiryo UI"/>
        <family val="0"/>
        <charset val="1"/>
      </rPr>
      <t xml:space="preserve">IT</t>
    </r>
    <r>
      <rPr>
        <sz val="10"/>
        <rFont val="WenQuanYi Zen Hei"/>
        <family val="2"/>
      </rPr>
      <t xml:space="preserve">人事が解説</t>
    </r>
  </si>
  <si>
    <r>
      <rPr>
        <sz val="10"/>
        <rFont val="WenQuanYi Zen Hei"/>
        <family val="2"/>
      </rPr>
      <t xml:space="preserve">①年収・働き方の比較表の直下→</t>
    </r>
    <r>
      <rPr>
        <sz val="10"/>
        <rFont val="Meiryo UI"/>
        <family val="0"/>
        <charset val="1"/>
      </rPr>
      <t xml:space="preserve">JAC Recruitment</t>
    </r>
    <r>
      <rPr>
        <sz val="10"/>
        <rFont val="WenQuanYi Zen Hei"/>
        <family val="2"/>
      </rPr>
      <t xml:space="preserve">／リクルートエージェント
②記事末：「入社後のギャップはグループ会社ごとに違う。口コミで確認」→転職会議</t>
    </r>
  </si>
  <si>
    <t xml:space="preserve">/chuto-syorui-senko-ochiru/</t>
  </si>
  <si>
    <t xml:space="preserve">書類選考落ち</t>
  </si>
  <si>
    <t xml:space="preserve">表示急伸</t>
  </si>
  <si>
    <r>
      <rPr>
        <sz val="10"/>
        <rFont val="WenQuanYi Zen Hei"/>
        <family val="2"/>
      </rPr>
      <t xml:space="preserve">書類選考 落ちる（</t>
    </r>
    <r>
      <rPr>
        <sz val="10"/>
        <rFont val="Meiryo UI"/>
        <family val="0"/>
        <charset val="1"/>
      </rPr>
      <t xml:space="preserve">385</t>
    </r>
    <r>
      <rPr>
        <sz val="10"/>
        <rFont val="WenQuanYi Zen Hei"/>
        <family val="2"/>
      </rPr>
      <t xml:space="preserve">表示・</t>
    </r>
    <r>
      <rPr>
        <sz val="10"/>
        <rFont val="Meiryo UI"/>
        <family val="0"/>
        <charset val="1"/>
      </rPr>
      <t xml:space="preserve">27.0</t>
    </r>
    <r>
      <rPr>
        <sz val="10"/>
        <rFont val="WenQuanYi Zen Hei"/>
        <family val="2"/>
      </rPr>
      <t xml:space="preserve">位・</t>
    </r>
    <r>
      <rPr>
        <sz val="10"/>
        <rFont val="Meiryo UI"/>
        <family val="0"/>
        <charset val="1"/>
      </rPr>
      <t xml:space="preserve">CTR0.3%</t>
    </r>
    <r>
      <rPr>
        <sz val="10"/>
        <rFont val="WenQuanYi Zen Hei"/>
        <family val="2"/>
      </rPr>
      <t xml:space="preserve">） </t>
    </r>
    <r>
      <rPr>
        <sz val="10"/>
        <rFont val="Meiryo UI"/>
        <family val="0"/>
        <charset val="1"/>
      </rPr>
      <t xml:space="preserve">/ </t>
    </r>
    <r>
      <rPr>
        <sz val="10"/>
        <rFont val="WenQuanYi Zen Hei"/>
        <family val="2"/>
      </rPr>
      <t xml:space="preserve">書類選考 落ちる 中途（</t>
    </r>
    <r>
      <rPr>
        <sz val="10"/>
        <rFont val="Meiryo UI"/>
        <family val="0"/>
        <charset val="1"/>
      </rPr>
      <t xml:space="preserve">255</t>
    </r>
    <r>
      <rPr>
        <sz val="10"/>
        <rFont val="WenQuanYi Zen Hei"/>
        <family val="2"/>
      </rPr>
      <t xml:space="preserve">表示・</t>
    </r>
    <r>
      <rPr>
        <sz val="10"/>
        <rFont val="Meiryo UI"/>
        <family val="0"/>
        <charset val="1"/>
      </rPr>
      <t xml:space="preserve">20.5</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書類選考 落ちる 辛い（</t>
    </r>
    <r>
      <rPr>
        <sz val="10"/>
        <rFont val="Meiryo UI"/>
        <family val="0"/>
        <charset val="1"/>
      </rPr>
      <t xml:space="preserve">70</t>
    </r>
    <r>
      <rPr>
        <sz val="10"/>
        <rFont val="WenQuanYi Zen Hei"/>
        <family val="2"/>
      </rPr>
      <t xml:space="preserve">表示・</t>
    </r>
    <r>
      <rPr>
        <sz val="10"/>
        <rFont val="Meiryo UI"/>
        <family val="0"/>
        <charset val="1"/>
      </rPr>
      <t xml:space="preserve">27.5</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</si>
  <si>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「書類選考 落ちる」</t>
    </r>
    <r>
      <rPr>
        <sz val="10"/>
        <rFont val="Meiryo UI"/>
        <family val="0"/>
        <charset val="1"/>
      </rPr>
      <t xml:space="preserve">385</t>
    </r>
    <r>
      <rPr>
        <sz val="10"/>
        <rFont val="WenQuanYi Zen Hei"/>
        <family val="2"/>
      </rPr>
      <t xml:space="preserve">表示</t>
    </r>
    <r>
      <rPr>
        <sz val="10"/>
        <rFont val="Meiryo UI"/>
        <family val="0"/>
        <charset val="1"/>
      </rPr>
      <t xml:space="preserve">27.0</t>
    </r>
    <r>
      <rPr>
        <sz val="10"/>
        <rFont val="WenQuanYi Zen Hei"/>
        <family val="2"/>
      </rPr>
      <t xml:space="preserve">位、「〜中途」</t>
    </r>
    <r>
      <rPr>
        <sz val="10"/>
        <rFont val="Meiryo UI"/>
        <family val="0"/>
        <charset val="1"/>
      </rPr>
      <t xml:space="preserve">255</t>
    </r>
    <r>
      <rPr>
        <sz val="10"/>
        <rFont val="WenQuanYi Zen Hei"/>
        <family val="2"/>
      </rPr>
      <t xml:space="preserve">表示</t>
    </r>
    <r>
      <rPr>
        <sz val="10"/>
        <rFont val="Meiryo UI"/>
        <family val="0"/>
        <charset val="1"/>
      </rPr>
      <t xml:space="preserve">20.5</t>
    </r>
    <r>
      <rPr>
        <sz val="10"/>
        <rFont val="WenQuanYi Zen Hei"/>
        <family val="2"/>
      </rPr>
      <t xml:space="preserve">位。書類選考系</t>
    </r>
    <r>
      <rPr>
        <sz val="10"/>
        <rFont val="Meiryo UI"/>
        <family val="0"/>
        <charset val="1"/>
      </rPr>
      <t xml:space="preserve">10</t>
    </r>
    <r>
      <rPr>
        <sz val="10"/>
        <rFont val="WenQuanYi Zen Hei"/>
        <family val="2"/>
      </rPr>
      <t xml:space="preserve">記事に評価が分散している。</t>
    </r>
  </si>
  <si>
    <r>
      <rPr>
        <sz val="10"/>
        <rFont val="WenQuanYi Zen Hei"/>
        <family val="2"/>
      </rPr>
      <t xml:space="preserve">【書類選考落ち】競合相手：</t>
    </r>
    <r>
      <rPr>
        <sz val="10"/>
        <rFont val="Meiryo UI"/>
        <family val="0"/>
        <charset val="1"/>
      </rPr>
      <t xml:space="preserve">/it-tensyoku-syorui-ochiru-riyu/</t>
    </r>
    <r>
      <rPr>
        <sz val="10"/>
        <rFont val="WenQuanYi Zen Hei"/>
        <family val="2"/>
      </rPr>
      <t xml:space="preserve">、</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/document-screening-cutoff/</t>
    </r>
    <r>
      <rPr>
        <sz val="10"/>
        <rFont val="WenQuanYi Zen Hei"/>
        <family val="2"/>
      </rPr>
      <t xml:space="preserve">、</t>
    </r>
    <r>
      <rPr>
        <sz val="10"/>
        <rFont val="Meiryo UI"/>
        <family val="0"/>
        <charset val="1"/>
      </rPr>
      <t xml:space="preserve">/document-screening-pass-rate/</t>
    </r>
    <r>
      <rPr>
        <sz val="10"/>
        <rFont val="WenQuanYi Zen Hei"/>
        <family val="2"/>
      </rPr>
      <t xml:space="preserve">、</t>
    </r>
    <r>
      <rPr>
        <sz val="10"/>
        <rFont val="Meiryo UI"/>
        <family val="0"/>
        <charset val="1"/>
      </rPr>
      <t xml:space="preserve">/document-screening-1minute/</t>
    </r>
    <r>
      <rPr>
        <sz val="10"/>
        <rFont val="WenQuanYi Zen Hei"/>
        <family val="2"/>
      </rPr>
      <t xml:space="preserve">ほか</t>
    </r>
  </si>
  <si>
    <t xml:space="preserve">書類選考系の親記事にして、重複記事を統合（統合先）。「落ちる理由」「通過率」「辛い時の対処」を章立て。</t>
  </si>
  <si>
    <t xml:space="preserve">【案】中途の書類選考で落ちる理由｜人事が明かす「通過する職務経歴書」の共通点</t>
  </si>
  <si>
    <t xml:space="preserve">「自分で直すのが難しい人へ」：エージェントの無料書類添削→リクルートエージェント</t>
  </si>
  <si>
    <t xml:space="preserve">/openwork-white-company-mikata/</t>
  </si>
  <si>
    <r>
      <rPr>
        <sz val="10"/>
        <rFont val="WenQuanYi Zen Hei"/>
        <family val="2"/>
      </rPr>
      <t xml:space="preserve">オープンワーク ホワイト企業 見分け方（</t>
    </r>
    <r>
      <rPr>
        <sz val="10"/>
        <rFont val="Meiryo UI"/>
        <family val="0"/>
        <charset val="1"/>
      </rPr>
      <t xml:space="preserve">446</t>
    </r>
    <r>
      <rPr>
        <sz val="10"/>
        <rFont val="WenQuanYi Zen Hei"/>
        <family val="2"/>
      </rPr>
      <t xml:space="preserve">表示・</t>
    </r>
    <r>
      <rPr>
        <sz val="10"/>
        <rFont val="Meiryo UI"/>
        <family val="0"/>
        <charset val="1"/>
      </rPr>
      <t xml:space="preserve">2.5</t>
    </r>
    <r>
      <rPr>
        <sz val="10"/>
        <rFont val="WenQuanYi Zen Hei"/>
        <family val="2"/>
      </rPr>
      <t xml:space="preserve">位・</t>
    </r>
    <r>
      <rPr>
        <sz val="10"/>
        <rFont val="Meiryo UI"/>
        <family val="0"/>
        <charset val="1"/>
      </rPr>
      <t xml:space="preserve">CTR13.5%</t>
    </r>
    <r>
      <rPr>
        <sz val="10"/>
        <rFont val="WenQuanYi Zen Hei"/>
        <family val="2"/>
      </rPr>
      <t xml:space="preserve">） </t>
    </r>
    <r>
      <rPr>
        <sz val="10"/>
        <rFont val="Meiryo UI"/>
        <family val="0"/>
        <charset val="1"/>
      </rPr>
      <t xml:space="preserve">/ </t>
    </r>
    <r>
      <rPr>
        <sz val="10"/>
        <rFont val="WenQuanYi Zen Hei"/>
        <family val="2"/>
      </rPr>
      <t xml:space="preserve">オープンワーク 形 ホワイト（</t>
    </r>
    <r>
      <rPr>
        <sz val="10"/>
        <rFont val="Meiryo UI"/>
        <family val="0"/>
        <charset val="1"/>
      </rPr>
      <t xml:space="preserve">104</t>
    </r>
    <r>
      <rPr>
        <sz val="10"/>
        <rFont val="WenQuanYi Zen Hei"/>
        <family val="2"/>
      </rPr>
      <t xml:space="preserve">表示・</t>
    </r>
    <r>
      <rPr>
        <sz val="10"/>
        <rFont val="Meiryo UI"/>
        <family val="0"/>
        <charset val="1"/>
      </rPr>
      <t xml:space="preserve">2.1</t>
    </r>
    <r>
      <rPr>
        <sz val="10"/>
        <rFont val="WenQuanYi Zen Hei"/>
        <family val="2"/>
      </rPr>
      <t xml:space="preserve">位・</t>
    </r>
    <r>
      <rPr>
        <sz val="10"/>
        <rFont val="Meiryo UI"/>
        <family val="0"/>
        <charset val="1"/>
      </rPr>
      <t xml:space="preserve">CTR25.0%</t>
    </r>
    <r>
      <rPr>
        <sz val="10"/>
        <rFont val="WenQuanYi Zen Hei"/>
        <family val="2"/>
      </rPr>
      <t xml:space="preserve">） </t>
    </r>
    <r>
      <rPr>
        <sz val="10"/>
        <rFont val="Meiryo UI"/>
        <family val="0"/>
        <charset val="1"/>
      </rPr>
      <t xml:space="preserve">/ </t>
    </r>
    <r>
      <rPr>
        <sz val="10"/>
        <rFont val="WenQuanYi Zen Hei"/>
        <family val="2"/>
      </rPr>
      <t xml:space="preserve">オープンワーク グラフ 見分け方（</t>
    </r>
    <r>
      <rPr>
        <sz val="10"/>
        <rFont val="Meiryo UI"/>
        <family val="0"/>
        <charset val="1"/>
      </rPr>
      <t xml:space="preserve">81</t>
    </r>
    <r>
      <rPr>
        <sz val="10"/>
        <rFont val="WenQuanYi Zen Hei"/>
        <family val="2"/>
      </rPr>
      <t xml:space="preserve">表示・</t>
    </r>
    <r>
      <rPr>
        <sz val="10"/>
        <rFont val="Meiryo UI"/>
        <family val="0"/>
        <charset val="1"/>
      </rPr>
      <t xml:space="preserve">1.1</t>
    </r>
    <r>
      <rPr>
        <sz val="10"/>
        <rFont val="WenQuanYi Zen Hei"/>
        <family val="2"/>
      </rPr>
      <t xml:space="preserve">位・</t>
    </r>
    <r>
      <rPr>
        <sz val="10"/>
        <rFont val="Meiryo UI"/>
        <family val="0"/>
        <charset val="1"/>
      </rPr>
      <t xml:space="preserve">CTR53.1%</t>
    </r>
    <r>
      <rPr>
        <sz val="10"/>
        <rFont val="WenQuanYi Zen Hei"/>
        <family val="2"/>
      </rPr>
      <t xml:space="preserve">）</t>
    </r>
  </si>
  <si>
    <r>
      <rPr>
        <sz val="10"/>
        <rFont val="Meiryo UI"/>
        <family val="0"/>
        <charset val="1"/>
      </rPr>
      <t xml:space="preserve">7.4</t>
    </r>
    <r>
      <rPr>
        <sz val="10"/>
        <rFont val="WenQuanYi Zen Hei"/>
        <family val="2"/>
      </rPr>
      <t xml:space="preserve">位・</t>
    </r>
    <r>
      <rPr>
        <sz val="10"/>
        <rFont val="Meiryo UI"/>
        <family val="0"/>
        <charset val="1"/>
      </rPr>
      <t xml:space="preserve">CTR4.7%</t>
    </r>
    <r>
      <rPr>
        <sz val="10"/>
        <rFont val="WenQuanYi Zen Hei"/>
        <family val="2"/>
      </rPr>
      <t xml:space="preserve">。主要クエリ「オープンワーク ホワイト企業 見分け方」</t>
    </r>
    <r>
      <rPr>
        <sz val="10"/>
        <rFont val="Meiryo UI"/>
        <family val="0"/>
        <charset val="1"/>
      </rPr>
      <t xml:space="preserve">446</t>
    </r>
    <r>
      <rPr>
        <sz val="10"/>
        <rFont val="WenQuanYi Zen Hei"/>
        <family val="2"/>
      </rPr>
      <t xml:space="preserve">表示は</t>
    </r>
    <r>
      <rPr>
        <sz val="10"/>
        <rFont val="Meiryo UI"/>
        <family val="0"/>
        <charset val="1"/>
      </rPr>
      <t xml:space="preserve">2.5</t>
    </r>
    <r>
      <rPr>
        <sz val="10"/>
        <rFont val="WenQuanYi Zen Hei"/>
        <family val="2"/>
      </rPr>
      <t xml:space="preserve">位で健全。</t>
    </r>
  </si>
  <si>
    <r>
      <rPr>
        <sz val="10"/>
        <rFont val="WenQuanYi Zen Hei"/>
        <family val="2"/>
      </rPr>
      <t xml:space="preserve">【</t>
    </r>
    <r>
      <rPr>
        <sz val="10"/>
        <rFont val="Meiryo UI"/>
        <family val="0"/>
        <charset val="1"/>
      </rPr>
      <t xml:space="preserve">OpenWork</t>
    </r>
    <r>
      <rPr>
        <sz val="10"/>
        <rFont val="WenQuanYi Zen Hei"/>
        <family val="2"/>
      </rPr>
      <t xml:space="preserve">】競合相手：</t>
    </r>
    <r>
      <rPr>
        <sz val="10"/>
        <rFont val="Meiryo UI"/>
        <family val="0"/>
        <charset val="1"/>
      </rPr>
      <t xml:space="preserve">/openwork-tsukaikata/</t>
    </r>
    <r>
      <rPr>
        <sz val="10"/>
        <rFont val="WenQuanYi Zen Hei"/>
        <family val="2"/>
      </rPr>
      <t xml:space="preserve">、</t>
    </r>
    <r>
      <rPr>
        <sz val="10"/>
        <rFont val="Meiryo UI"/>
        <family val="0"/>
        <charset val="1"/>
      </rPr>
      <t xml:space="preserve">/openwork-graph-mikata/</t>
    </r>
    <r>
      <rPr>
        <sz val="10"/>
        <rFont val="WenQuanYi Zen Hei"/>
        <family val="2"/>
      </rPr>
      <t xml:space="preserve">、</t>
    </r>
    <r>
      <rPr>
        <sz val="10"/>
        <rFont val="Meiryo UI"/>
        <family val="0"/>
        <charset val="1"/>
      </rPr>
      <t xml:space="preserve">/openwork-toroku-bareru/</t>
    </r>
    <r>
      <rPr>
        <sz val="10"/>
        <rFont val="WenQuanYi Zen Hei"/>
        <family val="2"/>
      </rPr>
      <t xml:space="preserve">、</t>
    </r>
    <r>
      <rPr>
        <sz val="10"/>
        <rFont val="Meiryo UI"/>
        <family val="0"/>
        <charset val="1"/>
      </rPr>
      <t xml:space="preserve">/openwork-hikaku-kinou/</t>
    </r>
  </si>
  <si>
    <r>
      <rPr>
        <sz val="10"/>
        <rFont val="Meiryo UI"/>
        <family val="0"/>
        <charset val="1"/>
      </rPr>
      <t xml:space="preserve">graph-mikata</t>
    </r>
    <r>
      <rPr>
        <sz val="10"/>
        <rFont val="WenQuanYi Zen Hei"/>
        <family val="2"/>
      </rPr>
      <t xml:space="preserve">との役割分担を維持（グラフの形の解説は</t>
    </r>
    <r>
      <rPr>
        <sz val="10"/>
        <rFont val="Meiryo UI"/>
        <family val="0"/>
        <charset val="1"/>
      </rPr>
      <t xml:space="preserve">graph</t>
    </r>
    <r>
      <rPr>
        <sz val="10"/>
        <rFont val="WenQuanYi Zen Hei"/>
        <family val="2"/>
      </rPr>
      <t xml:space="preserve">側へリンク）。「オープンワーク ホワイト企業」（</t>
    </r>
    <r>
      <rPr>
        <sz val="10"/>
        <rFont val="Meiryo UI"/>
        <family val="0"/>
        <charset val="1"/>
      </rPr>
      <t xml:space="preserve">78</t>
    </r>
    <r>
      <rPr>
        <sz val="10"/>
        <rFont val="WenQuanYi Zen Hei"/>
        <family val="2"/>
      </rPr>
      <t xml:space="preserve">表示</t>
    </r>
    <r>
      <rPr>
        <sz val="10"/>
        <rFont val="Meiryo UI"/>
        <family val="0"/>
        <charset val="1"/>
      </rPr>
      <t xml:space="preserve">4.8</t>
    </r>
    <r>
      <rPr>
        <sz val="10"/>
        <rFont val="WenQuanYi Zen Hei"/>
        <family val="2"/>
      </rPr>
      <t xml:space="preserve">位）を狙う。</t>
    </r>
  </si>
  <si>
    <r>
      <rPr>
        <sz val="10"/>
        <rFont val="WenQuanYi Zen Hei"/>
        <family val="2"/>
      </rPr>
      <t xml:space="preserve">現行維持（検索結果で確認：「【人事が教える】</t>
    </r>
    <r>
      <rPr>
        <sz val="10"/>
        <rFont val="Meiryo UI"/>
        <family val="0"/>
        <charset val="1"/>
      </rPr>
      <t xml:space="preserve">OpenWork</t>
    </r>
    <r>
      <rPr>
        <sz val="10"/>
        <rFont val="WenQuanYi Zen Hei"/>
        <family val="2"/>
      </rPr>
      <t xml:space="preserve">でホワイト企業を見つける方法｜レーダーチャートの形で見分けるコツ」）。</t>
    </r>
  </si>
  <si>
    <t xml:space="preserve">ホワイト企業のチェックリストの後：「候補が絞れたら転職会議で退職理由も確認」→転職会議</t>
  </si>
  <si>
    <t xml:space="preserve">/database-specialist-haishi/</t>
  </si>
  <si>
    <t xml:space="preserve">高度試験廃止</t>
  </si>
  <si>
    <r>
      <rPr>
        <sz val="10"/>
        <rFont val="WenQuanYi Zen Hei"/>
        <family val="2"/>
      </rPr>
      <t xml:space="preserve">データベーススペシャリスト 廃止（</t>
    </r>
    <r>
      <rPr>
        <sz val="10"/>
        <rFont val="Meiryo UI"/>
        <family val="0"/>
        <charset val="1"/>
      </rPr>
      <t xml:space="preserve">778</t>
    </r>
    <r>
      <rPr>
        <sz val="10"/>
        <rFont val="WenQuanYi Zen Hei"/>
        <family val="2"/>
      </rPr>
      <t xml:space="preserve">表示・</t>
    </r>
    <r>
      <rPr>
        <sz val="10"/>
        <rFont val="Meiryo UI"/>
        <family val="0"/>
        <charset val="1"/>
      </rPr>
      <t xml:space="preserve">1.4</t>
    </r>
    <r>
      <rPr>
        <sz val="10"/>
        <rFont val="WenQuanYi Zen Hei"/>
        <family val="2"/>
      </rPr>
      <t xml:space="preserve">位・</t>
    </r>
    <r>
      <rPr>
        <sz val="10"/>
        <rFont val="Meiryo UI"/>
        <family val="0"/>
        <charset val="1"/>
      </rPr>
      <t xml:space="preserve">CTR35.2%</t>
    </r>
    <r>
      <rPr>
        <sz val="10"/>
        <rFont val="WenQuanYi Zen Hei"/>
        <family val="2"/>
      </rPr>
      <t xml:space="preserve">） </t>
    </r>
    <r>
      <rPr>
        <sz val="10"/>
        <rFont val="Meiryo UI"/>
        <family val="0"/>
        <charset val="1"/>
      </rPr>
      <t xml:space="preserve">/ </t>
    </r>
    <r>
      <rPr>
        <sz val="10"/>
        <rFont val="WenQuanYi Zen Hei"/>
        <family val="2"/>
      </rPr>
      <t xml:space="preserve">データベーススペシャリスト なくなる（</t>
    </r>
    <r>
      <rPr>
        <sz val="10"/>
        <rFont val="Meiryo UI"/>
        <family val="0"/>
        <charset val="1"/>
      </rPr>
      <t xml:space="preserve">177</t>
    </r>
    <r>
      <rPr>
        <sz val="10"/>
        <rFont val="WenQuanYi Zen Hei"/>
        <family val="2"/>
      </rPr>
      <t xml:space="preserve">表示・</t>
    </r>
    <r>
      <rPr>
        <sz val="10"/>
        <rFont val="Meiryo UI"/>
        <family val="0"/>
        <charset val="1"/>
      </rPr>
      <t xml:space="preserve">1.4</t>
    </r>
    <r>
      <rPr>
        <sz val="10"/>
        <rFont val="WenQuanYi Zen Hei"/>
        <family val="2"/>
      </rPr>
      <t xml:space="preserve">位・</t>
    </r>
    <r>
      <rPr>
        <sz val="10"/>
        <rFont val="Meiryo UI"/>
        <family val="0"/>
        <charset val="1"/>
      </rPr>
      <t xml:space="preserve">CTR38.4%</t>
    </r>
    <r>
      <rPr>
        <sz val="10"/>
        <rFont val="WenQuanYi Zen Hei"/>
        <family val="2"/>
      </rPr>
      <t xml:space="preserve">） </t>
    </r>
    <r>
      <rPr>
        <sz val="10"/>
        <rFont val="Meiryo UI"/>
        <family val="0"/>
        <charset val="1"/>
      </rPr>
      <t xml:space="preserve">/ </t>
    </r>
    <r>
      <rPr>
        <sz val="10"/>
        <rFont val="WenQuanYi Zen Hei"/>
        <family val="2"/>
      </rPr>
      <t xml:space="preserve">データベーススペシャリスト試験 なくなる（</t>
    </r>
    <r>
      <rPr>
        <sz val="10"/>
        <rFont val="Meiryo UI"/>
        <family val="0"/>
        <charset val="1"/>
      </rPr>
      <t xml:space="preserve">89</t>
    </r>
    <r>
      <rPr>
        <sz val="10"/>
        <rFont val="WenQuanYi Zen Hei"/>
        <family val="2"/>
      </rPr>
      <t xml:space="preserve">表示・</t>
    </r>
    <r>
      <rPr>
        <sz val="10"/>
        <rFont val="Meiryo UI"/>
        <family val="0"/>
        <charset val="1"/>
      </rPr>
      <t xml:space="preserve">1.1</t>
    </r>
    <r>
      <rPr>
        <sz val="10"/>
        <rFont val="WenQuanYi Zen Hei"/>
        <family val="2"/>
      </rPr>
      <t xml:space="preserve">位・</t>
    </r>
    <r>
      <rPr>
        <sz val="10"/>
        <rFont val="Meiryo UI"/>
        <family val="0"/>
        <charset val="1"/>
      </rPr>
      <t xml:space="preserve">CTR24.7%</t>
    </r>
    <r>
      <rPr>
        <sz val="10"/>
        <rFont val="WenQuanYi Zen Hei"/>
        <family val="2"/>
      </rPr>
      <t xml:space="preserve">）</t>
    </r>
  </si>
  <si>
    <r>
      <rPr>
        <sz val="10"/>
        <rFont val="Meiryo UI"/>
        <family val="0"/>
        <charset val="1"/>
      </rPr>
      <t xml:space="preserve">CTR16%</t>
    </r>
    <r>
      <rPr>
        <sz val="10"/>
        <rFont val="WenQuanYi Zen Hei"/>
        <family val="2"/>
      </rPr>
      <t xml:space="preserve">・主要クエリ</t>
    </r>
    <r>
      <rPr>
        <sz val="10"/>
        <rFont val="Meiryo UI"/>
        <family val="0"/>
        <charset val="1"/>
      </rPr>
      <t xml:space="preserve">1.4</t>
    </r>
    <r>
      <rPr>
        <sz val="10"/>
        <rFont val="WenQuanYi Zen Hei"/>
        <family val="2"/>
      </rPr>
      <t xml:space="preserve">位で好調。</t>
    </r>
    <r>
      <rPr>
        <sz val="10"/>
        <rFont val="Meiryo UI"/>
        <family val="0"/>
        <charset val="1"/>
      </rPr>
      <t xml:space="preserve">28</t>
    </r>
    <r>
      <rPr>
        <sz val="10"/>
        <rFont val="WenQuanYi Zen Hei"/>
        <family val="2"/>
      </rPr>
      <t xml:space="preserve">日の平均順位</t>
    </r>
    <r>
      <rPr>
        <sz val="10"/>
        <rFont val="Meiryo UI"/>
        <family val="0"/>
        <charset val="1"/>
      </rPr>
      <t xml:space="preserve">9.8</t>
    </r>
    <r>
      <rPr>
        <sz val="10"/>
        <rFont val="WenQuanYi Zen Hei"/>
        <family val="2"/>
      </rPr>
      <t xml:space="preserve">位は、「データベーススペシャリスト 転職」（</t>
    </r>
    <r>
      <rPr>
        <sz val="10"/>
        <rFont val="Meiryo UI"/>
        <family val="0"/>
        <charset val="1"/>
      </rPr>
      <t xml:space="preserve">45</t>
    </r>
    <r>
      <rPr>
        <sz val="10"/>
        <rFont val="WenQuanYi Zen Hei"/>
        <family val="2"/>
      </rPr>
      <t xml:space="preserve">表示</t>
    </r>
    <r>
      <rPr>
        <sz val="10"/>
        <rFont val="Meiryo UI"/>
        <family val="0"/>
        <charset val="1"/>
      </rPr>
      <t xml:space="preserve">36.6</t>
    </r>
    <r>
      <rPr>
        <sz val="10"/>
        <rFont val="WenQuanYi Zen Hei"/>
        <family val="2"/>
      </rPr>
      <t xml:space="preserve">位）など低順位クエリで平均が下がっているだけ。</t>
    </r>
  </si>
  <si>
    <t xml:space="preserve">【高度試験廃止】意図は分かれている</t>
  </si>
  <si>
    <r>
      <rPr>
        <sz val="10"/>
        <rFont val="WenQuanYi Zen Hei"/>
        <family val="2"/>
      </rPr>
      <t xml:space="preserve">本文は維持。「</t>
    </r>
    <r>
      <rPr>
        <sz val="10"/>
        <rFont val="Meiryo UI"/>
        <family val="0"/>
        <charset val="1"/>
      </rPr>
      <t xml:space="preserve">DB</t>
    </r>
    <r>
      <rPr>
        <sz val="10"/>
        <rFont val="WenQuanYi Zen Hei"/>
        <family val="2"/>
      </rPr>
      <t xml:space="preserve">スペシャリストは転職でどう評価される？」の見出しを強化して転職系クエリを取りにいく。</t>
    </r>
  </si>
  <si>
    <r>
      <rPr>
        <sz val="10"/>
        <rFont val="WenQuanYi Zen Hei"/>
        <family val="2"/>
      </rPr>
      <t xml:space="preserve">現行維持（</t>
    </r>
    <r>
      <rPr>
        <sz val="10"/>
        <rFont val="Meiryo UI"/>
        <family val="0"/>
        <charset val="1"/>
      </rPr>
      <t xml:space="preserve">CTR16%</t>
    </r>
    <r>
      <rPr>
        <sz val="10"/>
        <rFont val="WenQuanYi Zen Hei"/>
        <family val="2"/>
      </rPr>
      <t xml:space="preserve">）。</t>
    </r>
  </si>
  <si>
    <r>
      <rPr>
        <sz val="10"/>
        <rFont val="WenQuanYi Zen Hei"/>
        <family val="2"/>
      </rPr>
      <t xml:space="preserve">「転職での評価」の見出しの直後→レバテックダイレクト（</t>
    </r>
    <r>
      <rPr>
        <sz val="10"/>
        <rFont val="Meiryo UI"/>
        <family val="0"/>
        <charset val="1"/>
      </rPr>
      <t xml:space="preserve">DB</t>
    </r>
    <r>
      <rPr>
        <sz val="10"/>
        <rFont val="WenQuanYi Zen Hei"/>
        <family val="2"/>
      </rPr>
      <t xml:space="preserve">・データ基盤職のスカウト）</t>
    </r>
  </si>
  <si>
    <t xml:space="preserve">/it-strategist-haishi/</t>
  </si>
  <si>
    <r>
      <rPr>
        <sz val="10"/>
        <rFont val="Meiryo UI"/>
        <family val="0"/>
        <charset val="1"/>
      </rPr>
      <t xml:space="preserve">it</t>
    </r>
    <r>
      <rPr>
        <sz val="10"/>
        <rFont val="WenQuanYi Zen Hei"/>
        <family val="2"/>
      </rPr>
      <t xml:space="preserve">ストラテジスト なくなる（</t>
    </r>
    <r>
      <rPr>
        <sz val="10"/>
        <rFont val="Meiryo UI"/>
        <family val="0"/>
        <charset val="1"/>
      </rPr>
      <t xml:space="preserve">443</t>
    </r>
    <r>
      <rPr>
        <sz val="10"/>
        <rFont val="WenQuanYi Zen Hei"/>
        <family val="2"/>
      </rPr>
      <t xml:space="preserve">表示・</t>
    </r>
    <r>
      <rPr>
        <sz val="10"/>
        <rFont val="Meiryo UI"/>
        <family val="0"/>
        <charset val="1"/>
      </rPr>
      <t xml:space="preserve">1.3</t>
    </r>
    <r>
      <rPr>
        <sz val="10"/>
        <rFont val="WenQuanYi Zen Hei"/>
        <family val="2"/>
      </rPr>
      <t xml:space="preserve">位・</t>
    </r>
    <r>
      <rPr>
        <sz val="10"/>
        <rFont val="Meiryo UI"/>
        <family val="0"/>
        <charset val="1"/>
      </rPr>
      <t xml:space="preserve">CTR36.1%</t>
    </r>
    <r>
      <rPr>
        <sz val="10"/>
        <rFont val="WenQuanYi Zen Hei"/>
        <family val="2"/>
      </rPr>
      <t xml:space="preserve">） </t>
    </r>
    <r>
      <rPr>
        <sz val="10"/>
        <rFont val="Meiryo UI"/>
        <family val="0"/>
        <charset val="1"/>
      </rPr>
      <t xml:space="preserve">/ it</t>
    </r>
    <r>
      <rPr>
        <sz val="10"/>
        <rFont val="WenQuanYi Zen Hei"/>
        <family val="2"/>
      </rPr>
      <t xml:space="preserve">ストラテジスト試験 なくなる（</t>
    </r>
    <r>
      <rPr>
        <sz val="10"/>
        <rFont val="Meiryo UI"/>
        <family val="0"/>
        <charset val="1"/>
      </rPr>
      <t xml:space="preserve">354</t>
    </r>
    <r>
      <rPr>
        <sz val="10"/>
        <rFont val="WenQuanYi Zen Hei"/>
        <family val="2"/>
      </rPr>
      <t xml:space="preserve">表示・</t>
    </r>
    <r>
      <rPr>
        <sz val="10"/>
        <rFont val="Meiryo UI"/>
        <family val="0"/>
        <charset val="1"/>
      </rPr>
      <t xml:space="preserve">1.3</t>
    </r>
    <r>
      <rPr>
        <sz val="10"/>
        <rFont val="WenQuanYi Zen Hei"/>
        <family val="2"/>
      </rPr>
      <t xml:space="preserve">位・</t>
    </r>
    <r>
      <rPr>
        <sz val="10"/>
        <rFont val="Meiryo UI"/>
        <family val="0"/>
        <charset val="1"/>
      </rPr>
      <t xml:space="preserve">CTR31.6%</t>
    </r>
    <r>
      <rPr>
        <sz val="10"/>
        <rFont val="WenQuanYi Zen Hei"/>
        <family val="2"/>
      </rPr>
      <t xml:space="preserve">） </t>
    </r>
    <r>
      <rPr>
        <sz val="10"/>
        <rFont val="Meiryo UI"/>
        <family val="0"/>
        <charset val="1"/>
      </rPr>
      <t xml:space="preserve">/ it</t>
    </r>
    <r>
      <rPr>
        <sz val="10"/>
        <rFont val="WenQuanYi Zen Hei"/>
        <family val="2"/>
      </rPr>
      <t xml:space="preserve">ストラテジスト 廃止（</t>
    </r>
    <r>
      <rPr>
        <sz val="10"/>
        <rFont val="Meiryo UI"/>
        <family val="0"/>
        <charset val="1"/>
      </rPr>
      <t xml:space="preserve">64</t>
    </r>
    <r>
      <rPr>
        <sz val="10"/>
        <rFont val="WenQuanYi Zen Hei"/>
        <family val="2"/>
      </rPr>
      <t xml:space="preserve">表示・</t>
    </r>
    <r>
      <rPr>
        <sz val="10"/>
        <rFont val="Meiryo UI"/>
        <family val="0"/>
        <charset val="1"/>
      </rPr>
      <t xml:space="preserve">1.3</t>
    </r>
    <r>
      <rPr>
        <sz val="10"/>
        <rFont val="WenQuanYi Zen Hei"/>
        <family val="2"/>
      </rPr>
      <t xml:space="preserve">位・</t>
    </r>
    <r>
      <rPr>
        <sz val="10"/>
        <rFont val="Meiryo UI"/>
        <family val="0"/>
        <charset val="1"/>
      </rPr>
      <t xml:space="preserve">CTR31.2%</t>
    </r>
    <r>
      <rPr>
        <sz val="10"/>
        <rFont val="WenQuanYi Zen Hei"/>
        <family val="2"/>
      </rPr>
      <t xml:space="preserve">）</t>
    </r>
  </si>
  <si>
    <r>
      <rPr>
        <sz val="10"/>
        <rFont val="Meiryo UI"/>
        <family val="0"/>
        <charset val="1"/>
      </rPr>
      <t xml:space="preserve">CTR19%</t>
    </r>
    <r>
      <rPr>
        <sz val="10"/>
        <rFont val="WenQuanYi Zen Hei"/>
        <family val="2"/>
      </rPr>
      <t xml:space="preserve">・主要クエリ</t>
    </r>
    <r>
      <rPr>
        <sz val="10"/>
        <rFont val="Meiryo UI"/>
        <family val="0"/>
        <charset val="1"/>
      </rPr>
      <t xml:space="preserve">1.3</t>
    </r>
    <r>
      <rPr>
        <sz val="10"/>
        <rFont val="WenQuanYi Zen Hei"/>
        <family val="2"/>
      </rPr>
      <t xml:space="preserve">位でサイト屈指の好調記事。日次クリックは</t>
    </r>
    <r>
      <rPr>
        <sz val="10"/>
        <rFont val="Meiryo UI"/>
        <family val="0"/>
        <charset val="1"/>
      </rPr>
      <t xml:space="preserve">6.0→5.7</t>
    </r>
    <r>
      <rPr>
        <sz val="10"/>
        <rFont val="WenQuanYi Zen Hei"/>
        <family val="2"/>
      </rPr>
      <t xml:space="preserve">で横ばい。</t>
    </r>
  </si>
  <si>
    <r>
      <rPr>
        <sz val="10"/>
        <rFont val="WenQuanYi Zen Hei"/>
        <family val="2"/>
      </rPr>
      <t xml:space="preserve">「</t>
    </r>
    <r>
      <rPr>
        <sz val="10"/>
        <rFont val="Meiryo UI"/>
        <family val="0"/>
        <charset val="1"/>
      </rPr>
      <t xml:space="preserve">IT</t>
    </r>
    <r>
      <rPr>
        <sz val="10"/>
        <rFont val="WenQuanYi Zen Hei"/>
        <family val="2"/>
      </rPr>
      <t xml:space="preserve">ストラテジストは役に立たない？」（</t>
    </r>
    <r>
      <rPr>
        <sz val="10"/>
        <rFont val="Meiryo UI"/>
        <family val="0"/>
        <charset val="1"/>
      </rPr>
      <t xml:space="preserve">33</t>
    </r>
    <r>
      <rPr>
        <sz val="10"/>
        <rFont val="WenQuanYi Zen Hei"/>
        <family val="2"/>
      </rPr>
      <t xml:space="preserve">表示</t>
    </r>
    <r>
      <rPr>
        <sz val="10"/>
        <rFont val="Meiryo UI"/>
        <family val="0"/>
        <charset val="1"/>
      </rPr>
      <t xml:space="preserve">10.0</t>
    </r>
    <r>
      <rPr>
        <sz val="10"/>
        <rFont val="WenQuanYi Zen Hei"/>
        <family val="2"/>
      </rPr>
      <t xml:space="preserve">位）「</t>
    </r>
    <r>
      <rPr>
        <sz val="10"/>
        <rFont val="Meiryo UI"/>
        <family val="0"/>
        <charset val="1"/>
      </rPr>
      <t xml:space="preserve">2027</t>
    </r>
    <r>
      <rPr>
        <sz val="10"/>
        <rFont val="WenQuanYi Zen Hei"/>
        <family val="2"/>
      </rPr>
      <t xml:space="preserve">」の見出しを追加。</t>
    </r>
  </si>
  <si>
    <t xml:space="preserve">現行維持。</t>
  </si>
  <si>
    <r>
      <rPr>
        <sz val="10"/>
        <rFont val="WenQuanYi Zen Hei"/>
        <family val="2"/>
      </rPr>
      <t xml:space="preserve">「資格の評価」：上流・企画職への転職→</t>
    </r>
    <r>
      <rPr>
        <sz val="10"/>
        <rFont val="Meiryo UI"/>
        <family val="0"/>
        <charset val="1"/>
      </rPr>
      <t xml:space="preserve">JAC Recruitment</t>
    </r>
    <r>
      <rPr>
        <sz val="10"/>
        <rFont val="WenQuanYi Zen Hei"/>
        <family val="2"/>
      </rPr>
      <t xml:space="preserve">（年収条件は要確認）</t>
    </r>
  </si>
  <si>
    <t xml:space="preserve">/aws-sap-difficulty-salary/</t>
  </si>
  <si>
    <r>
      <rPr>
        <sz val="10"/>
        <rFont val="Meiryo UI"/>
        <family val="0"/>
        <charset val="1"/>
      </rPr>
      <t xml:space="preserve">AWS</t>
    </r>
    <r>
      <rPr>
        <sz val="10"/>
        <rFont val="WenQuanYi Zen Hei"/>
        <family val="2"/>
      </rPr>
      <t xml:space="preserve">資格</t>
    </r>
  </si>
  <si>
    <r>
      <rPr>
        <sz val="10"/>
        <rFont val="Meiryo UI"/>
        <family val="0"/>
        <charset val="1"/>
      </rPr>
      <t xml:space="preserve">aws sap </t>
    </r>
    <r>
      <rPr>
        <sz val="10"/>
        <rFont val="WenQuanYi Zen Hei"/>
        <family val="2"/>
      </rPr>
      <t xml:space="preserve">難易度（</t>
    </r>
    <r>
      <rPr>
        <sz val="10"/>
        <rFont val="Meiryo UI"/>
        <family val="0"/>
        <charset val="1"/>
      </rPr>
      <t xml:space="preserve">1,173</t>
    </r>
    <r>
      <rPr>
        <sz val="10"/>
        <rFont val="WenQuanYi Zen Hei"/>
        <family val="2"/>
      </rPr>
      <t xml:space="preserve">表示・</t>
    </r>
    <r>
      <rPr>
        <sz val="10"/>
        <rFont val="Meiryo UI"/>
        <family val="0"/>
        <charset val="1"/>
      </rPr>
      <t xml:space="preserve">6.5</t>
    </r>
    <r>
      <rPr>
        <sz val="10"/>
        <rFont val="WenQuanYi Zen Hei"/>
        <family val="2"/>
      </rPr>
      <t xml:space="preserve">位・</t>
    </r>
    <r>
      <rPr>
        <sz val="10"/>
        <rFont val="Meiryo UI"/>
        <family val="0"/>
        <charset val="1"/>
      </rPr>
      <t xml:space="preserve">CTR7.2%</t>
    </r>
    <r>
      <rPr>
        <sz val="10"/>
        <rFont val="WenQuanYi Zen Hei"/>
        <family val="2"/>
      </rPr>
      <t xml:space="preserve">） </t>
    </r>
    <r>
      <rPr>
        <sz val="10"/>
        <rFont val="Meiryo UI"/>
        <family val="0"/>
        <charset val="1"/>
      </rPr>
      <t xml:space="preserve">/ aws sap </t>
    </r>
    <r>
      <rPr>
        <sz val="10"/>
        <rFont val="WenQuanYi Zen Hei"/>
        <family val="2"/>
      </rPr>
      <t xml:space="preserve">年収（</t>
    </r>
    <r>
      <rPr>
        <sz val="10"/>
        <rFont val="Meiryo UI"/>
        <family val="0"/>
        <charset val="1"/>
      </rPr>
      <t xml:space="preserve">499</t>
    </r>
    <r>
      <rPr>
        <sz val="10"/>
        <rFont val="WenQuanYi Zen Hei"/>
        <family val="2"/>
      </rPr>
      <t xml:space="preserve">表示・</t>
    </r>
    <r>
      <rPr>
        <sz val="10"/>
        <rFont val="Meiryo UI"/>
        <family val="0"/>
        <charset val="1"/>
      </rPr>
      <t xml:space="preserve">6.4</t>
    </r>
    <r>
      <rPr>
        <sz val="10"/>
        <rFont val="WenQuanYi Zen Hei"/>
        <family val="2"/>
      </rPr>
      <t xml:space="preserve">位・</t>
    </r>
    <r>
      <rPr>
        <sz val="10"/>
        <rFont val="Meiryo UI"/>
        <family val="0"/>
        <charset val="1"/>
      </rPr>
      <t xml:space="preserve">CTR4.0%</t>
    </r>
    <r>
      <rPr>
        <sz val="10"/>
        <rFont val="WenQuanYi Zen Hei"/>
        <family val="2"/>
      </rPr>
      <t xml:space="preserve">） </t>
    </r>
    <r>
      <rPr>
        <sz val="10"/>
        <rFont val="Meiryo UI"/>
        <family val="0"/>
        <charset val="1"/>
      </rPr>
      <t xml:space="preserve">/ aws sap </t>
    </r>
    <r>
      <rPr>
        <sz val="10"/>
        <rFont val="WenQuanYi Zen Hei"/>
        <family val="2"/>
      </rPr>
      <t xml:space="preserve">合格率（</t>
    </r>
    <r>
      <rPr>
        <sz val="10"/>
        <rFont val="Meiryo UI"/>
        <family val="0"/>
        <charset val="1"/>
      </rPr>
      <t xml:space="preserve">312</t>
    </r>
    <r>
      <rPr>
        <sz val="10"/>
        <rFont val="WenQuanYi Zen Hei"/>
        <family val="2"/>
      </rPr>
      <t xml:space="preserve">表示・</t>
    </r>
    <r>
      <rPr>
        <sz val="10"/>
        <rFont val="Meiryo UI"/>
        <family val="0"/>
        <charset val="1"/>
      </rPr>
      <t xml:space="preserve">6.5</t>
    </r>
    <r>
      <rPr>
        <sz val="10"/>
        <rFont val="WenQuanYi Zen Hei"/>
        <family val="2"/>
      </rPr>
      <t xml:space="preserve">位・</t>
    </r>
    <r>
      <rPr>
        <sz val="10"/>
        <rFont val="Meiryo UI"/>
        <family val="0"/>
        <charset val="1"/>
      </rPr>
      <t xml:space="preserve">CTR3.2%</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</si>
  <si>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5,584</t>
    </r>
    <r>
      <rPr>
        <sz val="10"/>
        <rFont val="WenQuanYi Zen Hei"/>
        <family val="2"/>
      </rPr>
      <t xml:space="preserve">表示、</t>
    </r>
    <r>
      <rPr>
        <sz val="10"/>
        <rFont val="Meiryo UI"/>
        <family val="0"/>
        <charset val="1"/>
      </rPr>
      <t xml:space="preserve">28</t>
    </r>
    <r>
      <rPr>
        <sz val="10"/>
        <rFont val="WenQuanYi Zen Hei"/>
        <family val="2"/>
      </rPr>
      <t xml:space="preserve">日</t>
    </r>
    <r>
      <rPr>
        <sz val="10"/>
        <rFont val="Meiryo UI"/>
        <family val="0"/>
        <charset val="1"/>
      </rPr>
      <t xml:space="preserve">5.7</t>
    </r>
    <r>
      <rPr>
        <sz val="10"/>
        <rFont val="WenQuanYi Zen Hei"/>
        <family val="2"/>
      </rPr>
      <t xml:space="preserve">位。「</t>
    </r>
    <r>
      <rPr>
        <sz val="10"/>
        <rFont val="Meiryo UI"/>
        <family val="0"/>
        <charset val="1"/>
      </rPr>
      <t xml:space="preserve">aws sap </t>
    </r>
    <r>
      <rPr>
        <sz val="10"/>
        <rFont val="WenQuanYi Zen Hei"/>
        <family val="2"/>
      </rPr>
      <t xml:space="preserve">難易度」</t>
    </r>
    <r>
      <rPr>
        <sz val="10"/>
        <rFont val="Meiryo UI"/>
        <family val="0"/>
        <charset val="1"/>
      </rPr>
      <t xml:space="preserve">1,173</t>
    </r>
    <r>
      <rPr>
        <sz val="10"/>
        <rFont val="WenQuanYi Zen Hei"/>
        <family val="2"/>
      </rPr>
      <t xml:space="preserve">表示</t>
    </r>
    <r>
      <rPr>
        <sz val="10"/>
        <rFont val="Meiryo UI"/>
        <family val="0"/>
        <charset val="1"/>
      </rPr>
      <t xml:space="preserve">6.5</t>
    </r>
    <r>
      <rPr>
        <sz val="10"/>
        <rFont val="WenQuanYi Zen Hei"/>
        <family val="2"/>
      </rPr>
      <t xml:space="preserve">位</t>
    </r>
    <r>
      <rPr>
        <sz val="10"/>
        <rFont val="Meiryo UI"/>
        <family val="0"/>
        <charset val="1"/>
      </rPr>
      <t xml:space="preserve">CTR7%</t>
    </r>
    <r>
      <rPr>
        <sz val="10"/>
        <rFont val="WenQuanYi Zen Hei"/>
        <family val="2"/>
      </rPr>
      <t xml:space="preserve">、「年収」</t>
    </r>
    <r>
      <rPr>
        <sz val="10"/>
        <rFont val="Meiryo UI"/>
        <family val="0"/>
        <charset val="1"/>
      </rPr>
      <t xml:space="preserve">499</t>
    </r>
    <r>
      <rPr>
        <sz val="10"/>
        <rFont val="WenQuanYi Zen Hei"/>
        <family val="2"/>
      </rPr>
      <t xml:space="preserve">表示</t>
    </r>
    <r>
      <rPr>
        <sz val="10"/>
        <rFont val="Meiryo UI"/>
        <family val="0"/>
        <charset val="1"/>
      </rPr>
      <t xml:space="preserve">6.4</t>
    </r>
    <r>
      <rPr>
        <sz val="10"/>
        <rFont val="WenQuanYi Zen Hei"/>
        <family val="2"/>
      </rPr>
      <t xml:space="preserve">位</t>
    </r>
    <r>
      <rPr>
        <sz val="10"/>
        <rFont val="Meiryo UI"/>
        <family val="0"/>
        <charset val="1"/>
      </rPr>
      <t xml:space="preserve">CTR4%</t>
    </r>
    <r>
      <rPr>
        <sz val="10"/>
        <rFont val="WenQuanYi Zen Hei"/>
        <family val="2"/>
      </rPr>
      <t xml:space="preserve">、「合格率」</t>
    </r>
    <r>
      <rPr>
        <sz val="10"/>
        <rFont val="Meiryo UI"/>
        <family val="0"/>
        <charset val="1"/>
      </rPr>
      <t xml:space="preserve">312</t>
    </r>
    <r>
      <rPr>
        <sz val="10"/>
        <rFont val="WenQuanYi Zen Hei"/>
        <family val="2"/>
      </rPr>
      <t xml:space="preserve">表示</t>
    </r>
    <r>
      <rPr>
        <sz val="10"/>
        <rFont val="Meiryo UI"/>
        <family val="0"/>
        <charset val="1"/>
      </rPr>
      <t xml:space="preserve">6.5</t>
    </r>
    <r>
      <rPr>
        <sz val="10"/>
        <rFont val="WenQuanYi Zen Hei"/>
        <family val="2"/>
      </rPr>
      <t xml:space="preserve">位</t>
    </r>
    <r>
      <rPr>
        <sz val="10"/>
        <rFont val="Meiryo UI"/>
        <family val="0"/>
        <charset val="1"/>
      </rPr>
      <t xml:space="preserve">CTR3%</t>
    </r>
    <r>
      <rPr>
        <sz val="10"/>
        <rFont val="WenQuanYi Zen Hei"/>
        <family val="2"/>
      </rPr>
      <t xml:space="preserve">。読者は年収の高いクラウドエンジニアで、収益化の見込みがある。</t>
    </r>
  </si>
  <si>
    <r>
      <rPr>
        <sz val="10"/>
        <rFont val="WenQuanYi Zen Hei"/>
        <family val="2"/>
      </rPr>
      <t xml:space="preserve">【</t>
    </r>
    <r>
      <rPr>
        <sz val="10"/>
        <rFont val="Meiryo UI"/>
        <family val="0"/>
        <charset val="1"/>
      </rPr>
      <t xml:space="preserve">AWS</t>
    </r>
    <r>
      <rPr>
        <sz val="10"/>
        <rFont val="WenQuanYi Zen Hei"/>
        <family val="2"/>
      </rPr>
      <t xml:space="preserve">資格】競合相手：</t>
    </r>
    <r>
      <rPr>
        <sz val="10"/>
        <rFont val="Meiryo UI"/>
        <family val="0"/>
        <charset val="1"/>
      </rPr>
      <t xml:space="preserve">/aws-saa-difficulty/</t>
    </r>
    <r>
      <rPr>
        <sz val="10"/>
        <rFont val="WenQuanYi Zen Hei"/>
        <family val="2"/>
      </rPr>
      <t xml:space="preserve">、</t>
    </r>
    <r>
      <rPr>
        <sz val="10"/>
        <rFont val="Meiryo UI"/>
        <family val="0"/>
        <charset val="1"/>
      </rPr>
      <t xml:space="preserve">/aws-cloud-practitioner-difficulty/</t>
    </r>
  </si>
  <si>
    <t xml:space="preserve">年収の見出しを強化（保有者の年収レンジと求人例）。合格率の見出しを追加。</t>
  </si>
  <si>
    <r>
      <rPr>
        <sz val="10"/>
        <rFont val="WenQuanYi Zen Hei"/>
        <family val="2"/>
      </rPr>
      <t xml:space="preserve">【案】</t>
    </r>
    <r>
      <rPr>
        <sz val="10"/>
        <rFont val="Meiryo UI"/>
        <family val="0"/>
        <charset val="1"/>
      </rPr>
      <t xml:space="preserve">AWS SAP</t>
    </r>
    <r>
      <rPr>
        <sz val="10"/>
        <rFont val="WenQuanYi Zen Hei"/>
        <family val="2"/>
      </rPr>
      <t xml:space="preserve">の難易度・合格率・年収｜現役</t>
    </r>
    <r>
      <rPr>
        <sz val="10"/>
        <rFont val="Meiryo UI"/>
        <family val="0"/>
        <charset val="1"/>
      </rPr>
      <t xml:space="preserve">IT</t>
    </r>
    <r>
      <rPr>
        <sz val="10"/>
        <rFont val="WenQuanYi Zen Hei"/>
        <family val="2"/>
      </rPr>
      <t xml:space="preserve">人事が見る転職市場での評価</t>
    </r>
  </si>
  <si>
    <r>
      <rPr>
        <sz val="10"/>
        <rFont val="WenQuanYi Zen Hei"/>
        <family val="2"/>
      </rPr>
      <t xml:space="preserve">年収の見出しの直後：「</t>
    </r>
    <r>
      <rPr>
        <sz val="10"/>
        <rFont val="Meiryo UI"/>
        <family val="0"/>
        <charset val="1"/>
      </rPr>
      <t xml:space="preserve">SAP</t>
    </r>
    <r>
      <rPr>
        <sz val="10"/>
        <rFont val="WenQuanYi Zen Hei"/>
        <family val="2"/>
      </rPr>
      <t xml:space="preserve">保有者は実際の年収レンジをスカウトで確かめられる」→レバテックダイレクト</t>
    </r>
  </si>
  <si>
    <t xml:space="preserve">/company-name-change-risk/</t>
  </si>
  <si>
    <t xml:space="preserve">キャリア・働き方</t>
  </si>
  <si>
    <t xml:space="preserve">社名変更</t>
  </si>
  <si>
    <r>
      <rPr>
        <sz val="10"/>
        <rFont val="WenQuanYi Zen Hei"/>
        <family val="2"/>
      </rPr>
      <t xml:space="preserve">社名変更 やばい（</t>
    </r>
    <r>
      <rPr>
        <sz val="10"/>
        <rFont val="Meiryo UI"/>
        <family val="0"/>
        <charset val="1"/>
      </rPr>
      <t xml:space="preserve">459</t>
    </r>
    <r>
      <rPr>
        <sz val="10"/>
        <rFont val="WenQuanYi Zen Hei"/>
        <family val="2"/>
      </rPr>
      <t xml:space="preserve">表示・</t>
    </r>
    <r>
      <rPr>
        <sz val="10"/>
        <rFont val="Meiryo UI"/>
        <family val="0"/>
        <charset val="1"/>
      </rPr>
      <t xml:space="preserve">2.0</t>
    </r>
    <r>
      <rPr>
        <sz val="10"/>
        <rFont val="WenQuanYi Zen Hei"/>
        <family val="2"/>
      </rPr>
      <t xml:space="preserve">位・</t>
    </r>
    <r>
      <rPr>
        <sz val="10"/>
        <rFont val="Meiryo UI"/>
        <family val="0"/>
        <charset val="1"/>
      </rPr>
      <t xml:space="preserve">CTR2.4%</t>
    </r>
    <r>
      <rPr>
        <sz val="10"/>
        <rFont val="WenQuanYi Zen Hei"/>
        <family val="2"/>
      </rPr>
      <t xml:space="preserve">） </t>
    </r>
    <r>
      <rPr>
        <sz val="10"/>
        <rFont val="Meiryo UI"/>
        <family val="0"/>
        <charset val="1"/>
      </rPr>
      <t xml:space="preserve">/ </t>
    </r>
    <r>
      <rPr>
        <sz val="10"/>
        <rFont val="WenQuanYi Zen Hei"/>
        <family val="2"/>
      </rPr>
      <t xml:space="preserve">社名変更 繰り返す（</t>
    </r>
    <r>
      <rPr>
        <sz val="10"/>
        <rFont val="Meiryo UI"/>
        <family val="0"/>
        <charset val="1"/>
      </rPr>
      <t xml:space="preserve">72</t>
    </r>
    <r>
      <rPr>
        <sz val="10"/>
        <rFont val="WenQuanYi Zen Hei"/>
        <family val="2"/>
      </rPr>
      <t xml:space="preserve">表示・</t>
    </r>
    <r>
      <rPr>
        <sz val="10"/>
        <rFont val="Meiryo UI"/>
        <family val="0"/>
        <charset val="1"/>
      </rPr>
      <t xml:space="preserve">2.1</t>
    </r>
    <r>
      <rPr>
        <sz val="10"/>
        <rFont val="WenQuanYi Zen Hei"/>
        <family val="2"/>
      </rPr>
      <t xml:space="preserve">位・</t>
    </r>
    <r>
      <rPr>
        <sz val="10"/>
        <rFont val="Meiryo UI"/>
        <family val="0"/>
        <charset val="1"/>
      </rPr>
      <t xml:space="preserve">CTR12.5%</t>
    </r>
    <r>
      <rPr>
        <sz val="10"/>
        <rFont val="WenQuanYi Zen Hei"/>
        <family val="2"/>
      </rPr>
      <t xml:space="preserve">） </t>
    </r>
    <r>
      <rPr>
        <sz val="10"/>
        <rFont val="Meiryo UI"/>
        <family val="0"/>
        <charset val="1"/>
      </rPr>
      <t xml:space="preserve">/ </t>
    </r>
    <r>
      <rPr>
        <sz val="10"/>
        <rFont val="WenQuanYi Zen Hei"/>
        <family val="2"/>
      </rPr>
      <t xml:space="preserve">移転を繰り返す会社（</t>
    </r>
    <r>
      <rPr>
        <sz val="10"/>
        <rFont val="Meiryo UI"/>
        <family val="0"/>
        <charset val="1"/>
      </rPr>
      <t xml:space="preserve">71</t>
    </r>
    <r>
      <rPr>
        <sz val="10"/>
        <rFont val="WenQuanYi Zen Hei"/>
        <family val="2"/>
      </rPr>
      <t xml:space="preserve">表示・</t>
    </r>
    <r>
      <rPr>
        <sz val="10"/>
        <rFont val="Meiryo UI"/>
        <family val="0"/>
        <charset val="1"/>
      </rPr>
      <t xml:space="preserve">7.3</t>
    </r>
    <r>
      <rPr>
        <sz val="10"/>
        <rFont val="WenQuanYi Zen Hei"/>
        <family val="2"/>
      </rPr>
      <t xml:space="preserve">位・</t>
    </r>
    <r>
      <rPr>
        <sz val="10"/>
        <rFont val="Meiryo UI"/>
        <family val="0"/>
        <charset val="1"/>
      </rPr>
      <t xml:space="preserve">CTR1.4%</t>
    </r>
    <r>
      <rPr>
        <sz val="10"/>
        <rFont val="WenQuanYi Zen Hei"/>
        <family val="2"/>
      </rPr>
      <t xml:space="preserve">）</t>
    </r>
  </si>
  <si>
    <r>
      <rPr>
        <sz val="10"/>
        <rFont val="Meiryo UI"/>
        <family val="0"/>
        <charset val="1"/>
      </rPr>
      <t xml:space="preserve">4.7</t>
    </r>
    <r>
      <rPr>
        <sz val="10"/>
        <rFont val="WenQuanYi Zen Hei"/>
        <family val="2"/>
      </rPr>
      <t xml:space="preserve">位・</t>
    </r>
    <r>
      <rPr>
        <sz val="10"/>
        <rFont val="Meiryo UI"/>
        <family val="0"/>
        <charset val="1"/>
      </rPr>
      <t xml:space="preserve">CTR3.6%</t>
    </r>
    <r>
      <rPr>
        <sz val="10"/>
        <rFont val="WenQuanYi Zen Hei"/>
        <family val="2"/>
      </rPr>
      <t xml:space="preserve">。「社名変更 やばい」</t>
    </r>
    <r>
      <rPr>
        <sz val="10"/>
        <rFont val="Meiryo UI"/>
        <family val="0"/>
        <charset val="1"/>
      </rPr>
      <t xml:space="preserve">459</t>
    </r>
    <r>
      <rPr>
        <sz val="10"/>
        <rFont val="WenQuanYi Zen Hei"/>
        <family val="2"/>
      </rPr>
      <t xml:space="preserve">表示で</t>
    </r>
    <r>
      <rPr>
        <sz val="10"/>
        <rFont val="Meiryo UI"/>
        <family val="0"/>
        <charset val="1"/>
      </rPr>
      <t xml:space="preserve">2.0</t>
    </r>
    <r>
      <rPr>
        <sz val="10"/>
        <rFont val="WenQuanYi Zen Hei"/>
        <family val="2"/>
      </rPr>
      <t xml:space="preserve">位なのに</t>
    </r>
    <r>
      <rPr>
        <sz val="10"/>
        <rFont val="Meiryo UI"/>
        <family val="0"/>
        <charset val="1"/>
      </rPr>
      <t xml:space="preserve">CTR2%</t>
    </r>
    <r>
      <rPr>
        <sz val="10"/>
        <rFont val="WenQuanYi Zen Hei"/>
        <family val="2"/>
      </rPr>
      <t xml:space="preserve">（</t>
    </r>
    <r>
      <rPr>
        <sz val="10"/>
        <rFont val="Meiryo UI"/>
        <family val="0"/>
        <charset val="1"/>
      </rPr>
      <t xml:space="preserve">2</t>
    </r>
    <r>
      <rPr>
        <sz val="10"/>
        <rFont val="WenQuanYi Zen Hei"/>
        <family val="2"/>
      </rPr>
      <t xml:space="preserve">位としては極端に低い）。タイトル・説明文が検索意図（やばいのか？）に即答していない可能性が高い。</t>
    </r>
  </si>
  <si>
    <r>
      <rPr>
        <sz val="10"/>
        <rFont val="WenQuanYi Zen Hei"/>
        <family val="2"/>
      </rPr>
      <t xml:space="preserve">冒頭で「社名変更＝やばいとは限らない。危ないのは○○の場合」と即答。「移転を繰り返す会社」（</t>
    </r>
    <r>
      <rPr>
        <sz val="10"/>
        <rFont val="Meiryo UI"/>
        <family val="0"/>
        <charset val="1"/>
      </rPr>
      <t xml:space="preserve">71</t>
    </r>
    <r>
      <rPr>
        <sz val="10"/>
        <rFont val="WenQuanYi Zen Hei"/>
        <family val="2"/>
      </rPr>
      <t xml:space="preserve">表示</t>
    </r>
    <r>
      <rPr>
        <sz val="10"/>
        <rFont val="Meiryo UI"/>
        <family val="0"/>
        <charset val="1"/>
      </rPr>
      <t xml:space="preserve">7.3</t>
    </r>
    <r>
      <rPr>
        <sz val="10"/>
        <rFont val="WenQuanYi Zen Hei"/>
        <family val="2"/>
      </rPr>
      <t xml:space="preserve">位）も見出しで拾う。</t>
    </r>
  </si>
  <si>
    <r>
      <rPr>
        <sz val="10"/>
        <rFont val="WenQuanYi Zen Hei"/>
        <family val="2"/>
      </rPr>
      <t xml:space="preserve">【案】社名変更を繰り返す会社はやばい？転職前に確認すべき</t>
    </r>
    <r>
      <rPr>
        <sz val="10"/>
        <rFont val="Meiryo UI"/>
        <family val="0"/>
        <charset val="1"/>
      </rPr>
      <t xml:space="preserve">5</t>
    </r>
    <r>
      <rPr>
        <sz val="10"/>
        <rFont val="WenQuanYi Zen Hei"/>
        <family val="2"/>
      </rPr>
      <t xml:space="preserve">つのサインを人事が解説
【説明文】社名変更する会社がやばいかは理由次第。現役人事が、危ない社名変更と問題ない社名変更の見分け方、応募前の確認方法を解説。</t>
    </r>
  </si>
  <si>
    <t xml:space="preserve">「応募前の確認方法」：「旧社名と新社名の両方で口コミを確認すると、変更前の実態が分かる」→転職会議</t>
  </si>
  <si>
    <t xml:space="preserve">/user-sier-tier/</t>
  </si>
  <si>
    <r>
      <rPr>
        <sz val="10"/>
        <rFont val="Meiryo UI"/>
        <family val="0"/>
        <charset val="1"/>
      </rPr>
      <t xml:space="preserve">SIer</t>
    </r>
    <r>
      <rPr>
        <sz val="10"/>
        <rFont val="WenQuanYi Zen Hei"/>
        <family val="2"/>
      </rPr>
      <t xml:space="preserve">・</t>
    </r>
    <r>
      <rPr>
        <sz val="10"/>
        <rFont val="Meiryo UI"/>
        <family val="0"/>
        <charset val="1"/>
      </rPr>
      <t xml:space="preserve">SES</t>
    </r>
    <r>
      <rPr>
        <sz val="10"/>
        <rFont val="WenQuanYi Zen Hei"/>
        <family val="2"/>
      </rPr>
      <t xml:space="preserve">業界研究</t>
    </r>
  </si>
  <si>
    <r>
      <rPr>
        <sz val="10"/>
        <rFont val="WenQuanYi Zen Hei"/>
        <family val="2"/>
      </rPr>
      <t xml:space="preserve">ユーザー系</t>
    </r>
    <r>
      <rPr>
        <sz val="10"/>
        <rFont val="Meiryo UI"/>
        <family val="0"/>
        <charset val="1"/>
      </rPr>
      <t xml:space="preserve">SIer</t>
    </r>
  </si>
  <si>
    <r>
      <rPr>
        <sz val="10"/>
        <rFont val="WenQuanYi Zen Hei"/>
        <family val="2"/>
      </rPr>
      <t xml:space="preserve">ユーザー系</t>
    </r>
    <r>
      <rPr>
        <sz val="10"/>
        <rFont val="Meiryo UI"/>
        <family val="0"/>
        <charset val="1"/>
      </rPr>
      <t xml:space="preserve">sier </t>
    </r>
    <r>
      <rPr>
        <sz val="10"/>
        <rFont val="WenQuanYi Zen Hei"/>
        <family val="2"/>
      </rPr>
      <t xml:space="preserve">一覧（</t>
    </r>
    <r>
      <rPr>
        <sz val="10"/>
        <rFont val="Meiryo UI"/>
        <family val="0"/>
        <charset val="1"/>
      </rPr>
      <t xml:space="preserve">136</t>
    </r>
    <r>
      <rPr>
        <sz val="10"/>
        <rFont val="WenQuanYi Zen Hei"/>
        <family val="2"/>
      </rPr>
      <t xml:space="preserve">表示・</t>
    </r>
    <r>
      <rPr>
        <sz val="10"/>
        <rFont val="Meiryo UI"/>
        <family val="0"/>
        <charset val="1"/>
      </rPr>
      <t xml:space="preserve">22.4</t>
    </r>
    <r>
      <rPr>
        <sz val="10"/>
        <rFont val="WenQuanYi Zen Hei"/>
        <family val="2"/>
      </rPr>
      <t xml:space="preserve">位・</t>
    </r>
    <r>
      <rPr>
        <sz val="10"/>
        <rFont val="Meiryo UI"/>
        <family val="0"/>
        <charset val="1"/>
      </rPr>
      <t xml:space="preserve">CTR1.5%</t>
    </r>
    <r>
      <rPr>
        <sz val="10"/>
        <rFont val="WenQuanYi Zen Hei"/>
        <family val="2"/>
      </rPr>
      <t xml:space="preserve">） </t>
    </r>
    <r>
      <rPr>
        <sz val="10"/>
        <rFont val="Meiryo UI"/>
        <family val="0"/>
        <charset val="1"/>
      </rPr>
      <t xml:space="preserve">/ sier tier</t>
    </r>
    <r>
      <rPr>
        <sz val="10"/>
        <rFont val="WenQuanYi Zen Hei"/>
        <family val="2"/>
      </rPr>
      <t xml:space="preserve">（</t>
    </r>
    <r>
      <rPr>
        <sz val="10"/>
        <rFont val="Meiryo UI"/>
        <family val="0"/>
        <charset val="1"/>
      </rPr>
      <t xml:space="preserve">38</t>
    </r>
    <r>
      <rPr>
        <sz val="10"/>
        <rFont val="WenQuanYi Zen Hei"/>
        <family val="2"/>
      </rPr>
      <t xml:space="preserve">表示・</t>
    </r>
    <r>
      <rPr>
        <sz val="10"/>
        <rFont val="Meiryo UI"/>
        <family val="0"/>
        <charset val="1"/>
      </rPr>
      <t xml:space="preserve">5.6</t>
    </r>
    <r>
      <rPr>
        <sz val="10"/>
        <rFont val="WenQuanYi Zen Hei"/>
        <family val="2"/>
      </rPr>
      <t xml:space="preserve">位・</t>
    </r>
    <r>
      <rPr>
        <sz val="10"/>
        <rFont val="Meiryo UI"/>
        <family val="0"/>
        <charset val="1"/>
      </rPr>
      <t xml:space="preserve">CTR2.6%</t>
    </r>
    <r>
      <rPr>
        <sz val="10"/>
        <rFont val="WenQuanYi Zen Hei"/>
        <family val="2"/>
      </rPr>
      <t xml:space="preserve">） </t>
    </r>
    <r>
      <rPr>
        <sz val="10"/>
        <rFont val="Meiryo UI"/>
        <family val="0"/>
        <charset val="1"/>
      </rPr>
      <t xml:space="preserve">/ </t>
    </r>
    <r>
      <rPr>
        <sz val="10"/>
        <rFont val="WenQuanYi Zen Hei"/>
        <family val="2"/>
      </rPr>
      <t xml:space="preserve">ユーザー系</t>
    </r>
    <r>
      <rPr>
        <sz val="10"/>
        <rFont val="Meiryo UI"/>
        <family val="0"/>
        <charset val="1"/>
      </rPr>
      <t xml:space="preserve">sier</t>
    </r>
    <r>
      <rPr>
        <sz val="10"/>
        <rFont val="WenQuanYi Zen Hei"/>
        <family val="2"/>
      </rPr>
      <t xml:space="preserve">一覧（</t>
    </r>
    <r>
      <rPr>
        <sz val="10"/>
        <rFont val="Meiryo UI"/>
        <family val="0"/>
        <charset val="1"/>
      </rPr>
      <t xml:space="preserve">27</t>
    </r>
    <r>
      <rPr>
        <sz val="10"/>
        <rFont val="WenQuanYi Zen Hei"/>
        <family val="2"/>
      </rPr>
      <t xml:space="preserve">表示・</t>
    </r>
    <r>
      <rPr>
        <sz val="10"/>
        <rFont val="Meiryo UI"/>
        <family val="0"/>
        <charset val="1"/>
      </rPr>
      <t xml:space="preserve">7.5</t>
    </r>
    <r>
      <rPr>
        <sz val="10"/>
        <rFont val="WenQuanYi Zen Hei"/>
        <family val="2"/>
      </rPr>
      <t xml:space="preserve">位・</t>
    </r>
    <r>
      <rPr>
        <sz val="10"/>
        <rFont val="Meiryo UI"/>
        <family val="0"/>
        <charset val="1"/>
      </rPr>
      <t xml:space="preserve">CTR11.1%</t>
    </r>
    <r>
      <rPr>
        <sz val="10"/>
        <rFont val="WenQuanYi Zen Hei"/>
        <family val="2"/>
      </rPr>
      <t xml:space="preserve">）</t>
    </r>
  </si>
  <si>
    <r>
      <rPr>
        <sz val="10"/>
        <rFont val="WenQuanYi Zen Hei"/>
        <family val="2"/>
      </rPr>
      <t xml:space="preserve">新しい記事で</t>
    </r>
    <r>
      <rPr>
        <sz val="10"/>
        <rFont val="Meiryo UI"/>
        <family val="0"/>
        <charset val="1"/>
      </rPr>
      <t xml:space="preserve">7.5</t>
    </r>
    <r>
      <rPr>
        <sz val="10"/>
        <rFont val="WenQuanYi Zen Hei"/>
        <family val="2"/>
      </rPr>
      <t xml:space="preserve">位・</t>
    </r>
    <r>
      <rPr>
        <sz val="10"/>
        <rFont val="Meiryo UI"/>
        <family val="0"/>
        <charset val="1"/>
      </rPr>
      <t xml:space="preserve">CTR6.9%</t>
    </r>
    <r>
      <rPr>
        <sz val="10"/>
        <rFont val="WenQuanYi Zen Hei"/>
        <family val="2"/>
      </rPr>
      <t xml:space="preserve">と好調。ただし「ユーザー系</t>
    </r>
    <r>
      <rPr>
        <sz val="10"/>
        <rFont val="Meiryo UI"/>
        <family val="0"/>
        <charset val="1"/>
      </rPr>
      <t xml:space="preserve">sier </t>
    </r>
    <r>
      <rPr>
        <sz val="10"/>
        <rFont val="WenQuanYi Zen Hei"/>
        <family val="2"/>
      </rPr>
      <t xml:space="preserve">一覧」</t>
    </r>
    <r>
      <rPr>
        <sz val="10"/>
        <rFont val="Meiryo UI"/>
        <family val="0"/>
        <charset val="1"/>
      </rPr>
      <t xml:space="preserve">136</t>
    </r>
    <r>
      <rPr>
        <sz val="10"/>
        <rFont val="WenQuanYi Zen Hei"/>
        <family val="2"/>
      </rPr>
      <t xml:space="preserve">表示は</t>
    </r>
    <r>
      <rPr>
        <sz val="10"/>
        <rFont val="Meiryo UI"/>
        <family val="0"/>
        <charset val="1"/>
      </rPr>
      <t xml:space="preserve">22.4</t>
    </r>
    <r>
      <rPr>
        <sz val="10"/>
        <rFont val="WenQuanYi Zen Hei"/>
        <family val="2"/>
      </rPr>
      <t xml:space="preserve">位、「ユーザー系</t>
    </r>
    <r>
      <rPr>
        <sz val="10"/>
        <rFont val="Meiryo UI"/>
        <family val="0"/>
        <charset val="1"/>
      </rPr>
      <t xml:space="preserve">sier</t>
    </r>
    <r>
      <rPr>
        <sz val="10"/>
        <rFont val="WenQuanYi Zen Hei"/>
        <family val="2"/>
      </rPr>
      <t xml:space="preserve">一覧」は</t>
    </r>
    <r>
      <rPr>
        <sz val="10"/>
        <rFont val="Meiryo UI"/>
        <family val="0"/>
        <charset val="1"/>
      </rPr>
      <t xml:space="preserve">7.5</t>
    </r>
    <r>
      <rPr>
        <sz val="10"/>
        <rFont val="WenQuanYi Zen Hei"/>
        <family val="2"/>
      </rPr>
      <t xml:space="preserve">位と表記揺れで割れ、ランキング記事とも分散。</t>
    </r>
  </si>
  <si>
    <r>
      <rPr>
        <sz val="10"/>
        <rFont val="WenQuanYi Zen Hei"/>
        <family val="2"/>
      </rPr>
      <t xml:space="preserve">【ユーザー系</t>
    </r>
    <r>
      <rPr>
        <sz val="10"/>
        <rFont val="Meiryo UI"/>
        <family val="0"/>
        <charset val="1"/>
      </rPr>
      <t xml:space="preserve">SIer</t>
    </r>
    <r>
      <rPr>
        <sz val="10"/>
        <rFont val="WenQuanYi Zen Hei"/>
        <family val="2"/>
      </rPr>
      <t xml:space="preserve">】競合相手：</t>
    </r>
    <r>
      <rPr>
        <sz val="10"/>
        <rFont val="Meiryo UI"/>
        <family val="0"/>
        <charset val="1"/>
      </rPr>
      <t xml:space="preserve">/user-sier-ranking/</t>
    </r>
  </si>
  <si>
    <r>
      <rPr>
        <sz val="10"/>
        <rFont val="Meiryo UI"/>
        <family val="0"/>
        <charset val="1"/>
      </rPr>
      <t xml:space="preserve">user-sier-ranking</t>
    </r>
    <r>
      <rPr>
        <sz val="10"/>
        <rFont val="WenQuanYi Zen Hei"/>
        <family val="2"/>
      </rPr>
      <t xml:space="preserve">を統合（</t>
    </r>
    <r>
      <rPr>
        <sz val="10"/>
        <rFont val="Meiryo UI"/>
        <family val="0"/>
        <charset val="1"/>
      </rPr>
      <t xml:space="preserve">301</t>
    </r>
    <r>
      <rPr>
        <sz val="10"/>
        <rFont val="WenQuanYi Zen Hei"/>
        <family val="2"/>
      </rPr>
      <t xml:space="preserve">）。「ホワイト・人気ランキング」の見出しを追加。</t>
    </r>
  </si>
  <si>
    <r>
      <rPr>
        <sz val="10"/>
        <rFont val="WenQuanYi Zen Hei"/>
        <family val="2"/>
      </rPr>
      <t xml:space="preserve">【案】ユーザー系</t>
    </r>
    <r>
      <rPr>
        <sz val="10"/>
        <rFont val="Meiryo UI"/>
        <family val="0"/>
        <charset val="1"/>
      </rPr>
      <t xml:space="preserve">SIer</t>
    </r>
    <r>
      <rPr>
        <sz val="10"/>
        <rFont val="WenQuanYi Zen Hei"/>
        <family val="2"/>
      </rPr>
      <t xml:space="preserve">一覧｜</t>
    </r>
    <r>
      <rPr>
        <sz val="10"/>
        <rFont val="Meiryo UI"/>
        <family val="0"/>
        <charset val="1"/>
      </rPr>
      <t xml:space="preserve">Tier</t>
    </r>
    <r>
      <rPr>
        <sz val="10"/>
        <rFont val="WenQuanYi Zen Hei"/>
        <family val="2"/>
      </rPr>
      <t xml:space="preserve">別ランキングとホワイト企業を現役人事が解説</t>
    </r>
  </si>
  <si>
    <r>
      <rPr>
        <sz val="10"/>
        <rFont val="WenQuanYi Zen Hei"/>
        <family val="2"/>
      </rPr>
      <t xml:space="preserve">一覧表の直後：「自分の経験でどの</t>
    </r>
    <r>
      <rPr>
        <sz val="10"/>
        <rFont val="Meiryo UI"/>
        <family val="0"/>
        <charset val="1"/>
      </rPr>
      <t xml:space="preserve">Tier</t>
    </r>
    <r>
      <rPr>
        <sz val="10"/>
        <rFont val="WenQuanYi Zen Hei"/>
        <family val="2"/>
      </rPr>
      <t xml:space="preserve">に入れるかはスカウトで分かる」→レバテックダイレクト</t>
    </r>
  </si>
  <si>
    <t xml:space="preserve">/jac-recruitment-review/</t>
  </si>
  <si>
    <t xml:space="preserve">JAC</t>
  </si>
  <si>
    <r>
      <rPr>
        <sz val="10"/>
        <rFont val="Meiryo UI"/>
        <family val="0"/>
        <charset val="1"/>
      </rPr>
      <t xml:space="preserve">jac</t>
    </r>
    <r>
      <rPr>
        <sz val="10"/>
        <rFont val="WenQuanYi Zen Hei"/>
        <family val="2"/>
      </rPr>
      <t xml:space="preserve">リクルートメント 評判（</t>
    </r>
    <r>
      <rPr>
        <sz val="10"/>
        <rFont val="Meiryo UI"/>
        <family val="0"/>
        <charset val="1"/>
      </rPr>
      <t xml:space="preserve">38</t>
    </r>
    <r>
      <rPr>
        <sz val="10"/>
        <rFont val="WenQuanYi Zen Hei"/>
        <family val="2"/>
      </rPr>
      <t xml:space="preserve">表示・</t>
    </r>
    <r>
      <rPr>
        <sz val="10"/>
        <rFont val="Meiryo UI"/>
        <family val="0"/>
        <charset val="1"/>
      </rPr>
      <t xml:space="preserve">29.8</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jac</t>
    </r>
    <r>
      <rPr>
        <sz val="10"/>
        <rFont val="WenQuanYi Zen Hei"/>
        <family val="2"/>
      </rPr>
      <t xml:space="preserve">リクルートメント ばれる（</t>
    </r>
    <r>
      <rPr>
        <sz val="10"/>
        <rFont val="Meiryo UI"/>
        <family val="0"/>
        <charset val="1"/>
      </rPr>
      <t xml:space="preserve">33</t>
    </r>
    <r>
      <rPr>
        <sz val="10"/>
        <rFont val="WenQuanYi Zen Hei"/>
        <family val="2"/>
      </rPr>
      <t xml:space="preserve">表示・</t>
    </r>
    <r>
      <rPr>
        <sz val="10"/>
        <rFont val="Meiryo UI"/>
        <family val="0"/>
        <charset val="1"/>
      </rPr>
      <t xml:space="preserve">19.7</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jac</t>
    </r>
    <r>
      <rPr>
        <sz val="10"/>
        <rFont val="WenQuanYi Zen Hei"/>
        <family val="2"/>
      </rPr>
      <t xml:space="preserve">キャリア 評判（</t>
    </r>
    <r>
      <rPr>
        <sz val="10"/>
        <rFont val="Meiryo UI"/>
        <family val="0"/>
        <charset val="1"/>
      </rPr>
      <t xml:space="preserve">29</t>
    </r>
    <r>
      <rPr>
        <sz val="10"/>
        <rFont val="WenQuanYi Zen Hei"/>
        <family val="2"/>
      </rPr>
      <t xml:space="preserve">表示・</t>
    </r>
    <r>
      <rPr>
        <sz val="10"/>
        <rFont val="Meiryo UI"/>
        <family val="0"/>
        <charset val="1"/>
      </rPr>
      <t xml:space="preserve">13.9</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</si>
  <si>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14.7→13.1</t>
    </r>
    <r>
      <rPr>
        <sz val="10"/>
        <rFont val="WenQuanYi Zen Hei"/>
        <family val="2"/>
      </rPr>
      <t xml:space="preserve">位。「</t>
    </r>
    <r>
      <rPr>
        <sz val="10"/>
        <rFont val="Meiryo UI"/>
        <family val="0"/>
        <charset val="1"/>
      </rPr>
      <t xml:space="preserve">jac</t>
    </r>
    <r>
      <rPr>
        <sz val="10"/>
        <rFont val="WenQuanYi Zen Hei"/>
        <family val="2"/>
      </rPr>
      <t xml:space="preserve">リクルートメント 評判」</t>
    </r>
    <r>
      <rPr>
        <sz val="10"/>
        <rFont val="Meiryo UI"/>
        <family val="0"/>
        <charset val="1"/>
      </rPr>
      <t xml:space="preserve">38</t>
    </r>
    <r>
      <rPr>
        <sz val="10"/>
        <rFont val="WenQuanYi Zen Hei"/>
        <family val="2"/>
      </rPr>
      <t xml:space="preserve">表示</t>
    </r>
    <r>
      <rPr>
        <sz val="10"/>
        <rFont val="Meiryo UI"/>
        <family val="0"/>
        <charset val="1"/>
      </rPr>
      <t xml:space="preserve">29.8</t>
    </r>
    <r>
      <rPr>
        <sz val="10"/>
        <rFont val="WenQuanYi Zen Hei"/>
        <family val="2"/>
      </rPr>
      <t xml:space="preserve">位。</t>
    </r>
    <r>
      <rPr>
        <sz val="10"/>
        <rFont val="Meiryo UI"/>
        <family val="0"/>
        <charset val="1"/>
      </rPr>
      <t xml:space="preserve">VC</t>
    </r>
    <r>
      <rPr>
        <sz val="10"/>
        <rFont val="WenQuanYi Zen Hei"/>
        <family val="2"/>
      </rPr>
      <t xml:space="preserve">で</t>
    </r>
    <r>
      <rPr>
        <sz val="10"/>
        <rFont val="Meiryo UI"/>
        <family val="0"/>
        <charset val="1"/>
      </rPr>
      <t xml:space="preserve">JAC</t>
    </r>
    <r>
      <rPr>
        <sz val="10"/>
        <rFont val="WenQuanYi Zen Hei"/>
        <family val="2"/>
      </rPr>
      <t xml:space="preserve">提携済み（</t>
    </r>
    <r>
      <rPr>
        <sz val="10"/>
        <rFont val="Meiryo UI"/>
        <family val="0"/>
        <charset val="1"/>
      </rPr>
      <t xml:space="preserve">30</t>
    </r>
    <r>
      <rPr>
        <sz val="10"/>
        <rFont val="WenQuanYi Zen Hei"/>
        <family val="2"/>
      </rPr>
      <t xml:space="preserve">日</t>
    </r>
    <r>
      <rPr>
        <sz val="10"/>
        <rFont val="Meiryo UI"/>
        <family val="0"/>
        <charset val="1"/>
      </rPr>
      <t xml:space="preserve">3</t>
    </r>
    <r>
      <rPr>
        <sz val="10"/>
        <rFont val="WenQuanYi Zen Hei"/>
        <family val="2"/>
      </rPr>
      <t xml:space="preserve">表示）なので収益に直結するが、検索で評価されていない。</t>
    </r>
  </si>
  <si>
    <r>
      <rPr>
        <sz val="10"/>
        <rFont val="WenQuanYi Zen Hei"/>
        <family val="2"/>
      </rPr>
      <t xml:space="preserve">評判記事として網羅を強化（「やめとけ」「ばれる」「求人の質」）。企業側から見た</t>
    </r>
    <r>
      <rPr>
        <sz val="10"/>
        <rFont val="Meiryo UI"/>
        <family val="0"/>
        <charset val="1"/>
      </rPr>
      <t xml:space="preserve">JAC</t>
    </r>
    <r>
      <rPr>
        <sz val="10"/>
        <rFont val="WenQuanYi Zen Hei"/>
        <family val="2"/>
      </rPr>
      <t xml:space="preserve">経由の候補者の特徴（一次情報）を追加。</t>
    </r>
  </si>
  <si>
    <r>
      <rPr>
        <sz val="10"/>
        <rFont val="WenQuanYi Zen Hei"/>
        <family val="2"/>
      </rPr>
      <t xml:space="preserve">【案】</t>
    </r>
    <r>
      <rPr>
        <sz val="10"/>
        <rFont val="Meiryo UI"/>
        <family val="0"/>
        <charset val="1"/>
      </rPr>
      <t xml:space="preserve">JAC</t>
    </r>
    <r>
      <rPr>
        <sz val="10"/>
        <rFont val="WenQuanYi Zen Hei"/>
        <family val="2"/>
      </rPr>
      <t xml:space="preserve">リクルートメントの評判は？企業側の人事が見た「ハイクラス転職」の実態</t>
    </r>
  </si>
  <si>
    <r>
      <rPr>
        <sz val="10"/>
        <rFont val="WenQuanYi Zen Hei"/>
        <family val="2"/>
      </rPr>
      <t xml:space="preserve">冒頭の結論ボックス：「年収</t>
    </r>
    <r>
      <rPr>
        <sz val="10"/>
        <rFont val="Meiryo UI"/>
        <family val="0"/>
        <charset val="1"/>
      </rPr>
      <t xml:space="preserve">600</t>
    </r>
    <r>
      <rPr>
        <sz val="10"/>
        <rFont val="WenQuanYi Zen Hei"/>
        <family val="2"/>
      </rPr>
      <t xml:space="preserve">万円以上・管理職志向なら第一候補」→</t>
    </r>
    <r>
      <rPr>
        <sz val="10"/>
        <rFont val="Meiryo UI"/>
        <family val="0"/>
        <charset val="1"/>
      </rPr>
      <t xml:space="preserve">JAC</t>
    </r>
    <r>
      <rPr>
        <sz val="10"/>
        <rFont val="WenQuanYi Zen Hei"/>
        <family val="2"/>
      </rPr>
      <t xml:space="preserve">ボタン（対象条件は公式で要確認）</t>
    </r>
  </si>
  <si>
    <t xml:space="preserve">JAC Recruitment(VC)</t>
  </si>
  <si>
    <t xml:space="preserve">/network-specialist-haishi/</t>
  </si>
  <si>
    <r>
      <rPr>
        <sz val="10"/>
        <rFont val="WenQuanYi Zen Hei"/>
        <family val="2"/>
      </rPr>
      <t xml:space="preserve">ネットワークスペシャリスト 廃止（</t>
    </r>
    <r>
      <rPr>
        <sz val="10"/>
        <rFont val="Meiryo UI"/>
        <family val="0"/>
        <charset val="1"/>
      </rPr>
      <t xml:space="preserve">1,727</t>
    </r>
    <r>
      <rPr>
        <sz val="10"/>
        <rFont val="WenQuanYi Zen Hei"/>
        <family val="2"/>
      </rPr>
      <t xml:space="preserve">表示・</t>
    </r>
    <r>
      <rPr>
        <sz val="10"/>
        <rFont val="Meiryo UI"/>
        <family val="0"/>
        <charset val="1"/>
      </rPr>
      <t xml:space="preserve">6.8</t>
    </r>
    <r>
      <rPr>
        <sz val="10"/>
        <rFont val="WenQuanYi Zen Hei"/>
        <family val="2"/>
      </rPr>
      <t xml:space="preserve">位・</t>
    </r>
    <r>
      <rPr>
        <sz val="10"/>
        <rFont val="Meiryo UI"/>
        <family val="0"/>
        <charset val="1"/>
      </rPr>
      <t xml:space="preserve">CTR2.6%</t>
    </r>
    <r>
      <rPr>
        <sz val="10"/>
        <rFont val="WenQuanYi Zen Hei"/>
        <family val="2"/>
      </rPr>
      <t xml:space="preserve">） </t>
    </r>
    <r>
      <rPr>
        <sz val="10"/>
        <rFont val="Meiryo UI"/>
        <family val="0"/>
        <charset val="1"/>
      </rPr>
      <t xml:space="preserve">/ </t>
    </r>
    <r>
      <rPr>
        <sz val="10"/>
        <rFont val="WenQuanYi Zen Hei"/>
        <family val="2"/>
      </rPr>
      <t xml:space="preserve">ネスペ なくなる（</t>
    </r>
    <r>
      <rPr>
        <sz val="10"/>
        <rFont val="Meiryo UI"/>
        <family val="0"/>
        <charset val="1"/>
      </rPr>
      <t xml:space="preserve">1,186</t>
    </r>
    <r>
      <rPr>
        <sz val="10"/>
        <rFont val="WenQuanYi Zen Hei"/>
        <family val="2"/>
      </rPr>
      <t xml:space="preserve">表示・</t>
    </r>
    <r>
      <rPr>
        <sz val="10"/>
        <rFont val="Meiryo UI"/>
        <family val="0"/>
        <charset val="1"/>
      </rPr>
      <t xml:space="preserve">5.3</t>
    </r>
    <r>
      <rPr>
        <sz val="10"/>
        <rFont val="WenQuanYi Zen Hei"/>
        <family val="2"/>
      </rPr>
      <t xml:space="preserve">位・</t>
    </r>
    <r>
      <rPr>
        <sz val="10"/>
        <rFont val="Meiryo UI"/>
        <family val="0"/>
        <charset val="1"/>
      </rPr>
      <t xml:space="preserve">CTR3.6%</t>
    </r>
    <r>
      <rPr>
        <sz val="10"/>
        <rFont val="WenQuanYi Zen Hei"/>
        <family val="2"/>
      </rPr>
      <t xml:space="preserve">） </t>
    </r>
    <r>
      <rPr>
        <sz val="10"/>
        <rFont val="Meiryo UI"/>
        <family val="0"/>
        <charset val="1"/>
      </rPr>
      <t xml:space="preserve">/ </t>
    </r>
    <r>
      <rPr>
        <sz val="10"/>
        <rFont val="WenQuanYi Zen Hei"/>
        <family val="2"/>
      </rPr>
      <t xml:space="preserve">ネットワークスペシャリスト なくなる（</t>
    </r>
    <r>
      <rPr>
        <sz val="10"/>
        <rFont val="Meiryo UI"/>
        <family val="0"/>
        <charset val="1"/>
      </rPr>
      <t xml:space="preserve">380</t>
    </r>
    <r>
      <rPr>
        <sz val="10"/>
        <rFont val="WenQuanYi Zen Hei"/>
        <family val="2"/>
      </rPr>
      <t xml:space="preserve">表示・</t>
    </r>
    <r>
      <rPr>
        <sz val="10"/>
        <rFont val="Meiryo UI"/>
        <family val="0"/>
        <charset val="1"/>
      </rPr>
      <t xml:space="preserve">6.0</t>
    </r>
    <r>
      <rPr>
        <sz val="10"/>
        <rFont val="WenQuanYi Zen Hei"/>
        <family val="2"/>
      </rPr>
      <t xml:space="preserve">位・</t>
    </r>
    <r>
      <rPr>
        <sz val="10"/>
        <rFont val="Meiryo UI"/>
        <family val="0"/>
        <charset val="1"/>
      </rPr>
      <t xml:space="preserve">CTR4.7%</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</si>
  <si>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7,718</t>
    </r>
    <r>
      <rPr>
        <sz val="10"/>
        <rFont val="WenQuanYi Zen Hei"/>
        <family val="2"/>
      </rPr>
      <t xml:space="preserve">表示・</t>
    </r>
    <r>
      <rPr>
        <sz val="10"/>
        <rFont val="Meiryo UI"/>
        <family val="0"/>
        <charset val="1"/>
      </rPr>
      <t xml:space="preserve">7.4</t>
    </r>
    <r>
      <rPr>
        <sz val="10"/>
        <rFont val="WenQuanYi Zen Hei"/>
        <family val="2"/>
      </rPr>
      <t xml:space="preserve">位・</t>
    </r>
    <r>
      <rPr>
        <sz val="10"/>
        <rFont val="Meiryo UI"/>
        <family val="0"/>
        <charset val="1"/>
      </rPr>
      <t xml:space="preserve">CTR3.9%</t>
    </r>
    <r>
      <rPr>
        <sz val="10"/>
        <rFont val="WenQuanYi Zen Hei"/>
        <family val="2"/>
      </rPr>
      <t xml:space="preserve">。「ネットワークスペシャリスト 廃止」</t>
    </r>
    <r>
      <rPr>
        <sz val="10"/>
        <rFont val="Meiryo UI"/>
        <family val="0"/>
        <charset val="1"/>
      </rPr>
      <t xml:space="preserve">1,727</t>
    </r>
    <r>
      <rPr>
        <sz val="10"/>
        <rFont val="WenQuanYi Zen Hei"/>
        <family val="2"/>
      </rPr>
      <t xml:space="preserve">表示</t>
    </r>
    <r>
      <rPr>
        <sz val="10"/>
        <rFont val="Meiryo UI"/>
        <family val="0"/>
        <charset val="1"/>
      </rPr>
      <t xml:space="preserve">6.8</t>
    </r>
    <r>
      <rPr>
        <sz val="10"/>
        <rFont val="WenQuanYi Zen Hei"/>
        <family val="2"/>
      </rPr>
      <t xml:space="preserve">位</t>
    </r>
    <r>
      <rPr>
        <sz val="10"/>
        <rFont val="Meiryo UI"/>
        <family val="0"/>
        <charset val="1"/>
      </rPr>
      <t xml:space="preserve">CTR2.6%</t>
    </r>
    <r>
      <rPr>
        <sz val="10"/>
        <rFont val="WenQuanYi Zen Hei"/>
        <family val="2"/>
      </rPr>
      <t xml:space="preserve">、「ネスペ なくなる」</t>
    </r>
    <r>
      <rPr>
        <sz val="10"/>
        <rFont val="Meiryo UI"/>
        <family val="0"/>
        <charset val="1"/>
      </rPr>
      <t xml:space="preserve">1,186</t>
    </r>
    <r>
      <rPr>
        <sz val="10"/>
        <rFont val="WenQuanYi Zen Hei"/>
        <family val="2"/>
      </rPr>
      <t xml:space="preserve">表示</t>
    </r>
    <r>
      <rPr>
        <sz val="10"/>
        <rFont val="Meiryo UI"/>
        <family val="0"/>
        <charset val="1"/>
      </rPr>
      <t xml:space="preserve">5.3</t>
    </r>
    <r>
      <rPr>
        <sz val="10"/>
        <rFont val="WenQuanYi Zen Hei"/>
        <family val="2"/>
      </rPr>
      <t xml:space="preserve">位</t>
    </r>
    <r>
      <rPr>
        <sz val="10"/>
        <rFont val="Meiryo UI"/>
        <family val="0"/>
        <charset val="1"/>
      </rPr>
      <t xml:space="preserve">CTR3.6%</t>
    </r>
    <r>
      <rPr>
        <sz val="10"/>
        <rFont val="WenQuanYi Zen Hei"/>
        <family val="2"/>
      </rPr>
      <t xml:space="preserve">。他の</t>
    </r>
    <r>
      <rPr>
        <sz val="10"/>
        <rFont val="Meiryo UI"/>
        <family val="0"/>
        <charset val="1"/>
      </rPr>
      <t xml:space="preserve">*-haishi</t>
    </r>
    <r>
      <rPr>
        <sz val="10"/>
        <rFont val="WenQuanYi Zen Hei"/>
        <family val="2"/>
      </rPr>
      <t xml:space="preserve">記事（主要クエリ</t>
    </r>
    <r>
      <rPr>
        <sz val="10"/>
        <rFont val="Meiryo UI"/>
        <family val="0"/>
        <charset val="1"/>
      </rPr>
      <t xml:space="preserve">1</t>
    </r>
    <r>
      <rPr>
        <sz val="10"/>
        <rFont val="WenQuanYi Zen Hei"/>
        <family val="2"/>
      </rPr>
      <t xml:space="preserve">〜</t>
    </r>
    <r>
      <rPr>
        <sz val="10"/>
        <rFont val="Meiryo UI"/>
        <family val="0"/>
        <charset val="1"/>
      </rPr>
      <t xml:space="preserve">2</t>
    </r>
    <r>
      <rPr>
        <sz val="10"/>
        <rFont val="WenQuanYi Zen Hei"/>
        <family val="2"/>
      </rPr>
      <t xml:space="preserve">位）と比べ順位が低い。</t>
    </r>
  </si>
  <si>
    <t xml:space="preserve">冒頭に「結論：いつまで受験できるか」の表を置き、略称「ネスペ」を見出しに入れる。改編総合記事からの内部リンクのアンカーを「ネットワークスペシャリストの廃止」に統一。</t>
  </si>
  <si>
    <r>
      <rPr>
        <sz val="10"/>
        <rFont val="WenQuanYi Zen Hei"/>
        <family val="2"/>
      </rPr>
      <t xml:space="preserve">【案】ネットワークスペシャリスト（ネスペ）はなくなる？廃止時期と</t>
    </r>
    <r>
      <rPr>
        <sz val="10"/>
        <rFont val="Meiryo UI"/>
        <family val="0"/>
        <charset val="1"/>
      </rPr>
      <t xml:space="preserve">2027</t>
    </r>
    <r>
      <rPr>
        <sz val="10"/>
        <rFont val="WenQuanYi Zen Hei"/>
        <family val="2"/>
      </rPr>
      <t xml:space="preserve">年以降の扱いを解説</t>
    </r>
  </si>
  <si>
    <t xml:space="preserve">「転職での評価」の見出し：「ネスペ保有者はインフラ職のスカウトで評価されやすい」→レバテックダイレクト</t>
  </si>
  <si>
    <t xml:space="preserve">/professional-digital-skill-exam/</t>
  </si>
  <si>
    <r>
      <rPr>
        <sz val="10"/>
        <rFont val="WenQuanYi Zen Hei"/>
        <family val="2"/>
      </rPr>
      <t xml:space="preserve">プロフェッショナルデジタルスキル試験（</t>
    </r>
    <r>
      <rPr>
        <sz val="10"/>
        <rFont val="Meiryo UI"/>
        <family val="0"/>
        <charset val="1"/>
      </rPr>
      <t xml:space="preserve">361</t>
    </r>
    <r>
      <rPr>
        <sz val="10"/>
        <rFont val="WenQuanYi Zen Hei"/>
        <family val="2"/>
      </rPr>
      <t xml:space="preserve">表示・</t>
    </r>
    <r>
      <rPr>
        <sz val="10"/>
        <rFont val="Meiryo UI"/>
        <family val="0"/>
        <charset val="1"/>
      </rPr>
      <t xml:space="preserve">9.4</t>
    </r>
    <r>
      <rPr>
        <sz val="10"/>
        <rFont val="WenQuanYi Zen Hei"/>
        <family val="2"/>
      </rPr>
      <t xml:space="preserve">位・</t>
    </r>
    <r>
      <rPr>
        <sz val="10"/>
        <rFont val="Meiryo UI"/>
        <family val="0"/>
        <charset val="1"/>
      </rPr>
      <t xml:space="preserve">CTR6.4%</t>
    </r>
    <r>
      <rPr>
        <sz val="10"/>
        <rFont val="WenQuanYi Zen Hei"/>
        <family val="2"/>
      </rPr>
      <t xml:space="preserve">） </t>
    </r>
    <r>
      <rPr>
        <sz val="10"/>
        <rFont val="Meiryo UI"/>
        <family val="0"/>
        <charset val="1"/>
      </rPr>
      <t xml:space="preserve">/ </t>
    </r>
    <r>
      <rPr>
        <sz val="10"/>
        <rFont val="WenQuanYi Zen Hei"/>
        <family val="2"/>
      </rPr>
      <t xml:space="preserve">プロフェッショナルデジタルスキル試験 難易度（</t>
    </r>
    <r>
      <rPr>
        <sz val="10"/>
        <rFont val="Meiryo UI"/>
        <family val="0"/>
        <charset val="1"/>
      </rPr>
      <t xml:space="preserve">290</t>
    </r>
    <r>
      <rPr>
        <sz val="10"/>
        <rFont val="WenQuanYi Zen Hei"/>
        <family val="2"/>
      </rPr>
      <t xml:space="preserve">表示・</t>
    </r>
    <r>
      <rPr>
        <sz val="10"/>
        <rFont val="Meiryo UI"/>
        <family val="0"/>
        <charset val="1"/>
      </rPr>
      <t xml:space="preserve">6.9</t>
    </r>
    <r>
      <rPr>
        <sz val="10"/>
        <rFont val="WenQuanYi Zen Hei"/>
        <family val="2"/>
      </rPr>
      <t xml:space="preserve">位・</t>
    </r>
    <r>
      <rPr>
        <sz val="10"/>
        <rFont val="Meiryo UI"/>
        <family val="0"/>
        <charset val="1"/>
      </rPr>
      <t xml:space="preserve">CTR4.5%</t>
    </r>
    <r>
      <rPr>
        <sz val="10"/>
        <rFont val="WenQuanYi Zen Hei"/>
        <family val="2"/>
      </rPr>
      <t xml:space="preserve">） </t>
    </r>
    <r>
      <rPr>
        <sz val="10"/>
        <rFont val="Meiryo UI"/>
        <family val="0"/>
        <charset val="1"/>
      </rPr>
      <t xml:space="preserve">/ </t>
    </r>
    <r>
      <rPr>
        <sz val="10"/>
        <rFont val="WenQuanYi Zen Hei"/>
        <family val="2"/>
      </rPr>
      <t xml:space="preserve">プロフェッショナルデジタルスキル（</t>
    </r>
    <r>
      <rPr>
        <sz val="10"/>
        <rFont val="Meiryo UI"/>
        <family val="0"/>
        <charset val="1"/>
      </rPr>
      <t xml:space="preserve">118</t>
    </r>
    <r>
      <rPr>
        <sz val="10"/>
        <rFont val="WenQuanYi Zen Hei"/>
        <family val="2"/>
      </rPr>
      <t xml:space="preserve">表示・</t>
    </r>
    <r>
      <rPr>
        <sz val="10"/>
        <rFont val="Meiryo UI"/>
        <family val="0"/>
        <charset val="1"/>
      </rPr>
      <t xml:space="preserve">6.8</t>
    </r>
    <r>
      <rPr>
        <sz val="10"/>
        <rFont val="WenQuanYi Zen Hei"/>
        <family val="2"/>
      </rPr>
      <t xml:space="preserve">位・</t>
    </r>
    <r>
      <rPr>
        <sz val="10"/>
        <rFont val="Meiryo UI"/>
        <family val="0"/>
        <charset val="1"/>
      </rPr>
      <t xml:space="preserve">CTR8.5%</t>
    </r>
    <r>
      <rPr>
        <sz val="10"/>
        <rFont val="WenQuanYi Zen Hei"/>
        <family val="2"/>
      </rPr>
      <t xml:space="preserve">）</t>
    </r>
  </si>
  <si>
    <r>
      <rPr>
        <sz val="10"/>
        <rFont val="Meiryo UI"/>
        <family val="0"/>
        <charset val="1"/>
      </rPr>
      <t xml:space="preserve">7.1</t>
    </r>
    <r>
      <rPr>
        <sz val="10"/>
        <rFont val="WenQuanYi Zen Hei"/>
        <family val="2"/>
      </rPr>
      <t xml:space="preserve">位・</t>
    </r>
    <r>
      <rPr>
        <sz val="10"/>
        <rFont val="Meiryo UI"/>
        <family val="0"/>
        <charset val="1"/>
      </rPr>
      <t xml:space="preserve">CTR6.2%</t>
    </r>
    <r>
      <rPr>
        <sz val="10"/>
        <rFont val="WenQuanYi Zen Hei"/>
        <family val="2"/>
      </rPr>
      <t xml:space="preserve">。「〜試験 難易度」</t>
    </r>
    <r>
      <rPr>
        <sz val="10"/>
        <rFont val="Meiryo UI"/>
        <family val="0"/>
        <charset val="1"/>
      </rPr>
      <t xml:space="preserve">290</t>
    </r>
    <r>
      <rPr>
        <sz val="10"/>
        <rFont val="WenQuanYi Zen Hei"/>
        <family val="2"/>
      </rPr>
      <t xml:space="preserve">表示</t>
    </r>
    <r>
      <rPr>
        <sz val="10"/>
        <rFont val="Meiryo UI"/>
        <family val="0"/>
        <charset val="1"/>
      </rPr>
      <t xml:space="preserve">6.9</t>
    </r>
    <r>
      <rPr>
        <sz val="10"/>
        <rFont val="WenQuanYi Zen Hei"/>
        <family val="2"/>
      </rPr>
      <t xml:space="preserve">位</t>
    </r>
    <r>
      <rPr>
        <sz val="10"/>
        <rFont val="Meiryo UI"/>
        <family val="0"/>
        <charset val="1"/>
      </rPr>
      <t xml:space="preserve">CTR4%</t>
    </r>
    <r>
      <rPr>
        <sz val="10"/>
        <rFont val="WenQuanYi Zen Hei"/>
        <family val="2"/>
      </rPr>
      <t xml:space="preserve">、「プロフェッショナルデジタルスキル試験」</t>
    </r>
    <r>
      <rPr>
        <sz val="10"/>
        <rFont val="Meiryo UI"/>
        <family val="0"/>
        <charset val="1"/>
      </rPr>
      <t xml:space="preserve">361</t>
    </r>
    <r>
      <rPr>
        <sz val="10"/>
        <rFont val="WenQuanYi Zen Hei"/>
        <family val="2"/>
      </rPr>
      <t xml:space="preserve">表示</t>
    </r>
    <r>
      <rPr>
        <sz val="10"/>
        <rFont val="Meiryo UI"/>
        <family val="0"/>
        <charset val="1"/>
      </rPr>
      <t xml:space="preserve">9.4</t>
    </r>
    <r>
      <rPr>
        <sz val="10"/>
        <rFont val="WenQuanYi Zen Hei"/>
        <family val="2"/>
      </rPr>
      <t xml:space="preserve">位。「プロデジ試験」（</t>
    </r>
    <r>
      <rPr>
        <sz val="10"/>
        <rFont val="Meiryo UI"/>
        <family val="0"/>
        <charset val="1"/>
      </rPr>
      <t xml:space="preserve">31</t>
    </r>
    <r>
      <rPr>
        <sz val="10"/>
        <rFont val="WenQuanYi Zen Hei"/>
        <family val="2"/>
      </rPr>
      <t xml:space="preserve">表示）という略称も出始めている。</t>
    </r>
  </si>
  <si>
    <r>
      <rPr>
        <sz val="10"/>
        <rFont val="WenQuanYi Zen Hei"/>
        <family val="2"/>
      </rPr>
      <t xml:space="preserve">【</t>
    </r>
    <r>
      <rPr>
        <sz val="10"/>
        <rFont val="Meiryo UI"/>
        <family val="0"/>
        <charset val="1"/>
      </rPr>
      <t xml:space="preserve">IPA</t>
    </r>
    <r>
      <rPr>
        <sz val="10"/>
        <rFont val="WenQuanYi Zen Hei"/>
        <family val="2"/>
      </rPr>
      <t xml:space="preserve">改編】競合相手：</t>
    </r>
    <r>
      <rPr>
        <sz val="10"/>
        <rFont val="Meiryo UI"/>
        <family val="0"/>
        <charset val="1"/>
      </rPr>
      <t xml:space="preserve">/ipa-exam-reform-2027/</t>
    </r>
    <r>
      <rPr>
        <sz val="10"/>
        <rFont val="WenQuanYi Zen Hei"/>
        <family val="2"/>
      </rPr>
      <t xml:space="preserve">、</t>
    </r>
    <r>
      <rPr>
        <sz val="10"/>
        <rFont val="Meiryo UI"/>
        <family val="0"/>
        <charset val="1"/>
      </rPr>
      <t xml:space="preserve">/ipa-exam-reform-career-impact/</t>
    </r>
    <r>
      <rPr>
        <sz val="10"/>
        <rFont val="WenQuanYi Zen Hei"/>
        <family val="2"/>
      </rPr>
      <t xml:space="preserve">、</t>
    </r>
    <r>
      <rPr>
        <sz val="10"/>
        <rFont val="Meiryo UI"/>
        <family val="0"/>
        <charset val="1"/>
      </rPr>
      <t xml:space="preserve">/data-management-exam/</t>
    </r>
  </si>
  <si>
    <t xml:space="preserve">難易度・レベル・対象者の表を冒頭に置く。略称「プロデジ試験」を本文に入れる。</t>
  </si>
  <si>
    <r>
      <rPr>
        <sz val="10"/>
        <rFont val="WenQuanYi Zen Hei"/>
        <family val="2"/>
      </rPr>
      <t xml:space="preserve">【案】プロフェッショナルデジタルスキル試験とは？難易度・</t>
    </r>
    <r>
      <rPr>
        <sz val="10"/>
        <rFont val="Meiryo UI"/>
        <family val="0"/>
        <charset val="1"/>
      </rPr>
      <t xml:space="preserve">3</t>
    </r>
    <r>
      <rPr>
        <sz val="10"/>
        <rFont val="WenQuanYi Zen Hei"/>
        <family val="2"/>
      </rPr>
      <t xml:space="preserve">領域・対象者を解説【</t>
    </r>
    <r>
      <rPr>
        <sz val="10"/>
        <rFont val="Meiryo UI"/>
        <family val="0"/>
        <charset val="1"/>
      </rPr>
      <t xml:space="preserve">2027</t>
    </r>
    <r>
      <rPr>
        <sz val="10"/>
        <rFont val="WenQuanYi Zen Hei"/>
        <family val="2"/>
      </rPr>
      <t xml:space="preserve">年新設】</t>
    </r>
  </si>
  <si>
    <t xml:space="preserve">記事末：レバテックダイレクト（ソフト導線）</t>
  </si>
  <si>
    <t xml:space="preserve">/annual-holidays-few-job-posting-warning/</t>
  </si>
  <si>
    <t xml:space="preserve">求人票の危険ワード</t>
  </si>
  <si>
    <r>
      <rPr>
        <sz val="10"/>
        <rFont val="WenQuanYi Zen Hei"/>
        <family val="2"/>
      </rPr>
      <t xml:space="preserve">年間休日 少ない 後悔（</t>
    </r>
    <r>
      <rPr>
        <sz val="10"/>
        <rFont val="Meiryo UI"/>
        <family val="0"/>
        <charset val="1"/>
      </rPr>
      <t xml:space="preserve">42</t>
    </r>
    <r>
      <rPr>
        <sz val="10"/>
        <rFont val="WenQuanYi Zen Hei"/>
        <family val="2"/>
      </rPr>
      <t xml:space="preserve">表示・</t>
    </r>
    <r>
      <rPr>
        <sz val="10"/>
        <rFont val="Meiryo UI"/>
        <family val="0"/>
        <charset val="1"/>
      </rPr>
      <t xml:space="preserve">8.6</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就業規則 年間休日 記載 なし（</t>
    </r>
    <r>
      <rPr>
        <sz val="10"/>
        <rFont val="Meiryo UI"/>
        <family val="0"/>
        <charset val="1"/>
      </rPr>
      <t xml:space="preserve">37</t>
    </r>
    <r>
      <rPr>
        <sz val="10"/>
        <rFont val="WenQuanYi Zen Hei"/>
        <family val="2"/>
      </rPr>
      <t xml:space="preserve">表示・</t>
    </r>
    <r>
      <rPr>
        <sz val="10"/>
        <rFont val="Meiryo UI"/>
        <family val="0"/>
        <charset val="1"/>
      </rPr>
      <t xml:space="preserve">15.1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年間休日書いてない求人（</t>
    </r>
    <r>
      <rPr>
        <sz val="10"/>
        <rFont val="Meiryo UI"/>
        <family val="0"/>
        <charset val="1"/>
      </rPr>
      <t xml:space="preserve">27</t>
    </r>
    <r>
      <rPr>
        <sz val="10"/>
        <rFont val="WenQuanYi Zen Hei"/>
        <family val="2"/>
      </rPr>
      <t xml:space="preserve">表示・</t>
    </r>
    <r>
      <rPr>
        <sz val="10"/>
        <rFont val="Meiryo UI"/>
        <family val="0"/>
        <charset val="1"/>
      </rPr>
      <t xml:space="preserve">2.4</t>
    </r>
    <r>
      <rPr>
        <sz val="10"/>
        <rFont val="WenQuanYi Zen Hei"/>
        <family val="2"/>
      </rPr>
      <t xml:space="preserve">位・</t>
    </r>
    <r>
      <rPr>
        <sz val="10"/>
        <rFont val="Meiryo UI"/>
        <family val="0"/>
        <charset val="1"/>
      </rPr>
      <t xml:space="preserve">CTR18.5%</t>
    </r>
    <r>
      <rPr>
        <sz val="10"/>
        <rFont val="WenQuanYi Zen Hei"/>
        <family val="2"/>
      </rPr>
      <t xml:space="preserve">）</t>
    </r>
  </si>
  <si>
    <r>
      <rPr>
        <sz val="10"/>
        <rFont val="Meiryo UI"/>
        <family val="0"/>
        <charset val="1"/>
      </rPr>
      <t xml:space="preserve">6.6</t>
    </r>
    <r>
      <rPr>
        <sz val="10"/>
        <rFont val="WenQuanYi Zen Hei"/>
        <family val="2"/>
      </rPr>
      <t xml:space="preserve">位・</t>
    </r>
    <r>
      <rPr>
        <sz val="10"/>
        <rFont val="Meiryo UI"/>
        <family val="0"/>
        <charset val="1"/>
      </rPr>
      <t xml:space="preserve">CTR2.6%</t>
    </r>
    <r>
      <rPr>
        <sz val="10"/>
        <rFont val="WenQuanYi Zen Hei"/>
        <family val="2"/>
      </rPr>
      <t xml:space="preserve">、日次クリック</t>
    </r>
    <r>
      <rPr>
        <sz val="10"/>
        <rFont val="Meiryo UI"/>
        <family val="0"/>
        <charset val="1"/>
      </rPr>
      <t xml:space="preserve">1.2→0.7</t>
    </r>
    <r>
      <rPr>
        <sz val="10"/>
        <rFont val="WenQuanYi Zen Hei"/>
        <family val="2"/>
      </rPr>
      <t xml:space="preserve">に減少。「年間休日 書いてない求人」は</t>
    </r>
    <r>
      <rPr>
        <sz val="10"/>
        <rFont val="Meiryo UI"/>
        <family val="0"/>
        <charset val="1"/>
      </rPr>
      <t xml:space="preserve">2.4</t>
    </r>
    <r>
      <rPr>
        <sz val="10"/>
        <rFont val="WenQuanYi Zen Hei"/>
        <family val="2"/>
      </rPr>
      <t xml:space="preserve">位と強いが、「年間休日 少ない 後悔」</t>
    </r>
    <r>
      <rPr>
        <sz val="10"/>
        <rFont val="Meiryo UI"/>
        <family val="0"/>
        <charset val="1"/>
      </rPr>
      <t xml:space="preserve">42</t>
    </r>
    <r>
      <rPr>
        <sz val="10"/>
        <rFont val="WenQuanYi Zen Hei"/>
        <family val="2"/>
      </rPr>
      <t xml:space="preserve">表示</t>
    </r>
    <r>
      <rPr>
        <sz val="10"/>
        <rFont val="Meiryo UI"/>
        <family val="0"/>
        <charset val="1"/>
      </rPr>
      <t xml:space="preserve">8.6</t>
    </r>
    <r>
      <rPr>
        <sz val="10"/>
        <rFont val="WenQuanYi Zen Hei"/>
        <family val="2"/>
      </rPr>
      <t xml:space="preserve">位でクリック</t>
    </r>
    <r>
      <rPr>
        <sz val="10"/>
        <rFont val="Meiryo UI"/>
        <family val="0"/>
        <charset val="1"/>
      </rPr>
      <t xml:space="preserve">0</t>
    </r>
    <r>
      <rPr>
        <sz val="10"/>
        <rFont val="WenQuanYi Zen Hei"/>
        <family val="2"/>
      </rPr>
      <t xml:space="preserve">。</t>
    </r>
  </si>
  <si>
    <r>
      <rPr>
        <sz val="10"/>
        <rFont val="WenQuanYi Zen Hei"/>
        <family val="2"/>
      </rPr>
      <t xml:space="preserve">【求人票の危険ワード】競合相手：</t>
    </r>
    <r>
      <rPr>
        <sz val="10"/>
        <rFont val="Meiryo UI"/>
        <family val="0"/>
        <charset val="1"/>
      </rPr>
      <t xml:space="preserve">/athome-kyujin-black-tensyoku/</t>
    </r>
    <r>
      <rPr>
        <sz val="10"/>
        <rFont val="WenQuanYi Zen Hei"/>
        <family val="2"/>
      </rPr>
      <t xml:space="preserve">、</t>
    </r>
    <r>
      <rPr>
        <sz val="10"/>
        <rFont val="Meiryo UI"/>
        <family val="0"/>
        <charset val="1"/>
      </rPr>
      <t xml:space="preserve">/tairyo-boshu-kyujin-black-kigyo/</t>
    </r>
    <r>
      <rPr>
        <sz val="10"/>
        <rFont val="WenQuanYi Zen Hei"/>
        <family val="2"/>
      </rPr>
      <t xml:space="preserve">、</t>
    </r>
    <r>
      <rPr>
        <sz val="10"/>
        <rFont val="Meiryo UI"/>
        <family val="0"/>
        <charset val="1"/>
      </rPr>
      <t xml:space="preserve">/kanbu-kouho-kyuujin-black/</t>
    </r>
    <r>
      <rPr>
        <sz val="10"/>
        <rFont val="WenQuanYi Zen Hei"/>
        <family val="2"/>
      </rPr>
      <t xml:space="preserve">、</t>
    </r>
    <r>
      <rPr>
        <sz val="10"/>
        <rFont val="Meiryo UI"/>
        <family val="0"/>
        <charset val="1"/>
      </rPr>
      <t xml:space="preserve">/job-posting-high-salary-black-company-warning/</t>
    </r>
    <r>
      <rPr>
        <sz val="10"/>
        <rFont val="WenQuanYi Zen Hei"/>
        <family val="2"/>
      </rPr>
      <t xml:space="preserve">、</t>
    </r>
    <r>
      <rPr>
        <sz val="10"/>
        <rFont val="Meiryo UI"/>
        <family val="0"/>
        <charset val="1"/>
      </rPr>
      <t xml:space="preserve">/kyuujinhyou-aimai-hyougen-black/</t>
    </r>
  </si>
  <si>
    <t xml:space="preserve">「少なくて後悔した例」「書いてない時の確認方法」の見出しを強化。</t>
  </si>
  <si>
    <t xml:space="preserve">【案】年間休日が少ない・書いてない求人は要注意？人事が教える確認ポイント</t>
  </si>
  <si>
    <t xml:space="preserve">「確認方法」：口コミで実際の休日・残業を確認→転職会議</t>
  </si>
  <si>
    <t xml:space="preserve">/direct-application-vs-agent/</t>
  </si>
  <si>
    <t xml:space="preserve">応募経路</t>
  </si>
  <si>
    <r>
      <rPr>
        <sz val="10"/>
        <rFont val="WenQuanYi Zen Hei"/>
        <family val="2"/>
      </rPr>
      <t xml:space="preserve">転職サイト 直接応募 どっち（</t>
    </r>
    <r>
      <rPr>
        <sz val="10"/>
        <rFont val="Meiryo UI"/>
        <family val="0"/>
        <charset val="1"/>
      </rPr>
      <t xml:space="preserve">167</t>
    </r>
    <r>
      <rPr>
        <sz val="10"/>
        <rFont val="WenQuanYi Zen Hei"/>
        <family val="2"/>
      </rPr>
      <t xml:space="preserve">表示・</t>
    </r>
    <r>
      <rPr>
        <sz val="10"/>
        <rFont val="Meiryo UI"/>
        <family val="0"/>
        <charset val="1"/>
      </rPr>
      <t xml:space="preserve">44.5</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転職エージェント 直接応募（</t>
    </r>
    <r>
      <rPr>
        <sz val="10"/>
        <rFont val="Meiryo UI"/>
        <family val="0"/>
        <charset val="1"/>
      </rPr>
      <t xml:space="preserve">131</t>
    </r>
    <r>
      <rPr>
        <sz val="10"/>
        <rFont val="WenQuanYi Zen Hei"/>
        <family val="2"/>
      </rPr>
      <t xml:space="preserve">表示・</t>
    </r>
    <r>
      <rPr>
        <sz val="10"/>
        <rFont val="Meiryo UI"/>
        <family val="0"/>
        <charset val="1"/>
      </rPr>
      <t xml:space="preserve">53.9</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転職エージェント 直接応募 併用（</t>
    </r>
    <r>
      <rPr>
        <sz val="10"/>
        <rFont val="Meiryo UI"/>
        <family val="0"/>
        <charset val="1"/>
      </rPr>
      <t xml:space="preserve">117</t>
    </r>
    <r>
      <rPr>
        <sz val="10"/>
        <rFont val="WenQuanYi Zen Hei"/>
        <family val="2"/>
      </rPr>
      <t xml:space="preserve">表示・</t>
    </r>
    <r>
      <rPr>
        <sz val="10"/>
        <rFont val="Meiryo UI"/>
        <family val="0"/>
        <charset val="1"/>
      </rPr>
      <t xml:space="preserve">46.4</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</si>
  <si>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38.9</t>
    </r>
    <r>
      <rPr>
        <sz val="10"/>
        <rFont val="WenQuanYi Zen Hei"/>
        <family val="2"/>
      </rPr>
      <t xml:space="preserve">位・</t>
    </r>
    <r>
      <rPr>
        <sz val="10"/>
        <rFont val="Meiryo UI"/>
        <family val="0"/>
        <charset val="1"/>
      </rPr>
      <t xml:space="preserve">999</t>
    </r>
    <r>
      <rPr>
        <sz val="10"/>
        <rFont val="WenQuanYi Zen Hei"/>
        <family val="2"/>
      </rPr>
      <t xml:space="preserve">表示・クリック</t>
    </r>
    <r>
      <rPr>
        <sz val="10"/>
        <rFont val="Meiryo UI"/>
        <family val="0"/>
        <charset val="1"/>
      </rPr>
      <t xml:space="preserve">2</t>
    </r>
    <r>
      <rPr>
        <sz val="10"/>
        <rFont val="WenQuanYi Zen Hei"/>
        <family val="2"/>
      </rPr>
      <t xml:space="preserve">。「直接応募 どっち」系（計</t>
    </r>
    <r>
      <rPr>
        <sz val="10"/>
        <rFont val="Meiryo UI"/>
        <family val="0"/>
        <charset val="1"/>
      </rPr>
      <t xml:space="preserve">500</t>
    </r>
    <r>
      <rPr>
        <sz val="10"/>
        <rFont val="WenQuanYi Zen Hei"/>
        <family val="2"/>
      </rPr>
      <t xml:space="preserve">表示超）が</t>
    </r>
    <r>
      <rPr>
        <sz val="10"/>
        <rFont val="Meiryo UI"/>
        <family val="0"/>
        <charset val="1"/>
      </rPr>
      <t xml:space="preserve">40</t>
    </r>
    <r>
      <rPr>
        <sz val="10"/>
        <rFont val="WenQuanYi Zen Hei"/>
        <family val="2"/>
      </rPr>
      <t xml:space="preserve">〜</t>
    </r>
    <r>
      <rPr>
        <sz val="10"/>
        <rFont val="Meiryo UI"/>
        <family val="0"/>
        <charset val="1"/>
      </rPr>
      <t xml:space="preserve">54</t>
    </r>
    <r>
      <rPr>
        <sz val="10"/>
        <rFont val="WenQuanYi Zen Hei"/>
        <family val="2"/>
      </rPr>
      <t xml:space="preserve">位。</t>
    </r>
    <r>
      <rPr>
        <sz val="10"/>
        <rFont val="Meiryo UI"/>
        <family val="0"/>
        <charset val="1"/>
      </rPr>
      <t xml:space="preserve">/application-route-comparison/</t>
    </r>
    <r>
      <rPr>
        <sz val="10"/>
        <rFont val="WenQuanYi Zen Hei"/>
        <family val="2"/>
      </rPr>
      <t xml:space="preserve">（</t>
    </r>
    <r>
      <rPr>
        <sz val="10"/>
        <rFont val="Meiryo UI"/>
        <family val="0"/>
        <charset val="1"/>
      </rPr>
      <t xml:space="preserve">8.8</t>
    </r>
    <r>
      <rPr>
        <sz val="10"/>
        <rFont val="WenQuanYi Zen Hei"/>
        <family val="2"/>
      </rPr>
      <t xml:space="preserve">位）と意図が重複し、評価が割れている。</t>
    </r>
  </si>
  <si>
    <r>
      <rPr>
        <sz val="10"/>
        <rFont val="WenQuanYi Zen Hei"/>
        <family val="2"/>
      </rPr>
      <t xml:space="preserve">【応募経路】競合相手：</t>
    </r>
    <r>
      <rPr>
        <sz val="10"/>
        <rFont val="Meiryo UI"/>
        <family val="0"/>
        <charset val="1"/>
      </rPr>
      <t xml:space="preserve">/application-route-comparison/</t>
    </r>
  </si>
  <si>
    <r>
      <rPr>
        <sz val="10"/>
        <rFont val="WenQuanYi Zen Hei"/>
        <family val="2"/>
      </rPr>
      <t xml:space="preserve">【統合対象】</t>
    </r>
    <r>
      <rPr>
        <sz val="10"/>
        <rFont val="Meiryo UI"/>
        <family val="0"/>
        <charset val="1"/>
      </rPr>
      <t xml:space="preserve">/application-route-comparison/</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リダイレクト。本記事に来ている「直接応募 どっち／併用」の需要は、統合先のタイトル・見出しで取る。</t>
    </r>
  </si>
  <si>
    <r>
      <rPr>
        <sz val="10"/>
        <rFont val="WenQuanYi Zen Hei"/>
        <family val="2"/>
      </rPr>
      <t xml:space="preserve">統合先（</t>
    </r>
    <r>
      <rPr>
        <sz val="10"/>
        <rFont val="Meiryo UI"/>
        <family val="0"/>
        <charset val="1"/>
      </rPr>
      <t xml:space="preserve">/application-route-comparison/</t>
    </r>
    <r>
      <rPr>
        <sz val="10"/>
        <rFont val="WenQuanYi Zen Hei"/>
        <family val="2"/>
      </rPr>
      <t xml:space="preserve">）のタイトル案：転職は直接応募とエージェントどっちが有利？採用担当が本音で比較</t>
    </r>
  </si>
  <si>
    <t xml:space="preserve">統合するため設置しない（統合先の記事で設置）。</t>
  </si>
  <si>
    <r>
      <rPr>
        <sz val="10"/>
        <rFont val="WenQuanYi Zen Hei"/>
        <family val="2"/>
      </rPr>
      <t xml:space="preserve">リクルートエージェント</t>
    </r>
    <r>
      <rPr>
        <sz val="10"/>
        <rFont val="Meiryo UI"/>
        <family val="0"/>
        <charset val="1"/>
      </rPr>
      <t xml:space="preserve">(VC)/</t>
    </r>
    <r>
      <rPr>
        <sz val="10"/>
        <rFont val="WenQuanYi Zen Hei"/>
        <family val="2"/>
      </rPr>
      <t xml:space="preserve">リクナビ</t>
    </r>
    <r>
      <rPr>
        <sz val="10"/>
        <rFont val="Meiryo UI"/>
        <family val="0"/>
        <charset val="1"/>
      </rPr>
      <t xml:space="preserve">NEXT(VC)</t>
    </r>
  </si>
  <si>
    <t xml:space="preserve">来月</t>
  </si>
  <si>
    <t xml:space="preserve">/shokumukeirekisho-ai-chatgpt-sakusei/</t>
  </si>
  <si>
    <r>
      <rPr>
        <sz val="10"/>
        <rFont val="WenQuanYi Zen Hei"/>
        <family val="2"/>
      </rPr>
      <t xml:space="preserve">平均</t>
    </r>
    <r>
      <rPr>
        <sz val="10"/>
        <rFont val="Meiryo UI"/>
        <family val="0"/>
        <charset val="1"/>
      </rPr>
      <t xml:space="preserve">13.4</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</si>
  <si>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r>
      <rPr>
        <sz val="10"/>
        <rFont val="WenQuanYi Zen Hei"/>
        <family val="2"/>
      </rPr>
      <t xml:space="preserve">【</t>
    </r>
    <r>
      <rPr>
        <sz val="10"/>
        <rFont val="Meiryo UI"/>
        <family val="0"/>
        <charset val="1"/>
      </rPr>
      <t xml:space="preserve">AI</t>
    </r>
    <r>
      <rPr>
        <sz val="10"/>
        <rFont val="WenQuanYi Zen Hei"/>
        <family val="2"/>
      </rPr>
      <t xml:space="preserve">応募書類】競合相手：</t>
    </r>
    <r>
      <rPr>
        <sz val="10"/>
        <rFont val="Meiryo UI"/>
        <family val="0"/>
        <charset val="1"/>
      </rPr>
      <t xml:space="preserve">/rirekisho-ai-bareru/</t>
    </r>
    <r>
      <rPr>
        <sz val="10"/>
        <rFont val="WenQuanYi Zen Hei"/>
        <family val="2"/>
      </rPr>
      <t xml:space="preserve">、</t>
    </r>
    <r>
      <rPr>
        <sz val="10"/>
        <rFont val="Meiryo UI"/>
        <family val="0"/>
        <charset val="1"/>
      </rPr>
      <t xml:space="preserve">/ai-buntai-rirekisho-syokumukerekisho/</t>
    </r>
    <r>
      <rPr>
        <sz val="10"/>
        <rFont val="WenQuanYi Zen Hei"/>
        <family val="2"/>
      </rPr>
      <t xml:space="preserve">、</t>
    </r>
    <r>
      <rPr>
        <sz val="10"/>
        <rFont val="Meiryo UI"/>
        <family val="0"/>
        <charset val="1"/>
      </rPr>
      <t xml:space="preserve">/ai-mensetsu-shorui-senko/</t>
    </r>
  </si>
  <si>
    <r>
      <rPr>
        <sz val="10"/>
        <rFont val="WenQuanYi Zen Hei"/>
        <family val="2"/>
      </rPr>
      <t xml:space="preserve">【差別化して残す】担当：</t>
    </r>
    <r>
      <rPr>
        <sz val="10"/>
        <rFont val="Meiryo UI"/>
        <family val="0"/>
        <charset val="1"/>
      </rPr>
      <t xml:space="preserve">ChatGPT</t>
    </r>
    <r>
      <rPr>
        <sz val="10"/>
        <rFont val="WenQuanYi Zen Hei"/>
        <family val="2"/>
      </rPr>
      <t xml:space="preserve">で職務経歴書を作る手順・プロンプト例だけを担当。タイトルから「バレる」を外す。親記事（</t>
    </r>
    <r>
      <rPr>
        <sz val="10"/>
        <rFont val="Meiryo UI"/>
        <family val="0"/>
        <charset val="1"/>
      </rPr>
      <t xml:space="preserve">/rirekisho-ai-bareru/</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1</t>
    </r>
    <r>
      <rPr>
        <sz val="10"/>
        <rFont val="WenQuanYi Zen Hei"/>
        <family val="2"/>
      </rPr>
      <t xml:space="preserve">ページ目の手前。記事の主要キーワード（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</si>
  <si>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順位の改善が先。タイトルの変更は後回し。</t>
  </si>
  <si>
    <r>
      <rPr>
        <sz val="10"/>
        <rFont val="WenQuanYi Zen Hei"/>
        <family val="2"/>
      </rPr>
      <t xml:space="preserve">「自分で直すのが難しい人へ」の見出しで、エージェントの無料書類添削・面接対策を紹介→リクルートエージェント</t>
    </r>
    <r>
      <rPr>
        <sz val="10"/>
        <rFont val="Meiryo UI"/>
        <family val="0"/>
        <charset val="1"/>
      </rPr>
      <t xml:space="preserve">(VC)</t>
    </r>
    <r>
      <rPr>
        <sz val="10"/>
        <rFont val="WenQuanYi Zen Hei"/>
        <family val="2"/>
      </rPr>
      <t xml:space="preserve">。</t>
    </r>
  </si>
  <si>
    <t xml:space="preserve">自動診断</t>
  </si>
  <si>
    <t xml:space="preserve">/ai-mensetsu-shorui-senko/</t>
  </si>
  <si>
    <r>
      <rPr>
        <sz val="10"/>
        <rFont val="Meiryo UI"/>
        <family val="0"/>
        <charset val="1"/>
      </rPr>
      <t xml:space="preserve">8.1</t>
    </r>
    <r>
      <rPr>
        <sz val="10"/>
        <rFont val="WenQuanYi Zen Hei"/>
        <family val="2"/>
      </rPr>
      <t xml:space="preserve">位・</t>
    </r>
    <r>
      <rPr>
        <sz val="10"/>
        <rFont val="Meiryo UI"/>
        <family val="0"/>
        <charset val="1"/>
      </rPr>
      <t xml:space="preserve">CTR3.1%</t>
    </r>
    <r>
      <rPr>
        <sz val="10"/>
        <rFont val="WenQuanYi Zen Hei"/>
        <family val="2"/>
      </rPr>
      <t xml:space="preserve">で水準並み以上。</t>
    </r>
  </si>
  <si>
    <r>
      <rPr>
        <sz val="10"/>
        <rFont val="WenQuanYi Zen Hei"/>
        <family val="2"/>
      </rPr>
      <t xml:space="preserve">【</t>
    </r>
    <r>
      <rPr>
        <sz val="10"/>
        <rFont val="Meiryo UI"/>
        <family val="0"/>
        <charset val="1"/>
      </rPr>
      <t xml:space="preserve">AI</t>
    </r>
    <r>
      <rPr>
        <sz val="10"/>
        <rFont val="WenQuanYi Zen Hei"/>
        <family val="2"/>
      </rPr>
      <t xml:space="preserve">応募書類】競合相手：</t>
    </r>
    <r>
      <rPr>
        <sz val="10"/>
        <rFont val="Meiryo UI"/>
        <family val="0"/>
        <charset val="1"/>
      </rPr>
      <t xml:space="preserve">/rirekisho-ai-bareru/</t>
    </r>
    <r>
      <rPr>
        <sz val="10"/>
        <rFont val="WenQuanYi Zen Hei"/>
        <family val="2"/>
      </rPr>
      <t xml:space="preserve">、</t>
    </r>
    <r>
      <rPr>
        <sz val="10"/>
        <rFont val="Meiryo UI"/>
        <family val="0"/>
        <charset val="1"/>
      </rPr>
      <t xml:space="preserve">/shokumukeirekisho-ai-chatgpt-sakusei/</t>
    </r>
    <r>
      <rPr>
        <sz val="10"/>
        <rFont val="WenQuanYi Zen Hei"/>
        <family val="2"/>
      </rPr>
      <t xml:space="preserve">、</t>
    </r>
    <r>
      <rPr>
        <sz val="10"/>
        <rFont val="Meiryo UI"/>
        <family val="0"/>
        <charset val="1"/>
      </rPr>
      <t xml:space="preserve">/ai-buntai-rirekisho-syokumukerekisho/</t>
    </r>
  </si>
  <si>
    <r>
      <rPr>
        <sz val="10"/>
        <rFont val="WenQuanYi Zen Hei"/>
        <family val="2"/>
      </rPr>
      <t xml:space="preserve">【差別化して残す】担当：企業側が</t>
    </r>
    <r>
      <rPr>
        <sz val="10"/>
        <rFont val="Meiryo UI"/>
        <family val="0"/>
        <charset val="1"/>
      </rPr>
      <t xml:space="preserve">AI</t>
    </r>
    <r>
      <rPr>
        <sz val="10"/>
        <rFont val="WenQuanYi Zen Hei"/>
        <family val="2"/>
      </rPr>
      <t xml:space="preserve">で面接・書類選考をする話だけを担当。親記事（</t>
    </r>
    <r>
      <rPr>
        <sz val="10"/>
        <rFont val="Meiryo UI"/>
        <family val="0"/>
        <charset val="1"/>
      </rPr>
      <t xml:space="preserve">/rirekisho-ai-bareru/</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ページ目。本文は大きく変えず、導線の設置を優先。</t>
    </r>
  </si>
  <si>
    <t xml:space="preserve">大きな変更は不要。</t>
  </si>
  <si>
    <t xml:space="preserve">/tensyoku-kigyou-kenkyuu/</t>
  </si>
  <si>
    <t xml:space="preserve">企業研究のやり方</t>
  </si>
  <si>
    <r>
      <rPr>
        <sz val="10"/>
        <rFont val="WenQuanYi Zen Hei"/>
        <family val="2"/>
      </rPr>
      <t xml:space="preserve">平均</t>
    </r>
    <r>
      <rPr>
        <sz val="10"/>
        <rFont val="Meiryo UI"/>
        <family val="0"/>
        <charset val="1"/>
      </rPr>
      <t xml:space="preserve">11.7</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</si>
  <si>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r>
      <rPr>
        <sz val="10"/>
        <rFont val="WenQuanYi Zen Hei"/>
        <family val="2"/>
      </rPr>
      <t xml:space="preserve">【企業研究のやり方】競合相手：</t>
    </r>
    <r>
      <rPr>
        <sz val="10"/>
        <rFont val="Meiryo UI"/>
        <family val="0"/>
        <charset val="1"/>
      </rPr>
      <t xml:space="preserve">/tenshoku-kigyou-kenkyu-yarikata/</t>
    </r>
  </si>
  <si>
    <r>
      <rPr>
        <sz val="10"/>
        <rFont val="WenQuanYi Zen Hei"/>
        <family val="2"/>
      </rPr>
      <t xml:space="preserve">【親記事（統合先）】担当：転職の企業研究のやり方。統合する子記事の固有情報を取り込み、同グループの記事から内部リンクを集める。
</t>
    </r>
    <r>
      <rPr>
        <sz val="10"/>
        <rFont val="Meiryo UI"/>
        <family val="0"/>
        <charset val="1"/>
      </rPr>
      <t xml:space="preserve">1</t>
    </r>
    <r>
      <rPr>
        <sz val="10"/>
        <rFont val="WenQuanYi Zen Hei"/>
        <family val="2"/>
      </rPr>
      <t xml:space="preserve">ページ目の手前。記事の主要キーワード（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</si>
  <si>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「自分で直すのが難しい人へ」の見出しで、エージェントの無料書類添削・面接対策を紹介→転職会議</t>
    </r>
    <r>
      <rPr>
        <sz val="10"/>
        <rFont val="Meiryo UI"/>
        <family val="0"/>
        <charset val="1"/>
      </rPr>
      <t xml:space="preserve">(VC)</t>
    </r>
    <r>
      <rPr>
        <sz val="10"/>
        <rFont val="WenQuanYi Zen Hei"/>
        <family val="2"/>
      </rPr>
      <t xml:space="preserve">。</t>
    </r>
  </si>
  <si>
    <t xml:space="preserve">/application-route-comparison/</t>
  </si>
  <si>
    <r>
      <rPr>
        <sz val="10"/>
        <rFont val="WenQuanYi Zen Hei"/>
        <family val="2"/>
      </rPr>
      <t xml:space="preserve">応募経路とは（</t>
    </r>
    <r>
      <rPr>
        <sz val="10"/>
        <rFont val="Meiryo UI"/>
        <family val="0"/>
        <charset val="1"/>
      </rPr>
      <t xml:space="preserve">26</t>
    </r>
    <r>
      <rPr>
        <sz val="10"/>
        <rFont val="WenQuanYi Zen Hei"/>
        <family val="2"/>
      </rPr>
      <t xml:space="preserve">表示・</t>
    </r>
    <r>
      <rPr>
        <sz val="10"/>
        <rFont val="Meiryo UI"/>
        <family val="0"/>
        <charset val="1"/>
      </rPr>
      <t xml:space="preserve">10.6</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</si>
  <si>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8.8</t>
    </r>
    <r>
      <rPr>
        <sz val="10"/>
        <rFont val="WenQuanYi Zen Hei"/>
        <family val="2"/>
      </rPr>
      <t xml:space="preserve">位・</t>
    </r>
    <r>
      <rPr>
        <sz val="10"/>
        <rFont val="Meiryo UI"/>
        <family val="0"/>
        <charset val="1"/>
      </rPr>
      <t xml:space="preserve">3</t>
    </r>
    <r>
      <rPr>
        <sz val="10"/>
        <rFont val="WenQuanYi Zen Hei"/>
        <family val="2"/>
      </rPr>
      <t xml:space="preserve">か月</t>
    </r>
    <r>
      <rPr>
        <sz val="10"/>
        <rFont val="Meiryo UI"/>
        <family val="0"/>
        <charset val="1"/>
      </rPr>
      <t xml:space="preserve">85</t>
    </r>
    <r>
      <rPr>
        <sz val="10"/>
        <rFont val="WenQuanYi Zen Hei"/>
        <family val="2"/>
      </rPr>
      <t xml:space="preserve">表示と小さいが、同じ意図の</t>
    </r>
    <r>
      <rPr>
        <sz val="10"/>
        <rFont val="Meiryo UI"/>
        <family val="0"/>
        <charset val="1"/>
      </rPr>
      <t xml:space="preserve">/direct-application-vs-agent/</t>
    </r>
    <r>
      <rPr>
        <sz val="10"/>
        <rFont val="WenQuanYi Zen Hei"/>
        <family val="2"/>
      </rPr>
      <t xml:space="preserve">（</t>
    </r>
    <r>
      <rPr>
        <sz val="10"/>
        <rFont val="Meiryo UI"/>
        <family val="0"/>
        <charset val="1"/>
      </rPr>
      <t xml:space="preserve">38.9</t>
    </r>
    <r>
      <rPr>
        <sz val="10"/>
        <rFont val="WenQuanYi Zen Hei"/>
        <family val="2"/>
      </rPr>
      <t xml:space="preserve">位・</t>
    </r>
    <r>
      <rPr>
        <sz val="10"/>
        <rFont val="Meiryo UI"/>
        <family val="0"/>
        <charset val="1"/>
      </rPr>
      <t xml:space="preserve">999</t>
    </r>
    <r>
      <rPr>
        <sz val="10"/>
        <rFont val="WenQuanYi Zen Hei"/>
        <family val="2"/>
      </rPr>
      <t xml:space="preserve">表示）より評価が高い。統合で「直接応募 どっち」系（計</t>
    </r>
    <r>
      <rPr>
        <sz val="10"/>
        <rFont val="Meiryo UI"/>
        <family val="0"/>
        <charset val="1"/>
      </rPr>
      <t xml:space="preserve">500</t>
    </r>
    <r>
      <rPr>
        <sz val="10"/>
        <rFont val="WenQuanYi Zen Hei"/>
        <family val="2"/>
      </rPr>
      <t xml:space="preserve">表示超）の受け皿になれる。</t>
    </r>
  </si>
  <si>
    <r>
      <rPr>
        <sz val="10"/>
        <rFont val="WenQuanYi Zen Hei"/>
        <family val="2"/>
      </rPr>
      <t xml:space="preserve">【応募経路】競合相手：</t>
    </r>
    <r>
      <rPr>
        <sz val="10"/>
        <rFont val="Meiryo UI"/>
        <family val="0"/>
        <charset val="1"/>
      </rPr>
      <t xml:space="preserve">/direct-application-vs-agent/</t>
    </r>
  </si>
  <si>
    <r>
      <rPr>
        <sz val="10"/>
        <rFont val="WenQuanYi Zen Hei"/>
        <family val="2"/>
      </rPr>
      <t xml:space="preserve">【親記事（統合先）】</t>
    </r>
    <r>
      <rPr>
        <sz val="10"/>
        <rFont val="Meiryo UI"/>
        <family val="0"/>
        <charset val="1"/>
      </rPr>
      <t xml:space="preserve">direct-application-vs-agent</t>
    </r>
    <r>
      <rPr>
        <sz val="10"/>
        <rFont val="WenQuanYi Zen Hei"/>
        <family val="2"/>
      </rPr>
      <t xml:space="preserve">の内容を取り込み、「どっちが有利？」「併用はアリ？」「企業側から見た違い（採用コスト・選考の扱い）」の見出しで構成。</t>
    </r>
  </si>
  <si>
    <r>
      <rPr>
        <sz val="10"/>
        <rFont val="WenQuanYi Zen Hei"/>
        <family val="2"/>
      </rPr>
      <t xml:space="preserve">【案】転職は直接応募とエージェントどっちが有利？採用担当が本音で比較
【説明文】直接応募とエージェント経由で、企業側の扱いは本当に違うのか。採用コストや選考での見られ方を現役</t>
    </r>
    <r>
      <rPr>
        <sz val="10"/>
        <rFont val="Meiryo UI"/>
        <family val="0"/>
        <charset val="1"/>
      </rPr>
      <t xml:space="preserve">IT</t>
    </r>
    <r>
      <rPr>
        <sz val="10"/>
        <rFont val="WenQuanYi Zen Hei"/>
        <family val="2"/>
      </rPr>
      <t xml:space="preserve">人事が本音で解説。結論は「併用」が最も有利な理由も。</t>
    </r>
  </si>
  <si>
    <r>
      <rPr>
        <sz val="10"/>
        <rFont val="WenQuanYi Zen Hei"/>
        <family val="2"/>
      </rPr>
      <t xml:space="preserve">結論の見出しで「併用」を推奨し、直接応募→リクナビ</t>
    </r>
    <r>
      <rPr>
        <sz val="10"/>
        <rFont val="Meiryo UI"/>
        <family val="0"/>
        <charset val="1"/>
      </rPr>
      <t xml:space="preserve">NEXT</t>
    </r>
    <r>
      <rPr>
        <sz val="10"/>
        <rFont val="WenQuanYi Zen Hei"/>
        <family val="2"/>
      </rPr>
      <t xml:space="preserve">、エージェント→リクルートエージェント（</t>
    </r>
    <r>
      <rPr>
        <sz val="10"/>
        <rFont val="Meiryo UI"/>
        <family val="0"/>
        <charset val="1"/>
      </rPr>
      <t xml:space="preserve">VC</t>
    </r>
    <r>
      <rPr>
        <sz val="10"/>
        <rFont val="WenQuanYi Zen Hei"/>
        <family val="2"/>
      </rPr>
      <t xml:space="preserve">で両方提携済み）。企業側の本音：「エージェント経由は採用コストがかかる分、書類の見方が厳しくなることもある」</t>
    </r>
  </si>
  <si>
    <t xml:space="preserve">/it-tensyoku-syorui-ochiru-riyu/</t>
  </si>
  <si>
    <r>
      <rPr>
        <sz val="10"/>
        <rFont val="WenQuanYi Zen Hei"/>
        <family val="2"/>
      </rPr>
      <t xml:space="preserve">平均</t>
    </r>
    <r>
      <rPr>
        <sz val="10"/>
        <rFont val="Meiryo UI"/>
        <family val="0"/>
        <charset val="1"/>
      </rPr>
      <t xml:space="preserve">23.4</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</si>
  <si>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【書類選考落ち】競合相手：</t>
    </r>
    <r>
      <rPr>
        <sz val="10"/>
        <rFont val="Meiryo UI"/>
        <family val="0"/>
        <charset val="1"/>
      </rPr>
      <t xml:space="preserve">/chuto-syorui-senko-ochiru/</t>
    </r>
    <r>
      <rPr>
        <sz val="10"/>
        <rFont val="WenQuanYi Zen Hei"/>
        <family val="2"/>
      </rPr>
      <t xml:space="preserve">、</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/document-screening-cutoff/</t>
    </r>
    <r>
      <rPr>
        <sz val="10"/>
        <rFont val="WenQuanYi Zen Hei"/>
        <family val="2"/>
      </rPr>
      <t xml:space="preserve">、</t>
    </r>
    <r>
      <rPr>
        <sz val="10"/>
        <rFont val="Meiryo UI"/>
        <family val="0"/>
        <charset val="1"/>
      </rPr>
      <t xml:space="preserve">/document-screening-pass-rate/</t>
    </r>
    <r>
      <rPr>
        <sz val="10"/>
        <rFont val="WenQuanYi Zen Hei"/>
        <family val="2"/>
      </rPr>
      <t xml:space="preserve">、</t>
    </r>
    <r>
      <rPr>
        <sz val="10"/>
        <rFont val="Meiryo UI"/>
        <family val="0"/>
        <charset val="1"/>
      </rPr>
      <t xml:space="preserve">/document-screening-1minute/</t>
    </r>
    <r>
      <rPr>
        <sz val="10"/>
        <rFont val="WenQuanYi Zen Hei"/>
        <family val="2"/>
      </rPr>
      <t xml:space="preserve">ほか</t>
    </r>
  </si>
  <si>
    <r>
      <rPr>
        <sz val="10"/>
        <rFont val="WenQuanYi Zen Hei"/>
        <family val="2"/>
      </rPr>
      <t xml:space="preserve">【差別化して残す】担当：</t>
    </r>
    <r>
      <rPr>
        <sz val="10"/>
        <rFont val="Meiryo UI"/>
        <family val="0"/>
        <charset val="1"/>
      </rPr>
      <t xml:space="preserve">IT</t>
    </r>
    <r>
      <rPr>
        <sz val="10"/>
        <rFont val="WenQuanYi Zen Hei"/>
        <family val="2"/>
      </rPr>
      <t xml:space="preserve">職に特化した書類落ちの理由だけを担当。親記事（</t>
    </r>
    <r>
      <rPr>
        <sz val="10"/>
        <rFont val="Meiryo UI"/>
        <family val="0"/>
        <charset val="1"/>
      </rPr>
      <t xml:space="preserve">/chuto-syorui-senko-ochiru/</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2</t>
    </r>
    <r>
      <rPr>
        <sz val="10"/>
        <rFont val="WenQuanYi Zen Hei"/>
        <family val="2"/>
      </rPr>
      <t xml:space="preserve">ページ目以降。上位記事の見出し構成と比べ、記事の主要キーワード（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を絞り込んで表示クエリを確認）への答えを冒頭に追加。網羅性を補っても上がらなければ統合を検討。</t>
    </r>
  </si>
  <si>
    <t xml:space="preserve">/user-sier-ranking/</t>
  </si>
  <si>
    <r>
      <rPr>
        <sz val="10"/>
        <rFont val="WenQuanYi Zen Hei"/>
        <family val="2"/>
      </rPr>
      <t xml:space="preserve">ユーザー 系 </t>
    </r>
    <r>
      <rPr>
        <sz val="10"/>
        <rFont val="Meiryo UI"/>
        <family val="0"/>
        <charset val="1"/>
      </rPr>
      <t xml:space="preserve">sier </t>
    </r>
    <r>
      <rPr>
        <sz val="10"/>
        <rFont val="WenQuanYi Zen Hei"/>
        <family val="2"/>
      </rPr>
      <t xml:space="preserve">ホワイト ランキング（</t>
    </r>
    <r>
      <rPr>
        <sz val="10"/>
        <rFont val="Meiryo UI"/>
        <family val="0"/>
        <charset val="1"/>
      </rPr>
      <t xml:space="preserve">32</t>
    </r>
    <r>
      <rPr>
        <sz val="10"/>
        <rFont val="WenQuanYi Zen Hei"/>
        <family val="2"/>
      </rPr>
      <t xml:space="preserve">表示・</t>
    </r>
    <r>
      <rPr>
        <sz val="10"/>
        <rFont val="Meiryo UI"/>
        <family val="0"/>
        <charset val="1"/>
      </rPr>
      <t xml:space="preserve">26.3</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ユーザー 系 </t>
    </r>
    <r>
      <rPr>
        <sz val="10"/>
        <rFont val="Meiryo UI"/>
        <family val="0"/>
        <charset val="1"/>
      </rPr>
      <t xml:space="preserve">sier </t>
    </r>
    <r>
      <rPr>
        <sz val="10"/>
        <rFont val="WenQuanYi Zen Hei"/>
        <family val="2"/>
      </rPr>
      <t xml:space="preserve">人気 ランキング（</t>
    </r>
    <r>
      <rPr>
        <sz val="10"/>
        <rFont val="Meiryo UI"/>
        <family val="0"/>
        <charset val="1"/>
      </rPr>
      <t xml:space="preserve">31</t>
    </r>
    <r>
      <rPr>
        <sz val="10"/>
        <rFont val="WenQuanYi Zen Hei"/>
        <family val="2"/>
      </rPr>
      <t xml:space="preserve">表示・</t>
    </r>
    <r>
      <rPr>
        <sz val="10"/>
        <rFont val="Meiryo UI"/>
        <family val="0"/>
        <charset val="1"/>
      </rPr>
      <t xml:space="preserve">29.3</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</si>
  <si>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20.2</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ページ目以降。検索意図とのズレか、内容不足。取りこぼしクエリ：ユーザー 系 </t>
    </r>
    <r>
      <rPr>
        <sz val="10"/>
        <rFont val="Meiryo UI"/>
        <family val="0"/>
        <charset val="1"/>
      </rPr>
      <t xml:space="preserve">sier </t>
    </r>
    <r>
      <rPr>
        <sz val="10"/>
        <rFont val="WenQuanYi Zen Hei"/>
        <family val="2"/>
      </rPr>
      <t xml:space="preserve">ホワイト ランキング（</t>
    </r>
    <r>
      <rPr>
        <sz val="10"/>
        <rFont val="Meiryo UI"/>
        <family val="0"/>
        <charset val="1"/>
      </rPr>
      <t xml:space="preserve">32</t>
    </r>
    <r>
      <rPr>
        <sz val="10"/>
        <rFont val="WenQuanYi Zen Hei"/>
        <family val="2"/>
      </rPr>
      <t xml:space="preserve">表示・</t>
    </r>
    <r>
      <rPr>
        <sz val="10"/>
        <rFont val="Meiryo UI"/>
        <family val="0"/>
        <charset val="1"/>
      </rPr>
      <t xml:space="preserve">26.3</t>
    </r>
    <r>
      <rPr>
        <sz val="10"/>
        <rFont val="WenQuanYi Zen Hei"/>
        <family val="2"/>
      </rPr>
      <t xml:space="preserve">位）。</t>
    </r>
  </si>
  <si>
    <r>
      <rPr>
        <sz val="10"/>
        <rFont val="WenQuanYi Zen Hei"/>
        <family val="2"/>
      </rPr>
      <t xml:space="preserve">【ユーザー系</t>
    </r>
    <r>
      <rPr>
        <sz val="10"/>
        <rFont val="Meiryo UI"/>
        <family val="0"/>
        <charset val="1"/>
      </rPr>
      <t xml:space="preserve">SIer</t>
    </r>
    <r>
      <rPr>
        <sz val="10"/>
        <rFont val="WenQuanYi Zen Hei"/>
        <family val="2"/>
      </rPr>
      <t xml:space="preserve">】競合相手：</t>
    </r>
    <r>
      <rPr>
        <sz val="10"/>
        <rFont val="Meiryo UI"/>
        <family val="0"/>
        <charset val="1"/>
      </rPr>
      <t xml:space="preserve">/user-sier-tier/</t>
    </r>
  </si>
  <si>
    <r>
      <rPr>
        <sz val="10"/>
        <rFont val="WenQuanYi Zen Hei"/>
        <family val="2"/>
      </rPr>
      <t xml:space="preserve">【統合対象】</t>
    </r>
    <r>
      <rPr>
        <sz val="10"/>
        <rFont val="Meiryo UI"/>
        <family val="0"/>
        <charset val="1"/>
      </rPr>
      <t xml:space="preserve">/user-sier-tier/</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user-sier-ranking</t>
    </r>
    <r>
      <rPr>
        <sz val="10"/>
        <rFont val="WenQuanYi Zen Hei"/>
        <family val="2"/>
      </rPr>
      <t xml:space="preserve">を</t>
    </r>
    <r>
      <rPr>
        <sz val="10"/>
        <rFont val="Meiryo UI"/>
        <family val="0"/>
        <charset val="1"/>
      </rPr>
      <t xml:space="preserve">user-sier-tier</t>
    </r>
    <r>
      <rPr>
        <sz val="10"/>
        <rFont val="WenQuanYi Zen Hei"/>
        <family val="2"/>
      </rPr>
      <t xml:space="preserve">へ統合（</t>
    </r>
    <r>
      <rPr>
        <sz val="10"/>
        <rFont val="Meiryo UI"/>
        <family val="0"/>
        <charset val="1"/>
      </rPr>
      <t xml:space="preserve">301</t>
    </r>
    <r>
      <rPr>
        <sz val="10"/>
        <rFont val="WenQuanYi Zen Hei"/>
        <family val="2"/>
      </rPr>
      <t xml:space="preserve">）。</t>
    </r>
    <r>
      <rPr>
        <sz val="10"/>
        <rFont val="Meiryo UI"/>
        <family val="0"/>
        <charset val="1"/>
      </rPr>
      <t xml:space="preserve">tier</t>
    </r>
    <r>
      <rPr>
        <sz val="10"/>
        <rFont val="WenQuanYi Zen Hei"/>
        <family val="2"/>
      </rPr>
      <t xml:space="preserve">記事に「ホワイト・人気ランキング」の見出しを追加。）</t>
    </r>
  </si>
  <si>
    <r>
      <rPr>
        <sz val="10"/>
        <rFont val="Meiryo UI"/>
        <family val="0"/>
        <charset val="1"/>
      </rPr>
      <t xml:space="preserve">-</t>
    </r>
    <r>
      <rPr>
        <sz val="10"/>
        <rFont val="WenQuanYi Zen Hei"/>
        <family val="2"/>
      </rPr>
      <t xml:space="preserve">（統合するため不要）</t>
    </r>
  </si>
  <si>
    <t xml:space="preserve">/tairyo-boshu-kyujin-black-kigyo/</t>
  </si>
  <si>
    <r>
      <rPr>
        <sz val="10"/>
        <rFont val="WenQuanYi Zen Hei"/>
        <family val="2"/>
      </rPr>
      <t xml:space="preserve">大量採用（</t>
    </r>
    <r>
      <rPr>
        <sz val="10"/>
        <rFont val="Meiryo UI"/>
        <family val="0"/>
        <charset val="1"/>
      </rPr>
      <t xml:space="preserve">194</t>
    </r>
    <r>
      <rPr>
        <sz val="10"/>
        <rFont val="WenQuanYi Zen Hei"/>
        <family val="2"/>
      </rPr>
      <t xml:space="preserve">表示・</t>
    </r>
    <r>
      <rPr>
        <sz val="10"/>
        <rFont val="Meiryo UI"/>
        <family val="0"/>
        <charset val="1"/>
      </rPr>
      <t xml:space="preserve">18.6</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大量採用 使い捨て（</t>
    </r>
    <r>
      <rPr>
        <sz val="10"/>
        <rFont val="Meiryo UI"/>
        <family val="0"/>
        <charset val="1"/>
      </rPr>
      <t xml:space="preserve">128</t>
    </r>
    <r>
      <rPr>
        <sz val="10"/>
        <rFont val="WenQuanYi Zen Hei"/>
        <family val="2"/>
      </rPr>
      <t xml:space="preserve">表示・</t>
    </r>
    <r>
      <rPr>
        <sz val="10"/>
        <rFont val="Meiryo UI"/>
        <family val="0"/>
        <charset val="1"/>
      </rPr>
      <t xml:space="preserve">2.3</t>
    </r>
    <r>
      <rPr>
        <sz val="10"/>
        <rFont val="WenQuanYi Zen Hei"/>
        <family val="2"/>
      </rPr>
      <t xml:space="preserve">位・</t>
    </r>
    <r>
      <rPr>
        <sz val="10"/>
        <rFont val="Meiryo UI"/>
        <family val="0"/>
        <charset val="1"/>
      </rPr>
      <t xml:space="preserve">CTR8.6%</t>
    </r>
    <r>
      <rPr>
        <sz val="10"/>
        <rFont val="WenQuanYi Zen Hei"/>
        <family val="2"/>
      </rPr>
      <t xml:space="preserve">） </t>
    </r>
    <r>
      <rPr>
        <sz val="10"/>
        <rFont val="Meiryo UI"/>
        <family val="0"/>
        <charset val="1"/>
      </rPr>
      <t xml:space="preserve">/ </t>
    </r>
    <r>
      <rPr>
        <sz val="10"/>
        <rFont val="WenQuanYi Zen Hei"/>
        <family val="2"/>
      </rPr>
      <t xml:space="preserve">大量採用 求人（</t>
    </r>
    <r>
      <rPr>
        <sz val="10"/>
        <rFont val="Meiryo UI"/>
        <family val="0"/>
        <charset val="1"/>
      </rPr>
      <t xml:space="preserve">72</t>
    </r>
    <r>
      <rPr>
        <sz val="10"/>
        <rFont val="WenQuanYi Zen Hei"/>
        <family val="2"/>
      </rPr>
      <t xml:space="preserve">表示・</t>
    </r>
    <r>
      <rPr>
        <sz val="10"/>
        <rFont val="Meiryo UI"/>
        <family val="0"/>
        <charset val="1"/>
      </rPr>
      <t xml:space="preserve">30.0</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</si>
  <si>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9.4→7.1</t>
    </r>
    <r>
      <rPr>
        <sz val="10"/>
        <rFont val="WenQuanYi Zen Hei"/>
        <family val="2"/>
      </rPr>
      <t xml:space="preserve">位に改善中。「大量採用 使い捨て」</t>
    </r>
    <r>
      <rPr>
        <sz val="10"/>
        <rFont val="Meiryo UI"/>
        <family val="0"/>
        <charset val="1"/>
      </rPr>
      <t xml:space="preserve">128</t>
    </r>
    <r>
      <rPr>
        <sz val="10"/>
        <rFont val="WenQuanYi Zen Hei"/>
        <family val="2"/>
      </rPr>
      <t xml:space="preserve">表示</t>
    </r>
    <r>
      <rPr>
        <sz val="10"/>
        <rFont val="Meiryo UI"/>
        <family val="0"/>
        <charset val="1"/>
      </rPr>
      <t xml:space="preserve">2.3</t>
    </r>
    <r>
      <rPr>
        <sz val="10"/>
        <rFont val="WenQuanYi Zen Hei"/>
        <family val="2"/>
      </rPr>
      <t xml:space="preserve">位</t>
    </r>
    <r>
      <rPr>
        <sz val="10"/>
        <rFont val="Meiryo UI"/>
        <family val="0"/>
        <charset val="1"/>
      </rPr>
      <t xml:space="preserve">CTR9%</t>
    </r>
    <r>
      <rPr>
        <sz val="10"/>
        <rFont val="WenQuanYi Zen Hei"/>
        <family val="2"/>
      </rPr>
      <t xml:space="preserve">は好調、「大量採用」</t>
    </r>
    <r>
      <rPr>
        <sz val="10"/>
        <rFont val="Meiryo UI"/>
        <family val="0"/>
        <charset val="1"/>
      </rPr>
      <t xml:space="preserve">194</t>
    </r>
    <r>
      <rPr>
        <sz val="10"/>
        <rFont val="WenQuanYi Zen Hei"/>
        <family val="2"/>
      </rPr>
      <t xml:space="preserve">表示</t>
    </r>
    <r>
      <rPr>
        <sz val="10"/>
        <rFont val="Meiryo UI"/>
        <family val="0"/>
        <charset val="1"/>
      </rPr>
      <t xml:space="preserve">18.6</t>
    </r>
    <r>
      <rPr>
        <sz val="10"/>
        <rFont val="WenQuanYi Zen Hei"/>
        <family val="2"/>
      </rPr>
      <t xml:space="preserve">位、「大量採用 求人」</t>
    </r>
    <r>
      <rPr>
        <sz val="10"/>
        <rFont val="Meiryo UI"/>
        <family val="0"/>
        <charset val="1"/>
      </rPr>
      <t xml:space="preserve">72</t>
    </r>
    <r>
      <rPr>
        <sz val="10"/>
        <rFont val="WenQuanYi Zen Hei"/>
        <family val="2"/>
      </rPr>
      <t xml:space="preserve">表示</t>
    </r>
    <r>
      <rPr>
        <sz val="10"/>
        <rFont val="Meiryo UI"/>
        <family val="0"/>
        <charset val="1"/>
      </rPr>
      <t xml:space="preserve">30.0</t>
    </r>
    <r>
      <rPr>
        <sz val="10"/>
        <rFont val="WenQuanYi Zen Hei"/>
        <family val="2"/>
      </rPr>
      <t xml:space="preserve">位。</t>
    </r>
  </si>
  <si>
    <r>
      <rPr>
        <sz val="10"/>
        <rFont val="WenQuanYi Zen Hei"/>
        <family val="2"/>
      </rPr>
      <t xml:space="preserve">【求人票の危険ワード】競合相手：</t>
    </r>
    <r>
      <rPr>
        <sz val="10"/>
        <rFont val="Meiryo UI"/>
        <family val="0"/>
        <charset val="1"/>
      </rPr>
      <t xml:space="preserve">/athome-kyujin-black-tensyoku/</t>
    </r>
    <r>
      <rPr>
        <sz val="10"/>
        <rFont val="WenQuanYi Zen Hei"/>
        <family val="2"/>
      </rPr>
      <t xml:space="preserve">、</t>
    </r>
    <r>
      <rPr>
        <sz val="10"/>
        <rFont val="Meiryo UI"/>
        <family val="0"/>
        <charset val="1"/>
      </rPr>
      <t xml:space="preserve">/annual-holidays-few-job-posting-warning/</t>
    </r>
    <r>
      <rPr>
        <sz val="10"/>
        <rFont val="WenQuanYi Zen Hei"/>
        <family val="2"/>
      </rPr>
      <t xml:space="preserve">、</t>
    </r>
    <r>
      <rPr>
        <sz val="10"/>
        <rFont val="Meiryo UI"/>
        <family val="0"/>
        <charset val="1"/>
      </rPr>
      <t xml:space="preserve">/kanbu-kouho-kyuujin-black/</t>
    </r>
    <r>
      <rPr>
        <sz val="10"/>
        <rFont val="WenQuanYi Zen Hei"/>
        <family val="2"/>
      </rPr>
      <t xml:space="preserve">、</t>
    </r>
    <r>
      <rPr>
        <sz val="10"/>
        <rFont val="Meiryo UI"/>
        <family val="0"/>
        <charset val="1"/>
      </rPr>
      <t xml:space="preserve">/job-posting-high-salary-black-company-warning/</t>
    </r>
    <r>
      <rPr>
        <sz val="10"/>
        <rFont val="WenQuanYi Zen Hei"/>
        <family val="2"/>
      </rPr>
      <t xml:space="preserve">、</t>
    </r>
    <r>
      <rPr>
        <sz val="10"/>
        <rFont val="Meiryo UI"/>
        <family val="0"/>
        <charset val="1"/>
      </rPr>
      <t xml:space="preserve">/kyuujinhyou-aimai-hyougen-black/</t>
    </r>
  </si>
  <si>
    <r>
      <rPr>
        <sz val="10"/>
        <rFont val="WenQuanYi Zen Hei"/>
        <family val="2"/>
      </rPr>
      <t xml:space="preserve">「大量採用＝使い捨て？」の見出しを冒頭に。「</t>
    </r>
    <r>
      <rPr>
        <sz val="10"/>
        <rFont val="Meiryo UI"/>
        <family val="0"/>
        <charset val="1"/>
      </rPr>
      <t xml:space="preserve">10</t>
    </r>
    <r>
      <rPr>
        <sz val="10"/>
        <rFont val="WenQuanYi Zen Hei"/>
        <family val="2"/>
      </rPr>
      <t xml:space="preserve">名以上採用・</t>
    </r>
    <r>
      <rPr>
        <sz val="10"/>
        <rFont val="Meiryo UI"/>
        <family val="0"/>
        <charset val="1"/>
      </rPr>
      <t xml:space="preserve">5</t>
    </r>
    <r>
      <rPr>
        <sz val="10"/>
        <rFont val="WenQuanYi Zen Hei"/>
        <family val="2"/>
      </rPr>
      <t xml:space="preserve">名以上採用 やばい」（計</t>
    </r>
    <r>
      <rPr>
        <sz val="10"/>
        <rFont val="Meiryo UI"/>
        <family val="0"/>
        <charset val="1"/>
      </rPr>
      <t xml:space="preserve">80</t>
    </r>
    <r>
      <rPr>
        <sz val="10"/>
        <rFont val="WenQuanYi Zen Hei"/>
        <family val="2"/>
      </rPr>
      <t xml:space="preserve">表示）にも対応。</t>
    </r>
  </si>
  <si>
    <t xml:space="preserve">【案】大量採用・大量募集の求人はやばい？使い捨てされる会社の見分け方を人事が解説</t>
  </si>
  <si>
    <t xml:space="preserve">見分け方の直後→転職会議（離職率・退職理由の口コミ）</t>
  </si>
  <si>
    <t xml:space="preserve">/itpassport-kihonjoho-2027-henkou/</t>
  </si>
  <si>
    <r>
      <rPr>
        <sz val="10"/>
        <rFont val="Meiryo UI"/>
        <family val="0"/>
        <charset val="1"/>
      </rPr>
      <t xml:space="preserve">IT</t>
    </r>
    <r>
      <rPr>
        <sz val="10"/>
        <rFont val="WenQuanYi Zen Hei"/>
        <family val="2"/>
      </rPr>
      <t xml:space="preserve">パスポート・基本情報</t>
    </r>
  </si>
  <si>
    <r>
      <rPr>
        <sz val="10"/>
        <rFont val="WenQuanYi Zen Hei"/>
        <family val="2"/>
      </rPr>
      <t xml:space="preserve">基本情報 </t>
    </r>
    <r>
      <rPr>
        <sz val="10"/>
        <rFont val="Meiryo UI"/>
        <family val="0"/>
        <charset val="1"/>
      </rPr>
      <t xml:space="preserve">2027</t>
    </r>
    <r>
      <rPr>
        <sz val="10"/>
        <rFont val="WenQuanYi Zen Hei"/>
        <family val="2"/>
      </rPr>
      <t xml:space="preserve">年（</t>
    </r>
    <r>
      <rPr>
        <sz val="10"/>
        <rFont val="Meiryo UI"/>
        <family val="0"/>
        <charset val="1"/>
      </rPr>
      <t xml:space="preserve">67</t>
    </r>
    <r>
      <rPr>
        <sz val="10"/>
        <rFont val="WenQuanYi Zen Hei"/>
        <family val="2"/>
      </rPr>
      <t xml:space="preserve">表示・</t>
    </r>
    <r>
      <rPr>
        <sz val="10"/>
        <rFont val="Meiryo UI"/>
        <family val="0"/>
        <charset val="1"/>
      </rPr>
      <t xml:space="preserve">6.3</t>
    </r>
    <r>
      <rPr>
        <sz val="10"/>
        <rFont val="WenQuanYi Zen Hei"/>
        <family val="2"/>
      </rPr>
      <t xml:space="preserve">位・</t>
    </r>
    <r>
      <rPr>
        <sz val="10"/>
        <rFont val="Meiryo UI"/>
        <family val="0"/>
        <charset val="1"/>
      </rPr>
      <t xml:space="preserve">CTR13.4%</t>
    </r>
    <r>
      <rPr>
        <sz val="10"/>
        <rFont val="WenQuanYi Zen Hei"/>
        <family val="2"/>
      </rPr>
      <t xml:space="preserve">） </t>
    </r>
    <r>
      <rPr>
        <sz val="10"/>
        <rFont val="Meiryo UI"/>
        <family val="0"/>
        <charset val="1"/>
      </rPr>
      <t xml:space="preserve">/ </t>
    </r>
    <r>
      <rPr>
        <sz val="10"/>
        <rFont val="WenQuanYi Zen Hei"/>
        <family val="2"/>
      </rPr>
      <t xml:space="preserve">基本情報技術者試験 </t>
    </r>
    <r>
      <rPr>
        <sz val="10"/>
        <rFont val="Meiryo UI"/>
        <family val="0"/>
        <charset val="1"/>
      </rPr>
      <t xml:space="preserve">2027 </t>
    </r>
    <r>
      <rPr>
        <sz val="10"/>
        <rFont val="WenQuanYi Zen Hei"/>
        <family val="2"/>
      </rPr>
      <t xml:space="preserve">変更点（</t>
    </r>
    <r>
      <rPr>
        <sz val="10"/>
        <rFont val="Meiryo UI"/>
        <family val="0"/>
        <charset val="1"/>
      </rPr>
      <t xml:space="preserve">67</t>
    </r>
    <r>
      <rPr>
        <sz val="10"/>
        <rFont val="WenQuanYi Zen Hei"/>
        <family val="2"/>
      </rPr>
      <t xml:space="preserve">表示・</t>
    </r>
    <r>
      <rPr>
        <sz val="10"/>
        <rFont val="Meiryo UI"/>
        <family val="0"/>
        <charset val="1"/>
      </rPr>
      <t xml:space="preserve">10.9</t>
    </r>
    <r>
      <rPr>
        <sz val="10"/>
        <rFont val="WenQuanYi Zen Hei"/>
        <family val="2"/>
      </rPr>
      <t xml:space="preserve">位・</t>
    </r>
    <r>
      <rPr>
        <sz val="10"/>
        <rFont val="Meiryo UI"/>
        <family val="0"/>
        <charset val="1"/>
      </rPr>
      <t xml:space="preserve">CTR3.0%</t>
    </r>
    <r>
      <rPr>
        <sz val="10"/>
        <rFont val="WenQuanYi Zen Hei"/>
        <family val="2"/>
      </rPr>
      <t xml:space="preserve">） </t>
    </r>
    <r>
      <rPr>
        <sz val="10"/>
        <rFont val="Meiryo UI"/>
        <family val="0"/>
        <charset val="1"/>
      </rPr>
      <t xml:space="preserve">/ it</t>
    </r>
    <r>
      <rPr>
        <sz val="10"/>
        <rFont val="WenQuanYi Zen Hei"/>
        <family val="2"/>
      </rPr>
      <t xml:space="preserve">パスポート </t>
    </r>
    <r>
      <rPr>
        <sz val="10"/>
        <rFont val="Meiryo UI"/>
        <family val="0"/>
        <charset val="1"/>
      </rPr>
      <t xml:space="preserve">2027</t>
    </r>
    <r>
      <rPr>
        <sz val="10"/>
        <rFont val="WenQuanYi Zen Hei"/>
        <family val="2"/>
      </rPr>
      <t xml:space="preserve">年 難しくなる（</t>
    </r>
    <r>
      <rPr>
        <sz val="10"/>
        <rFont val="Meiryo UI"/>
        <family val="0"/>
        <charset val="1"/>
      </rPr>
      <t xml:space="preserve">64</t>
    </r>
    <r>
      <rPr>
        <sz val="10"/>
        <rFont val="WenQuanYi Zen Hei"/>
        <family val="2"/>
      </rPr>
      <t xml:space="preserve">表示・</t>
    </r>
    <r>
      <rPr>
        <sz val="10"/>
        <rFont val="Meiryo UI"/>
        <family val="0"/>
        <charset val="1"/>
      </rPr>
      <t xml:space="preserve">5.4</t>
    </r>
    <r>
      <rPr>
        <sz val="10"/>
        <rFont val="WenQuanYi Zen Hei"/>
        <family val="2"/>
      </rPr>
      <t xml:space="preserve">位・</t>
    </r>
    <r>
      <rPr>
        <sz val="10"/>
        <rFont val="Meiryo UI"/>
        <family val="0"/>
        <charset val="1"/>
      </rPr>
      <t xml:space="preserve">CTR4.7%</t>
    </r>
    <r>
      <rPr>
        <sz val="10"/>
        <rFont val="WenQuanYi Zen Hei"/>
        <family val="2"/>
      </rPr>
      <t xml:space="preserve">）</t>
    </r>
  </si>
  <si>
    <r>
      <rPr>
        <sz val="10"/>
        <rFont val="Meiryo UI"/>
        <family val="0"/>
        <charset val="1"/>
      </rPr>
      <t xml:space="preserve">7.0</t>
    </r>
    <r>
      <rPr>
        <sz val="10"/>
        <rFont val="WenQuanYi Zen Hei"/>
        <family val="2"/>
      </rPr>
      <t xml:space="preserve">位・</t>
    </r>
    <r>
      <rPr>
        <sz val="10"/>
        <rFont val="Meiryo UI"/>
        <family val="0"/>
        <charset val="1"/>
      </rPr>
      <t xml:space="preserve">CTR5.1%</t>
    </r>
    <r>
      <rPr>
        <sz val="10"/>
        <rFont val="WenQuanYi Zen Hei"/>
        <family val="2"/>
      </rPr>
      <t xml:space="preserve">で水準並み以上。直近</t>
    </r>
    <r>
      <rPr>
        <sz val="10"/>
        <rFont val="Meiryo UI"/>
        <family val="0"/>
        <charset val="1"/>
      </rPr>
      <t xml:space="preserve">28</t>
    </r>
    <r>
      <rPr>
        <sz val="10"/>
        <rFont val="WenQuanYi Zen Hei"/>
        <family val="2"/>
      </rPr>
      <t xml:space="preserve">日で急伸（クリック</t>
    </r>
    <r>
      <rPr>
        <sz val="10"/>
        <rFont val="Meiryo UI"/>
        <family val="0"/>
        <charset val="1"/>
      </rPr>
      <t xml:space="preserve">/</t>
    </r>
    <r>
      <rPr>
        <sz val="10"/>
        <rFont val="WenQuanYi Zen Hei"/>
        <family val="2"/>
      </rPr>
      <t xml:space="preserve">日 </t>
    </r>
    <r>
      <rPr>
        <sz val="10"/>
        <rFont val="Meiryo UI"/>
        <family val="0"/>
        <charset val="1"/>
      </rPr>
      <t xml:space="preserve">0.6→2.0</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13→36</t>
    </r>
    <r>
      <rPr>
        <sz val="10"/>
        <rFont val="WenQuanYi Zen Hei"/>
        <family val="2"/>
      </rPr>
      <t xml:space="preserve">）。取りこぼしクエリ：基本情報技術者試験 </t>
    </r>
    <r>
      <rPr>
        <sz val="10"/>
        <rFont val="Meiryo UI"/>
        <family val="0"/>
        <charset val="1"/>
      </rPr>
      <t xml:space="preserve">2027 </t>
    </r>
    <r>
      <rPr>
        <sz val="10"/>
        <rFont val="WenQuanYi Zen Hei"/>
        <family val="2"/>
      </rPr>
      <t xml:space="preserve">変更点（</t>
    </r>
    <r>
      <rPr>
        <sz val="10"/>
        <rFont val="Meiryo UI"/>
        <family val="0"/>
        <charset val="1"/>
      </rPr>
      <t xml:space="preserve">67</t>
    </r>
    <r>
      <rPr>
        <sz val="10"/>
        <rFont val="WenQuanYi Zen Hei"/>
        <family val="2"/>
      </rPr>
      <t xml:space="preserve">表示・</t>
    </r>
    <r>
      <rPr>
        <sz val="10"/>
        <rFont val="Meiryo UI"/>
        <family val="0"/>
        <charset val="1"/>
      </rPr>
      <t xml:space="preserve">10.9</t>
    </r>
    <r>
      <rPr>
        <sz val="10"/>
        <rFont val="WenQuanYi Zen Hei"/>
        <family val="2"/>
      </rPr>
      <t xml:space="preserve">位）。</t>
    </r>
  </si>
  <si>
    <r>
      <rPr>
        <sz val="10"/>
        <rFont val="WenQuanYi Zen Hei"/>
        <family val="2"/>
      </rPr>
      <t xml:space="preserve">【</t>
    </r>
    <r>
      <rPr>
        <sz val="10"/>
        <rFont val="Meiryo UI"/>
        <family val="0"/>
        <charset val="1"/>
      </rPr>
      <t xml:space="preserve">IT</t>
    </r>
    <r>
      <rPr>
        <sz val="10"/>
        <rFont val="WenQuanYi Zen Hei"/>
        <family val="2"/>
      </rPr>
      <t xml:space="preserve">パスポート・基本情報】競合相手：</t>
    </r>
    <r>
      <rPr>
        <sz val="10"/>
        <rFont val="Meiryo UI"/>
        <family val="0"/>
        <charset val="1"/>
      </rPr>
      <t xml:space="preserve">/it-passport-iminai/</t>
    </r>
    <r>
      <rPr>
        <sz val="10"/>
        <rFont val="WenQuanYi Zen Hei"/>
        <family val="2"/>
      </rPr>
      <t xml:space="preserve">、</t>
    </r>
    <r>
      <rPr>
        <sz val="10"/>
        <rFont val="Meiryo UI"/>
        <family val="0"/>
        <charset val="1"/>
      </rPr>
      <t xml:space="preserve">/it-passport-kihonjoho-ukaranai/</t>
    </r>
    <r>
      <rPr>
        <sz val="10"/>
        <rFont val="WenQuanYi Zen Hei"/>
        <family val="2"/>
      </rPr>
      <t xml:space="preserve">、</t>
    </r>
    <r>
      <rPr>
        <sz val="10"/>
        <rFont val="Meiryo UI"/>
        <family val="0"/>
        <charset val="1"/>
      </rPr>
      <t xml:space="preserve">/it-passport-kihonjoho-ikashikata/</t>
    </r>
  </si>
  <si>
    <r>
      <rPr>
        <sz val="10"/>
        <rFont val="WenQuanYi Zen Hei"/>
        <family val="2"/>
      </rPr>
      <t xml:space="preserve">【差別化して残す】担当：</t>
    </r>
    <r>
      <rPr>
        <sz val="10"/>
        <rFont val="Meiryo UI"/>
        <family val="0"/>
        <charset val="1"/>
      </rPr>
      <t xml:space="preserve">2027</t>
    </r>
    <r>
      <rPr>
        <sz val="10"/>
        <rFont val="WenQuanYi Zen Hei"/>
        <family val="2"/>
      </rPr>
      <t xml:space="preserve">年の制度変更だけを担当。親記事（</t>
    </r>
    <r>
      <rPr>
        <sz val="10"/>
        <rFont val="Meiryo UI"/>
        <family val="0"/>
        <charset val="1"/>
      </rPr>
      <t xml:space="preserve">/it-passport-iminai/</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ページ目。本文は大きく変えず、「基本情報技術者試験 </t>
    </r>
    <r>
      <rPr>
        <sz val="10"/>
        <rFont val="Meiryo UI"/>
        <family val="0"/>
        <charset val="1"/>
      </rPr>
      <t xml:space="preserve">2027 </t>
    </r>
    <r>
      <rPr>
        <sz val="10"/>
        <rFont val="WenQuanYi Zen Hei"/>
        <family val="2"/>
      </rPr>
      <t xml:space="preserve">変更点」向けの見出し追加と導線の設置に留める。</t>
    </r>
  </si>
  <si>
    <r>
      <rPr>
        <sz val="10"/>
        <rFont val="WenQuanYi Zen Hei"/>
        <family val="2"/>
      </rPr>
      <t xml:space="preserve">大きな変更は不要。タイトルに「基本情報 </t>
    </r>
    <r>
      <rPr>
        <sz val="10"/>
        <rFont val="Meiryo UI"/>
        <family val="0"/>
        <charset val="1"/>
      </rPr>
      <t xml:space="preserve">2027</t>
    </r>
    <r>
      <rPr>
        <sz val="10"/>
        <rFont val="WenQuanYi Zen Hei"/>
        <family val="2"/>
      </rPr>
      <t xml:space="preserve">年」が入っていなければ追加。</t>
    </r>
  </si>
  <si>
    <r>
      <rPr>
        <sz val="10"/>
        <rFont val="WenQuanYi Zen Hei"/>
        <family val="2"/>
      </rPr>
      <t xml:space="preserve">若手・未経験の読者が中心。記事末に「資格より先に、未経験でも応募できる求人を知っておくと勉強の優先順位が決まる」→第二新卒エージェント</t>
    </r>
    <r>
      <rPr>
        <sz val="10"/>
        <rFont val="Meiryo UI"/>
        <family val="0"/>
        <charset val="1"/>
      </rPr>
      <t xml:space="preserve">neo(A8)</t>
    </r>
    <r>
      <rPr>
        <sz val="10"/>
        <rFont val="WenQuanYi Zen Hei"/>
        <family val="2"/>
      </rPr>
      <t xml:space="preserve">（ソフト導線）。</t>
    </r>
  </si>
  <si>
    <r>
      <rPr>
        <sz val="10"/>
        <rFont val="WenQuanYi Zen Hei"/>
        <family val="2"/>
      </rPr>
      <t xml:space="preserve">第二新卒エージェント</t>
    </r>
    <r>
      <rPr>
        <sz val="10"/>
        <rFont val="Meiryo UI"/>
        <family val="0"/>
        <charset val="1"/>
      </rPr>
      <t xml:space="preserve">neo(A8)</t>
    </r>
  </si>
  <si>
    <t xml:space="preserve">/tensyoku-shorui-senkou-ochiru-riyuu/</t>
  </si>
  <si>
    <r>
      <rPr>
        <sz val="10"/>
        <rFont val="WenQuanYi Zen Hei"/>
        <family val="2"/>
      </rPr>
      <t xml:space="preserve">直近</t>
    </r>
    <r>
      <rPr>
        <sz val="10"/>
        <rFont val="Meiryo UI"/>
        <family val="0"/>
        <charset val="1"/>
      </rPr>
      <t xml:space="preserve">28</t>
    </r>
    <r>
      <rPr>
        <sz val="10"/>
        <rFont val="WenQuanYi Zen Hei"/>
        <family val="2"/>
      </rPr>
      <t xml:space="preserve">日は表示なし</t>
    </r>
  </si>
  <si>
    <r>
      <rPr>
        <sz val="10"/>
        <rFont val="WenQuanYi Zen Hei"/>
        <family val="2"/>
      </rPr>
      <t xml:space="preserve">書類選考 落ちる理由（</t>
    </r>
    <r>
      <rPr>
        <sz val="10"/>
        <rFont val="Meiryo UI"/>
        <family val="0"/>
        <charset val="1"/>
      </rPr>
      <t xml:space="preserve">39</t>
    </r>
    <r>
      <rPr>
        <sz val="10"/>
        <rFont val="WenQuanYi Zen Hei"/>
        <family val="2"/>
      </rPr>
      <t xml:space="preserve">表示・</t>
    </r>
    <r>
      <rPr>
        <sz val="10"/>
        <rFont val="Meiryo UI"/>
        <family val="0"/>
        <charset val="1"/>
      </rPr>
      <t xml:space="preserve">28.9</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書類選考で落ちる人の履歴書・職務経歴書に共通する原因は何ですか？（</t>
    </r>
    <r>
      <rPr>
        <sz val="10"/>
        <rFont val="Meiryo UI"/>
        <family val="0"/>
        <charset val="1"/>
      </rPr>
      <t xml:space="preserve">29</t>
    </r>
    <r>
      <rPr>
        <sz val="10"/>
        <rFont val="WenQuanYi Zen Hei"/>
        <family val="2"/>
      </rPr>
      <t xml:space="preserve">表示・</t>
    </r>
    <r>
      <rPr>
        <sz val="10"/>
        <rFont val="Meiryo UI"/>
        <family val="0"/>
        <charset val="1"/>
      </rPr>
      <t xml:space="preserve">21.2</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</si>
  <si>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19.4</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ページ目の手前（あと一歩）。直近</t>
    </r>
    <r>
      <rPr>
        <sz val="10"/>
        <rFont val="Meiryo UI"/>
        <family val="0"/>
        <charset val="1"/>
      </rPr>
      <t xml:space="preserve">28</t>
    </r>
    <r>
      <rPr>
        <sz val="10"/>
        <rFont val="WenQuanYi Zen Hei"/>
        <family val="2"/>
      </rPr>
      <t xml:space="preserve">日は検索結果に表示されていない（評価が他記事に移った可能性）。取りこぼしクエリ：書類選考 落ちる理由（</t>
    </r>
    <r>
      <rPr>
        <sz val="10"/>
        <rFont val="Meiryo UI"/>
        <family val="0"/>
        <charset val="1"/>
      </rPr>
      <t xml:space="preserve">39</t>
    </r>
    <r>
      <rPr>
        <sz val="10"/>
        <rFont val="WenQuanYi Zen Hei"/>
        <family val="2"/>
      </rPr>
      <t xml:space="preserve">表示・</t>
    </r>
    <r>
      <rPr>
        <sz val="10"/>
        <rFont val="Meiryo UI"/>
        <family val="0"/>
        <charset val="1"/>
      </rPr>
      <t xml:space="preserve">28.9</t>
    </r>
    <r>
      <rPr>
        <sz val="10"/>
        <rFont val="WenQuanYi Zen Hei"/>
        <family val="2"/>
      </rPr>
      <t xml:space="preserve">位）。</t>
    </r>
  </si>
  <si>
    <r>
      <rPr>
        <sz val="10"/>
        <rFont val="WenQuanYi Zen Hei"/>
        <family val="2"/>
      </rPr>
      <t xml:space="preserve">【書類選考落ち】競合相手：</t>
    </r>
    <r>
      <rPr>
        <sz val="10"/>
        <rFont val="Meiryo UI"/>
        <family val="0"/>
        <charset val="1"/>
      </rPr>
      <t xml:space="preserve">/chuto-syorui-senko-ochiru/</t>
    </r>
    <r>
      <rPr>
        <sz val="10"/>
        <rFont val="WenQuanYi Zen Hei"/>
        <family val="2"/>
      </rPr>
      <t xml:space="preserve">、</t>
    </r>
    <r>
      <rPr>
        <sz val="10"/>
        <rFont val="Meiryo UI"/>
        <family val="0"/>
        <charset val="1"/>
      </rPr>
      <t xml:space="preserve">/it-tensyoku-syorui-ochiru-riyu/</t>
    </r>
    <r>
      <rPr>
        <sz val="10"/>
        <rFont val="WenQuanYi Zen Hei"/>
        <family val="2"/>
      </rPr>
      <t xml:space="preserve">、</t>
    </r>
    <r>
      <rPr>
        <sz val="10"/>
        <rFont val="Meiryo UI"/>
        <family val="0"/>
        <charset val="1"/>
      </rPr>
      <t xml:space="preserve">/document-screening-cutoff/</t>
    </r>
    <r>
      <rPr>
        <sz val="10"/>
        <rFont val="WenQuanYi Zen Hei"/>
        <family val="2"/>
      </rPr>
      <t xml:space="preserve">、</t>
    </r>
    <r>
      <rPr>
        <sz val="10"/>
        <rFont val="Meiryo UI"/>
        <family val="0"/>
        <charset val="1"/>
      </rPr>
      <t xml:space="preserve">/document-screening-pass-rate/</t>
    </r>
    <r>
      <rPr>
        <sz val="10"/>
        <rFont val="WenQuanYi Zen Hei"/>
        <family val="2"/>
      </rPr>
      <t xml:space="preserve">、</t>
    </r>
    <r>
      <rPr>
        <sz val="10"/>
        <rFont val="Meiryo UI"/>
        <family val="0"/>
        <charset val="1"/>
      </rPr>
      <t xml:space="preserve">/document-screening-1minute/</t>
    </r>
    <r>
      <rPr>
        <sz val="10"/>
        <rFont val="WenQuanYi Zen Hei"/>
        <family val="2"/>
      </rPr>
      <t xml:space="preserve">ほか</t>
    </r>
  </si>
  <si>
    <r>
      <rPr>
        <sz val="10"/>
        <rFont val="WenQuanYi Zen Hei"/>
        <family val="2"/>
      </rPr>
      <t xml:space="preserve">【統合対象】</t>
    </r>
    <r>
      <rPr>
        <sz val="10"/>
        <rFont val="Meiryo UI"/>
        <family val="0"/>
        <charset val="1"/>
      </rPr>
      <t xml:space="preserve">/chuto-syorui-senko-ochiru/</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chuto-syorui-senko-ochiru</t>
    </r>
    <r>
      <rPr>
        <sz val="10"/>
        <rFont val="WenQuanYi Zen Hei"/>
        <family val="2"/>
      </rPr>
      <t xml:space="preserve">を親記事に。</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it-tensyoku-ochiru-kyotsu</t>
    </r>
    <r>
      <rPr>
        <sz val="10"/>
        <rFont val="WenQuanYi Zen Hei"/>
        <family val="2"/>
      </rPr>
      <t xml:space="preserve">・</t>
    </r>
    <r>
      <rPr>
        <sz val="10"/>
        <rFont val="Meiryo UI"/>
        <family val="0"/>
        <charset val="1"/>
      </rPr>
      <t xml:space="preserve">document-screening-1minute</t>
    </r>
    <r>
      <rPr>
        <sz val="10"/>
        <rFont val="WenQuanYi Zen Hei"/>
        <family val="2"/>
      </rPr>
      <t xml:space="preserve">を親へ統合（</t>
    </r>
    <r>
      <rPr>
        <sz val="10"/>
        <rFont val="Meiryo UI"/>
        <family val="0"/>
        <charset val="1"/>
      </rPr>
      <t xml:space="preserve">301</t>
    </r>
    <r>
      <rPr>
        <sz val="10"/>
        <rFont val="WenQuanYi Zen Hei"/>
        <family val="2"/>
      </rPr>
      <t xml:space="preserve">）。</t>
    </r>
    <r>
      <rPr>
        <sz val="10"/>
        <rFont val="Meiryo UI"/>
        <family val="0"/>
        <charset val="1"/>
      </rPr>
      <t xml:space="preserve">it-tensyoku-syorui-ochiru-riyu</t>
    </r>
    <r>
      <rPr>
        <sz val="10"/>
        <rFont val="WenQuanYi Zen Hei"/>
        <family val="2"/>
      </rPr>
      <t xml:space="preserve">＝</t>
    </r>
    <r>
      <rPr>
        <sz val="10"/>
        <rFont val="Meiryo UI"/>
        <family val="0"/>
        <charset val="1"/>
      </rPr>
      <t xml:space="preserve">IT</t>
    </r>
    <r>
      <rPr>
        <sz val="10"/>
        <rFont val="WenQuanYi Zen Hei"/>
        <family val="2"/>
      </rPr>
      <t xml:space="preserve">職特化、</t>
    </r>
    <r>
      <rPr>
        <sz val="10"/>
        <rFont val="Meiryo UI"/>
        <family val="0"/>
        <charset val="1"/>
      </rPr>
      <t xml:space="preserve">document-screening-cutoff</t>
    </r>
    <r>
      <rPr>
        <sz val="10"/>
        <rFont val="WenQuanYi Zen Hei"/>
        <family val="2"/>
      </rPr>
      <t xml:space="preserve">＝足切り（年齢・学歴）、</t>
    </r>
    <r>
      <rPr>
        <sz val="10"/>
        <rFont val="Meiryo UI"/>
        <family val="0"/>
        <charset val="1"/>
      </rPr>
      <t xml:space="preserve">document-screening-pass-rate</t>
    </r>
    <r>
      <rPr>
        <sz val="10"/>
        <rFont val="WenQuanYi Zen Hei"/>
        <family val="2"/>
      </rPr>
      <t xml:space="preserve">＝通過率データ、</t>
    </r>
    <r>
      <rPr>
        <sz val="10"/>
        <rFont val="Meiryo UI"/>
        <family val="0"/>
        <charset val="1"/>
      </rPr>
      <t xml:space="preserve">45sai</t>
    </r>
    <r>
      <rPr>
        <sz val="10"/>
        <rFont val="WenQuanYi Zen Hei"/>
        <family val="2"/>
      </rPr>
      <t xml:space="preserve">＝</t>
    </r>
    <r>
      <rPr>
        <sz val="10"/>
        <rFont val="Meiryo UI"/>
        <family val="0"/>
        <charset val="1"/>
      </rPr>
      <t xml:space="preserve">40</t>
    </r>
    <r>
      <rPr>
        <sz val="10"/>
        <rFont val="WenQuanYi Zen Hei"/>
        <family val="2"/>
      </rPr>
      <t xml:space="preserve">代、</t>
    </r>
    <r>
      <rPr>
        <sz val="10"/>
        <rFont val="Meiryo UI"/>
        <family val="0"/>
        <charset val="1"/>
      </rPr>
      <t xml:space="preserve">it-mikeiken</t>
    </r>
    <r>
      <rPr>
        <sz val="10"/>
        <rFont val="WenQuanYi Zen Hei"/>
        <family val="2"/>
      </rPr>
      <t xml:space="preserve">＝未経験に差別化。）</t>
    </r>
  </si>
  <si>
    <t xml:space="preserve">/geekly-hyouban/</t>
  </si>
  <si>
    <t xml:space="preserve">Geekly</t>
  </si>
  <si>
    <r>
      <rPr>
        <sz val="10"/>
        <rFont val="WenQuanYi Zen Hei"/>
        <family val="2"/>
      </rPr>
      <t xml:space="preserve">ギークリー 勝手 に 応募（</t>
    </r>
    <r>
      <rPr>
        <sz val="10"/>
        <rFont val="Meiryo UI"/>
        <family val="0"/>
        <charset val="1"/>
      </rPr>
      <t xml:space="preserve">186</t>
    </r>
    <r>
      <rPr>
        <sz val="10"/>
        <rFont val="WenQuanYi Zen Hei"/>
        <family val="2"/>
      </rPr>
      <t xml:space="preserve">表示・</t>
    </r>
    <r>
      <rPr>
        <sz val="10"/>
        <rFont val="Meiryo UI"/>
        <family val="0"/>
        <charset val="1"/>
      </rPr>
      <t xml:space="preserve">17.9</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ギークリー 勝手に応募（</t>
    </r>
    <r>
      <rPr>
        <sz val="10"/>
        <rFont val="Meiryo UI"/>
        <family val="0"/>
        <charset val="1"/>
      </rPr>
      <t xml:space="preserve">34</t>
    </r>
    <r>
      <rPr>
        <sz val="10"/>
        <rFont val="WenQuanYi Zen Hei"/>
        <family val="2"/>
      </rPr>
      <t xml:space="preserve">表示・</t>
    </r>
    <r>
      <rPr>
        <sz val="10"/>
        <rFont val="Meiryo UI"/>
        <family val="0"/>
        <charset val="1"/>
      </rPr>
      <t xml:space="preserve">19.1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ギークリー 大量応募（</t>
    </r>
    <r>
      <rPr>
        <sz val="10"/>
        <rFont val="Meiryo UI"/>
        <family val="0"/>
        <charset val="1"/>
      </rPr>
      <t xml:space="preserve">11</t>
    </r>
    <r>
      <rPr>
        <sz val="10"/>
        <rFont val="WenQuanYi Zen Hei"/>
        <family val="2"/>
      </rPr>
      <t xml:space="preserve">表示・</t>
    </r>
    <r>
      <rPr>
        <sz val="10"/>
        <rFont val="Meiryo UI"/>
        <family val="0"/>
        <charset val="1"/>
      </rPr>
      <t xml:space="preserve">17.1</t>
    </r>
    <r>
      <rPr>
        <sz val="10"/>
        <rFont val="WenQuanYi Zen Hei"/>
        <family val="2"/>
      </rPr>
      <t xml:space="preserve">位・</t>
    </r>
    <r>
      <rPr>
        <sz val="10"/>
        <rFont val="Meiryo UI"/>
        <family val="0"/>
        <charset val="1"/>
      </rPr>
      <t xml:space="preserve">CTR9.1%</t>
    </r>
    <r>
      <rPr>
        <sz val="10"/>
        <rFont val="WenQuanYi Zen Hei"/>
        <family val="2"/>
      </rPr>
      <t xml:space="preserve">）</t>
    </r>
  </si>
  <si>
    <r>
      <rPr>
        <sz val="10"/>
        <rFont val="Meiryo UI"/>
        <family val="0"/>
        <charset val="1"/>
      </rPr>
      <t xml:space="preserve">17.0</t>
    </r>
    <r>
      <rPr>
        <sz val="10"/>
        <rFont val="WenQuanYi Zen Hei"/>
        <family val="2"/>
      </rPr>
      <t xml:space="preserve">位。「ギークリー 勝手に応募」（計</t>
    </r>
    <r>
      <rPr>
        <sz val="10"/>
        <rFont val="Meiryo UI"/>
        <family val="0"/>
        <charset val="1"/>
      </rPr>
      <t xml:space="preserve">220</t>
    </r>
    <r>
      <rPr>
        <sz val="10"/>
        <rFont val="WenQuanYi Zen Hei"/>
        <family val="2"/>
      </rPr>
      <t xml:space="preserve">表示）が</t>
    </r>
    <r>
      <rPr>
        <sz val="10"/>
        <rFont val="Meiryo UI"/>
        <family val="0"/>
        <charset val="1"/>
      </rPr>
      <t xml:space="preserve">17</t>
    </r>
    <r>
      <rPr>
        <sz val="10"/>
        <rFont val="WenQuanYi Zen Hei"/>
        <family val="2"/>
      </rPr>
      <t xml:space="preserve">〜</t>
    </r>
    <r>
      <rPr>
        <sz val="10"/>
        <rFont val="Meiryo UI"/>
        <family val="0"/>
        <charset val="1"/>
      </rPr>
      <t xml:space="preserve">19</t>
    </r>
    <r>
      <rPr>
        <sz val="10"/>
        <rFont val="WenQuanYi Zen Hei"/>
        <family val="2"/>
      </rPr>
      <t xml:space="preserve">位でクリック</t>
    </r>
    <r>
      <rPr>
        <sz val="10"/>
        <rFont val="Meiryo UI"/>
        <family val="0"/>
        <charset val="1"/>
      </rPr>
      <t xml:space="preserve">0</t>
    </r>
    <r>
      <rPr>
        <sz val="10"/>
        <rFont val="WenQuanYi Zen Hei"/>
        <family val="2"/>
      </rPr>
      <t xml:space="preserve">。</t>
    </r>
    <r>
      <rPr>
        <sz val="10"/>
        <rFont val="Meiryo UI"/>
        <family val="0"/>
        <charset val="1"/>
      </rPr>
      <t xml:space="preserve">A8</t>
    </r>
    <r>
      <rPr>
        <sz val="10"/>
        <rFont val="WenQuanYi Zen Hei"/>
        <family val="2"/>
      </rPr>
      <t xml:space="preserve">で</t>
    </r>
    <r>
      <rPr>
        <sz val="10"/>
        <rFont val="Meiryo UI"/>
        <family val="0"/>
        <charset val="1"/>
      </rPr>
      <t xml:space="preserve">Geekly</t>
    </r>
    <r>
      <rPr>
        <sz val="10"/>
        <rFont val="WenQuanYi Zen Hei"/>
        <family val="2"/>
      </rPr>
      <t xml:space="preserve">提携済み（</t>
    </r>
    <r>
      <rPr>
        <sz val="10"/>
        <rFont val="Meiryo UI"/>
        <family val="0"/>
        <charset val="1"/>
      </rPr>
      <t xml:space="preserve">229</t>
    </r>
    <r>
      <rPr>
        <sz val="10"/>
        <rFont val="WenQuanYi Zen Hei"/>
        <family val="2"/>
      </rPr>
      <t xml:space="preserve">表示・</t>
    </r>
    <r>
      <rPr>
        <sz val="10"/>
        <rFont val="Meiryo UI"/>
        <family val="0"/>
        <charset val="1"/>
      </rPr>
      <t xml:space="preserve">7</t>
    </r>
    <r>
      <rPr>
        <sz val="10"/>
        <rFont val="WenQuanYi Zen Hei"/>
        <family val="2"/>
      </rPr>
      <t xml:space="preserve">クリック）なので収益に直結。</t>
    </r>
  </si>
  <si>
    <t xml:space="preserve">「勝手に応募される？」に冒頭で即答する見出しを追加（最大の検索需要）。</t>
  </si>
  <si>
    <r>
      <rPr>
        <sz val="10"/>
        <rFont val="WenQuanYi Zen Hei"/>
        <family val="2"/>
      </rPr>
      <t xml:space="preserve">【案】ギークリーは勝手に応募される？評判と注意点を現役</t>
    </r>
    <r>
      <rPr>
        <sz val="10"/>
        <rFont val="Meiryo UI"/>
        <family val="0"/>
        <charset val="1"/>
      </rPr>
      <t xml:space="preserve">IT</t>
    </r>
    <r>
      <rPr>
        <sz val="10"/>
        <rFont val="WenQuanYi Zen Hei"/>
        <family val="2"/>
      </rPr>
      <t xml:space="preserve">人事が解説</t>
    </r>
  </si>
  <si>
    <r>
      <rPr>
        <sz val="10"/>
        <rFont val="WenQuanYi Zen Hei"/>
        <family val="2"/>
      </rPr>
      <t xml:space="preserve">不安を解消した直後→</t>
    </r>
    <r>
      <rPr>
        <sz val="10"/>
        <rFont val="Meiryo UI"/>
        <family val="0"/>
        <charset val="1"/>
      </rPr>
      <t xml:space="preserve">Geekly</t>
    </r>
    <r>
      <rPr>
        <sz val="10"/>
        <rFont val="WenQuanYi Zen Hei"/>
        <family val="2"/>
      </rPr>
      <t xml:space="preserve">ボタン「応募前に確認が入る設定で使う」（仕様は公式で要確認）</t>
    </r>
  </si>
  <si>
    <t xml:space="preserve">Geekly(A8)</t>
  </si>
  <si>
    <t xml:space="preserve">/project-manager-exam-reform/</t>
  </si>
  <si>
    <r>
      <rPr>
        <sz val="10"/>
        <rFont val="WenQuanYi Zen Hei"/>
        <family val="2"/>
      </rPr>
      <t xml:space="preserve">プロジェクトマネージャー試験 意味ない（</t>
    </r>
    <r>
      <rPr>
        <sz val="10"/>
        <rFont val="Meiryo UI"/>
        <family val="0"/>
        <charset val="1"/>
      </rPr>
      <t xml:space="preserve">60</t>
    </r>
    <r>
      <rPr>
        <sz val="10"/>
        <rFont val="WenQuanYi Zen Hei"/>
        <family val="2"/>
      </rPr>
      <t xml:space="preserve">表示・</t>
    </r>
    <r>
      <rPr>
        <sz val="10"/>
        <rFont val="Meiryo UI"/>
        <family val="0"/>
        <charset val="1"/>
      </rPr>
      <t xml:space="preserve">10.6</t>
    </r>
    <r>
      <rPr>
        <sz val="10"/>
        <rFont val="WenQuanYi Zen Hei"/>
        <family val="2"/>
      </rPr>
      <t xml:space="preserve">位・</t>
    </r>
    <r>
      <rPr>
        <sz val="10"/>
        <rFont val="Meiryo UI"/>
        <family val="0"/>
        <charset val="1"/>
      </rPr>
      <t xml:space="preserve">CTR1.7%</t>
    </r>
    <r>
      <rPr>
        <sz val="10"/>
        <rFont val="WenQuanYi Zen Hei"/>
        <family val="2"/>
      </rPr>
      <t xml:space="preserve">） </t>
    </r>
    <r>
      <rPr>
        <sz val="10"/>
        <rFont val="Meiryo UI"/>
        <family val="0"/>
        <charset val="1"/>
      </rPr>
      <t xml:space="preserve">/ </t>
    </r>
    <r>
      <rPr>
        <sz val="10"/>
        <rFont val="WenQuanYi Zen Hei"/>
        <family val="2"/>
      </rPr>
      <t xml:space="preserve">プロジェクトマネージャー試験（</t>
    </r>
    <r>
      <rPr>
        <sz val="10"/>
        <rFont val="Meiryo UI"/>
        <family val="0"/>
        <charset val="1"/>
      </rPr>
      <t xml:space="preserve">53</t>
    </r>
    <r>
      <rPr>
        <sz val="10"/>
        <rFont val="WenQuanYi Zen Hei"/>
        <family val="2"/>
      </rPr>
      <t xml:space="preserve">表示・</t>
    </r>
    <r>
      <rPr>
        <sz val="10"/>
        <rFont val="Meiryo UI"/>
        <family val="0"/>
        <charset val="1"/>
      </rPr>
      <t xml:space="preserve">3.1</t>
    </r>
    <r>
      <rPr>
        <sz val="10"/>
        <rFont val="WenQuanYi Zen Hei"/>
        <family val="2"/>
      </rPr>
      <t xml:space="preserve">位・</t>
    </r>
    <r>
      <rPr>
        <sz val="10"/>
        <rFont val="Meiryo UI"/>
        <family val="0"/>
        <charset val="1"/>
      </rPr>
      <t xml:space="preserve">CTR5.7%</t>
    </r>
    <r>
      <rPr>
        <sz val="10"/>
        <rFont val="WenQuanYi Zen Hei"/>
        <family val="2"/>
      </rPr>
      <t xml:space="preserve">） </t>
    </r>
    <r>
      <rPr>
        <sz val="10"/>
        <rFont val="Meiryo UI"/>
        <family val="0"/>
        <charset val="1"/>
      </rPr>
      <t xml:space="preserve">/ pm</t>
    </r>
    <r>
      <rPr>
        <sz val="10"/>
        <rFont val="WenQuanYi Zen Hei"/>
        <family val="2"/>
      </rPr>
      <t xml:space="preserve">試験 </t>
    </r>
    <r>
      <rPr>
        <sz val="10"/>
        <rFont val="Meiryo UI"/>
        <family val="0"/>
        <charset val="1"/>
      </rPr>
      <t xml:space="preserve">2026</t>
    </r>
    <r>
      <rPr>
        <sz val="10"/>
        <rFont val="WenQuanYi Zen Hei"/>
        <family val="2"/>
      </rPr>
      <t xml:space="preserve">（</t>
    </r>
    <r>
      <rPr>
        <sz val="10"/>
        <rFont val="Meiryo UI"/>
        <family val="0"/>
        <charset val="1"/>
      </rPr>
      <t xml:space="preserve">8</t>
    </r>
    <r>
      <rPr>
        <sz val="10"/>
        <rFont val="WenQuanYi Zen Hei"/>
        <family val="2"/>
      </rPr>
      <t xml:space="preserve">表示・</t>
    </r>
    <r>
      <rPr>
        <sz val="10"/>
        <rFont val="Meiryo UI"/>
        <family val="0"/>
        <charset val="1"/>
      </rPr>
      <t xml:space="preserve">6.6</t>
    </r>
    <r>
      <rPr>
        <sz val="10"/>
        <rFont val="WenQuanYi Zen Hei"/>
        <family val="2"/>
      </rPr>
      <t xml:space="preserve">位・</t>
    </r>
    <r>
      <rPr>
        <sz val="10"/>
        <rFont val="Meiryo UI"/>
        <family val="0"/>
        <charset val="1"/>
      </rPr>
      <t xml:space="preserve">CTR12.5%</t>
    </r>
    <r>
      <rPr>
        <sz val="10"/>
        <rFont val="WenQuanYi Zen Hei"/>
        <family val="2"/>
      </rPr>
      <t xml:space="preserve">）</t>
    </r>
  </si>
  <si>
    <r>
      <rPr>
        <sz val="10"/>
        <rFont val="Meiryo UI"/>
        <family val="0"/>
        <charset val="1"/>
      </rPr>
      <t xml:space="preserve">5.7</t>
    </r>
    <r>
      <rPr>
        <sz val="10"/>
        <rFont val="WenQuanYi Zen Hei"/>
        <family val="2"/>
      </rPr>
      <t xml:space="preserve">位・</t>
    </r>
    <r>
      <rPr>
        <sz val="10"/>
        <rFont val="Meiryo UI"/>
        <family val="0"/>
        <charset val="1"/>
      </rPr>
      <t xml:space="preserve">CTR14.2%</t>
    </r>
    <r>
      <rPr>
        <sz val="10"/>
        <rFont val="WenQuanYi Zen Hei"/>
        <family val="2"/>
      </rPr>
      <t xml:space="preserve">で水準並み以上。直近</t>
    </r>
    <r>
      <rPr>
        <sz val="10"/>
        <rFont val="Meiryo UI"/>
        <family val="0"/>
        <charset val="1"/>
      </rPr>
      <t xml:space="preserve">28</t>
    </r>
    <r>
      <rPr>
        <sz val="10"/>
        <rFont val="WenQuanYi Zen Hei"/>
        <family val="2"/>
      </rPr>
      <t xml:space="preserve">日で急伸（クリック</t>
    </r>
    <r>
      <rPr>
        <sz val="10"/>
        <rFont val="Meiryo UI"/>
        <family val="0"/>
        <charset val="1"/>
      </rPr>
      <t xml:space="preserve">/</t>
    </r>
    <r>
      <rPr>
        <sz val="10"/>
        <rFont val="WenQuanYi Zen Hei"/>
        <family val="2"/>
      </rPr>
      <t xml:space="preserve">日 </t>
    </r>
    <r>
      <rPr>
        <sz val="10"/>
        <rFont val="Meiryo UI"/>
        <family val="0"/>
        <charset val="1"/>
      </rPr>
      <t xml:space="preserve">1.4→2.7</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9→21</t>
    </r>
    <r>
      <rPr>
        <sz val="10"/>
        <rFont val="WenQuanYi Zen Hei"/>
        <family val="2"/>
      </rPr>
      <t xml:space="preserve">）。取りこぼしクエリ：プロジェクトマネージャー試験 意味ない（</t>
    </r>
    <r>
      <rPr>
        <sz val="10"/>
        <rFont val="Meiryo UI"/>
        <family val="0"/>
        <charset val="1"/>
      </rPr>
      <t xml:space="preserve">60</t>
    </r>
    <r>
      <rPr>
        <sz val="10"/>
        <rFont val="WenQuanYi Zen Hei"/>
        <family val="2"/>
      </rPr>
      <t xml:space="preserve">表示・</t>
    </r>
    <r>
      <rPr>
        <sz val="10"/>
        <rFont val="Meiryo UI"/>
        <family val="0"/>
        <charset val="1"/>
      </rPr>
      <t xml:space="preserve">10.6</t>
    </r>
    <r>
      <rPr>
        <sz val="10"/>
        <rFont val="WenQuanYi Zen Hei"/>
        <family val="2"/>
      </rPr>
      <t xml:space="preserve">位）。</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</si>
  <si>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ページ目。本文は大きく変えず、「プロジェクトマネージャー試験 意味ない」向けの見出し追加と導線の設置に留める。</t>
    </r>
  </si>
  <si>
    <t xml:space="preserve">大きな変更は不要。タイトルに「プロジェクトマネージャー試験 意味ない」が入っていなければ追加。</t>
  </si>
  <si>
    <t xml:space="preserve">転職意欲が低い読者のためソフト導線のみ。「資格は採用でどう評価されるか」の見出しに「経験の評価はスカウト型に職務経歴を登録すると分かる」→レバテックダイレクト。</t>
  </si>
  <si>
    <t xml:space="preserve">/athome-kyujin-black-tensyoku/</t>
  </si>
  <si>
    <r>
      <rPr>
        <sz val="10"/>
        <rFont val="WenQuanYi Zen Hei"/>
        <family val="2"/>
      </rPr>
      <t xml:space="preserve">アット ホーム な職場 やばい（</t>
    </r>
    <r>
      <rPr>
        <sz val="10"/>
        <rFont val="Meiryo UI"/>
        <family val="0"/>
        <charset val="1"/>
      </rPr>
      <t xml:space="preserve">528</t>
    </r>
    <r>
      <rPr>
        <sz val="10"/>
        <rFont val="WenQuanYi Zen Hei"/>
        <family val="2"/>
      </rPr>
      <t xml:space="preserve">表示・</t>
    </r>
    <r>
      <rPr>
        <sz val="10"/>
        <rFont val="Meiryo UI"/>
        <family val="0"/>
        <charset val="1"/>
      </rPr>
      <t xml:space="preserve">8.0</t>
    </r>
    <r>
      <rPr>
        <sz val="10"/>
        <rFont val="WenQuanYi Zen Hei"/>
        <family val="2"/>
      </rPr>
      <t xml:space="preserve">位・</t>
    </r>
    <r>
      <rPr>
        <sz val="10"/>
        <rFont val="Meiryo UI"/>
        <family val="0"/>
        <charset val="1"/>
      </rPr>
      <t xml:space="preserve">CTR0.6%</t>
    </r>
    <r>
      <rPr>
        <sz val="10"/>
        <rFont val="WenQuanYi Zen Hei"/>
        <family val="2"/>
      </rPr>
      <t xml:space="preserve">） </t>
    </r>
    <r>
      <rPr>
        <sz val="10"/>
        <rFont val="Meiryo UI"/>
        <family val="0"/>
        <charset val="1"/>
      </rPr>
      <t xml:space="preserve">/ </t>
    </r>
    <r>
      <rPr>
        <sz val="10"/>
        <rFont val="WenQuanYi Zen Hei"/>
        <family val="2"/>
      </rPr>
      <t xml:space="preserve">アットホームな職場です（</t>
    </r>
    <r>
      <rPr>
        <sz val="10"/>
        <rFont val="Meiryo UI"/>
        <family val="0"/>
        <charset val="1"/>
      </rPr>
      <t xml:space="preserve">363</t>
    </r>
    <r>
      <rPr>
        <sz val="10"/>
        <rFont val="WenQuanYi Zen Hei"/>
        <family val="2"/>
      </rPr>
      <t xml:space="preserve">表示・</t>
    </r>
    <r>
      <rPr>
        <sz val="10"/>
        <rFont val="Meiryo UI"/>
        <family val="0"/>
        <charset val="1"/>
      </rPr>
      <t xml:space="preserve">8.4</t>
    </r>
    <r>
      <rPr>
        <sz val="10"/>
        <rFont val="WenQuanYi Zen Hei"/>
        <family val="2"/>
      </rPr>
      <t xml:space="preserve">位・</t>
    </r>
    <r>
      <rPr>
        <sz val="10"/>
        <rFont val="Meiryo UI"/>
        <family val="0"/>
        <charset val="1"/>
      </rPr>
      <t xml:space="preserve">CTR1.7%</t>
    </r>
    <r>
      <rPr>
        <sz val="10"/>
        <rFont val="WenQuanYi Zen Hei"/>
        <family val="2"/>
      </rPr>
      <t xml:space="preserve">） </t>
    </r>
    <r>
      <rPr>
        <sz val="10"/>
        <rFont val="Meiryo UI"/>
        <family val="0"/>
        <charset val="1"/>
      </rPr>
      <t xml:space="preserve">/ </t>
    </r>
    <r>
      <rPr>
        <sz val="10"/>
        <rFont val="WenQuanYi Zen Hei"/>
        <family val="2"/>
      </rPr>
      <t xml:space="preserve">アット ホーム 会社 やばい（</t>
    </r>
    <r>
      <rPr>
        <sz val="10"/>
        <rFont val="Meiryo UI"/>
        <family val="0"/>
        <charset val="1"/>
      </rPr>
      <t xml:space="preserve">238</t>
    </r>
    <r>
      <rPr>
        <sz val="10"/>
        <rFont val="WenQuanYi Zen Hei"/>
        <family val="2"/>
      </rPr>
      <t xml:space="preserve">表示・</t>
    </r>
    <r>
      <rPr>
        <sz val="10"/>
        <rFont val="Meiryo UI"/>
        <family val="0"/>
        <charset val="1"/>
      </rPr>
      <t xml:space="preserve">9.7</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</si>
  <si>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5,278</t>
    </r>
    <r>
      <rPr>
        <sz val="10"/>
        <rFont val="WenQuanYi Zen Hei"/>
        <family val="2"/>
      </rPr>
      <t xml:space="preserve">表示・</t>
    </r>
    <r>
      <rPr>
        <sz val="10"/>
        <rFont val="Meiryo UI"/>
        <family val="0"/>
        <charset val="1"/>
      </rPr>
      <t xml:space="preserve">8.2</t>
    </r>
    <r>
      <rPr>
        <sz val="10"/>
        <rFont val="WenQuanYi Zen Hei"/>
        <family val="2"/>
      </rPr>
      <t xml:space="preserve">位・</t>
    </r>
    <r>
      <rPr>
        <sz val="10"/>
        <rFont val="Meiryo UI"/>
        <family val="0"/>
        <charset val="1"/>
      </rPr>
      <t xml:space="preserve">CTR1.0%</t>
    </r>
    <r>
      <rPr>
        <sz val="10"/>
        <rFont val="WenQuanYi Zen Hei"/>
        <family val="2"/>
      </rPr>
      <t xml:space="preserve">、日次クリック</t>
    </r>
    <r>
      <rPr>
        <sz val="10"/>
        <rFont val="Meiryo UI"/>
        <family val="0"/>
        <charset val="1"/>
      </rPr>
      <t xml:space="preserve">0.7→0.3</t>
    </r>
    <r>
      <rPr>
        <sz val="10"/>
        <rFont val="WenQuanYi Zen Hei"/>
        <family val="2"/>
      </rPr>
      <t xml:space="preserve">に減少。「アットホームな職場 やばい」</t>
    </r>
    <r>
      <rPr>
        <sz val="10"/>
        <rFont val="Meiryo UI"/>
        <family val="0"/>
        <charset val="1"/>
      </rPr>
      <t xml:space="preserve">528</t>
    </r>
    <r>
      <rPr>
        <sz val="10"/>
        <rFont val="WenQuanYi Zen Hei"/>
        <family val="2"/>
      </rPr>
      <t xml:space="preserve">表示</t>
    </r>
    <r>
      <rPr>
        <sz val="10"/>
        <rFont val="Meiryo UI"/>
        <family val="0"/>
        <charset val="1"/>
      </rPr>
      <t xml:space="preserve">8.0</t>
    </r>
    <r>
      <rPr>
        <sz val="10"/>
        <rFont val="WenQuanYi Zen Hei"/>
        <family val="2"/>
      </rPr>
      <t xml:space="preserve">位</t>
    </r>
    <r>
      <rPr>
        <sz val="10"/>
        <rFont val="Meiryo UI"/>
        <family val="0"/>
        <charset val="1"/>
      </rPr>
      <t xml:space="preserve">CTR0.6%</t>
    </r>
    <r>
      <rPr>
        <sz val="10"/>
        <rFont val="WenQuanYi Zen Hei"/>
        <family val="2"/>
      </rPr>
      <t xml:space="preserve">、「アットホームな職場です」</t>
    </r>
    <r>
      <rPr>
        <sz val="10"/>
        <rFont val="Meiryo UI"/>
        <family val="0"/>
        <charset val="1"/>
      </rPr>
      <t xml:space="preserve">363</t>
    </r>
    <r>
      <rPr>
        <sz val="10"/>
        <rFont val="WenQuanYi Zen Hei"/>
        <family val="2"/>
      </rPr>
      <t xml:space="preserve">表示</t>
    </r>
    <r>
      <rPr>
        <sz val="10"/>
        <rFont val="Meiryo UI"/>
        <family val="0"/>
        <charset val="1"/>
      </rPr>
      <t xml:space="preserve">8.4</t>
    </r>
    <r>
      <rPr>
        <sz val="10"/>
        <rFont val="WenQuanYi Zen Hei"/>
        <family val="2"/>
      </rPr>
      <t xml:space="preserve">位。</t>
    </r>
  </si>
  <si>
    <r>
      <rPr>
        <sz val="10"/>
        <rFont val="WenQuanYi Zen Hei"/>
        <family val="2"/>
      </rPr>
      <t xml:space="preserve">【求人票の危険ワード】競合相手：</t>
    </r>
    <r>
      <rPr>
        <sz val="10"/>
        <rFont val="Meiryo UI"/>
        <family val="0"/>
        <charset val="1"/>
      </rPr>
      <t xml:space="preserve">/annual-holidays-few-job-posting-warning/</t>
    </r>
    <r>
      <rPr>
        <sz val="10"/>
        <rFont val="WenQuanYi Zen Hei"/>
        <family val="2"/>
      </rPr>
      <t xml:space="preserve">、</t>
    </r>
    <r>
      <rPr>
        <sz val="10"/>
        <rFont val="Meiryo UI"/>
        <family val="0"/>
        <charset val="1"/>
      </rPr>
      <t xml:space="preserve">/tairyo-boshu-kyujin-black-kigyo/</t>
    </r>
    <r>
      <rPr>
        <sz val="10"/>
        <rFont val="WenQuanYi Zen Hei"/>
        <family val="2"/>
      </rPr>
      <t xml:space="preserve">、</t>
    </r>
    <r>
      <rPr>
        <sz val="10"/>
        <rFont val="Meiryo UI"/>
        <family val="0"/>
        <charset val="1"/>
      </rPr>
      <t xml:space="preserve">/kanbu-kouho-kyuujin-black/</t>
    </r>
    <r>
      <rPr>
        <sz val="10"/>
        <rFont val="WenQuanYi Zen Hei"/>
        <family val="2"/>
      </rPr>
      <t xml:space="preserve">、</t>
    </r>
    <r>
      <rPr>
        <sz val="10"/>
        <rFont val="Meiryo UI"/>
        <family val="0"/>
        <charset val="1"/>
      </rPr>
      <t xml:space="preserve">/job-posting-high-salary-black-company-warning/</t>
    </r>
    <r>
      <rPr>
        <sz val="10"/>
        <rFont val="WenQuanYi Zen Hei"/>
        <family val="2"/>
      </rPr>
      <t xml:space="preserve">、</t>
    </r>
    <r>
      <rPr>
        <sz val="10"/>
        <rFont val="Meiryo UI"/>
        <family val="0"/>
        <charset val="1"/>
      </rPr>
      <t xml:space="preserve">/kyuujinhyou-aimai-hyougen-black/</t>
    </r>
  </si>
  <si>
    <r>
      <rPr>
        <sz val="10"/>
        <rFont val="WenQuanYi Zen Hei"/>
        <family val="2"/>
      </rPr>
      <t xml:space="preserve">冒頭で「アットホームな職場＝やばいとは限らない。危ない求人の見分け方」に即答。「なん</t>
    </r>
    <r>
      <rPr>
        <sz val="10"/>
        <rFont val="Meiryo UI"/>
        <family val="0"/>
        <charset val="1"/>
      </rPr>
      <t xml:space="preserve">j</t>
    </r>
    <r>
      <rPr>
        <sz val="10"/>
        <rFont val="WenQuanYi Zen Hei"/>
        <family val="2"/>
      </rPr>
      <t xml:space="preserve">」的な本音系の検索にも答える率直なトーンに。</t>
    </r>
  </si>
  <si>
    <t xml:space="preserve">【案】「アットホームな職場です」はやばい？求人の本当の意味を採用担当が翻訳</t>
  </si>
  <si>
    <t xml:space="preserve">「見分け方」の直後：「社風は求人票では分からない。口コミで残業・人間関係を確認」→転職会議</t>
  </si>
  <si>
    <t xml:space="preserve">/system-architect-haishi/</t>
  </si>
  <si>
    <r>
      <rPr>
        <sz val="10"/>
        <rFont val="WenQuanYi Zen Hei"/>
        <family val="2"/>
      </rPr>
      <t xml:space="preserve">システム アーキテク ト 試験 なくなる（</t>
    </r>
    <r>
      <rPr>
        <sz val="10"/>
        <rFont val="Meiryo UI"/>
        <family val="0"/>
        <charset val="1"/>
      </rPr>
      <t xml:space="preserve">144</t>
    </r>
    <r>
      <rPr>
        <sz val="10"/>
        <rFont val="WenQuanYi Zen Hei"/>
        <family val="2"/>
      </rPr>
      <t xml:space="preserve">表示・</t>
    </r>
    <r>
      <rPr>
        <sz val="10"/>
        <rFont val="Meiryo UI"/>
        <family val="0"/>
        <charset val="1"/>
      </rPr>
      <t xml:space="preserve">2.3</t>
    </r>
    <r>
      <rPr>
        <sz val="10"/>
        <rFont val="WenQuanYi Zen Hei"/>
        <family val="2"/>
      </rPr>
      <t xml:space="preserve">位・</t>
    </r>
    <r>
      <rPr>
        <sz val="10"/>
        <rFont val="Meiryo UI"/>
        <family val="0"/>
        <charset val="1"/>
      </rPr>
      <t xml:space="preserve">CTR13.9%</t>
    </r>
    <r>
      <rPr>
        <sz val="10"/>
        <rFont val="WenQuanYi Zen Hei"/>
        <family val="2"/>
      </rPr>
      <t xml:space="preserve">） </t>
    </r>
    <r>
      <rPr>
        <sz val="10"/>
        <rFont val="Meiryo UI"/>
        <family val="0"/>
        <charset val="1"/>
      </rPr>
      <t xml:space="preserve">/ </t>
    </r>
    <r>
      <rPr>
        <sz val="10"/>
        <rFont val="WenQuanYi Zen Hei"/>
        <family val="2"/>
      </rPr>
      <t xml:space="preserve">システムアーキテクト試験（</t>
    </r>
    <r>
      <rPr>
        <sz val="10"/>
        <rFont val="Meiryo UI"/>
        <family val="0"/>
        <charset val="1"/>
      </rPr>
      <t xml:space="preserve">82</t>
    </r>
    <r>
      <rPr>
        <sz val="10"/>
        <rFont val="WenQuanYi Zen Hei"/>
        <family val="2"/>
      </rPr>
      <t xml:space="preserve">表示・</t>
    </r>
    <r>
      <rPr>
        <sz val="10"/>
        <rFont val="Meiryo UI"/>
        <family val="0"/>
        <charset val="1"/>
      </rPr>
      <t xml:space="preserve">9.7</t>
    </r>
    <r>
      <rPr>
        <sz val="10"/>
        <rFont val="WenQuanYi Zen Hei"/>
        <family val="2"/>
      </rPr>
      <t xml:space="preserve">位・</t>
    </r>
    <r>
      <rPr>
        <sz val="10"/>
        <rFont val="Meiryo UI"/>
        <family val="0"/>
        <charset val="1"/>
      </rPr>
      <t xml:space="preserve">CTR6.1%</t>
    </r>
    <r>
      <rPr>
        <sz val="10"/>
        <rFont val="WenQuanYi Zen Hei"/>
        <family val="2"/>
      </rPr>
      <t xml:space="preserve">） </t>
    </r>
    <r>
      <rPr>
        <sz val="10"/>
        <rFont val="Meiryo UI"/>
        <family val="0"/>
        <charset val="1"/>
      </rPr>
      <t xml:space="preserve">/ </t>
    </r>
    <r>
      <rPr>
        <sz val="10"/>
        <rFont val="WenQuanYi Zen Hei"/>
        <family val="2"/>
      </rPr>
      <t xml:space="preserve">システム アーキテク ト 役に立た ない（</t>
    </r>
    <r>
      <rPr>
        <sz val="10"/>
        <rFont val="Meiryo UI"/>
        <family val="0"/>
        <charset val="1"/>
      </rPr>
      <t xml:space="preserve">77</t>
    </r>
    <r>
      <rPr>
        <sz val="10"/>
        <rFont val="WenQuanYi Zen Hei"/>
        <family val="2"/>
      </rPr>
      <t xml:space="preserve">表示・</t>
    </r>
    <r>
      <rPr>
        <sz val="10"/>
        <rFont val="Meiryo UI"/>
        <family val="0"/>
        <charset val="1"/>
      </rPr>
      <t xml:space="preserve">9.5</t>
    </r>
    <r>
      <rPr>
        <sz val="10"/>
        <rFont val="WenQuanYi Zen Hei"/>
        <family val="2"/>
      </rPr>
      <t xml:space="preserve">位・</t>
    </r>
    <r>
      <rPr>
        <sz val="10"/>
        <rFont val="Meiryo UI"/>
        <family val="0"/>
        <charset val="1"/>
      </rPr>
      <t xml:space="preserve">CTR7.8%</t>
    </r>
    <r>
      <rPr>
        <sz val="10"/>
        <rFont val="WenQuanYi Zen Hei"/>
        <family val="2"/>
      </rPr>
      <t xml:space="preserve">）</t>
    </r>
  </si>
  <si>
    <r>
      <rPr>
        <sz val="10"/>
        <rFont val="Meiryo UI"/>
        <family val="0"/>
        <charset val="1"/>
      </rPr>
      <t xml:space="preserve">CTR8.2%</t>
    </r>
    <r>
      <rPr>
        <sz val="10"/>
        <rFont val="WenQuanYi Zen Hei"/>
        <family val="2"/>
      </rPr>
      <t xml:space="preserve">。「システムアーキテクト試験 なくなる」は</t>
    </r>
    <r>
      <rPr>
        <sz val="10"/>
        <rFont val="Meiryo UI"/>
        <family val="0"/>
        <charset val="1"/>
      </rPr>
      <t xml:space="preserve">2.3</t>
    </r>
    <r>
      <rPr>
        <sz val="10"/>
        <rFont val="WenQuanYi Zen Hei"/>
        <family val="2"/>
      </rPr>
      <t xml:space="preserve">位と好調だが、「システムアーキテクト試験」</t>
    </r>
    <r>
      <rPr>
        <sz val="10"/>
        <rFont val="Meiryo UI"/>
        <family val="0"/>
        <charset val="1"/>
      </rPr>
      <t xml:space="preserve">82</t>
    </r>
    <r>
      <rPr>
        <sz val="10"/>
        <rFont val="WenQuanYi Zen Hei"/>
        <family val="2"/>
      </rPr>
      <t xml:space="preserve">表示</t>
    </r>
    <r>
      <rPr>
        <sz val="10"/>
        <rFont val="Meiryo UI"/>
        <family val="0"/>
        <charset val="1"/>
      </rPr>
      <t xml:space="preserve">9.7</t>
    </r>
    <r>
      <rPr>
        <sz val="10"/>
        <rFont val="WenQuanYi Zen Hei"/>
        <family val="2"/>
      </rPr>
      <t xml:space="preserve">位、「役に立たない」</t>
    </r>
    <r>
      <rPr>
        <sz val="10"/>
        <rFont val="Meiryo UI"/>
        <family val="0"/>
        <charset val="1"/>
      </rPr>
      <t xml:space="preserve">77</t>
    </r>
    <r>
      <rPr>
        <sz val="10"/>
        <rFont val="WenQuanYi Zen Hei"/>
        <family val="2"/>
      </rPr>
      <t xml:space="preserve">表示</t>
    </r>
    <r>
      <rPr>
        <sz val="10"/>
        <rFont val="Meiryo UI"/>
        <family val="0"/>
        <charset val="1"/>
      </rPr>
      <t xml:space="preserve">9.5</t>
    </r>
    <r>
      <rPr>
        <sz val="10"/>
        <rFont val="WenQuanYi Zen Hei"/>
        <family val="2"/>
      </rPr>
      <t xml:space="preserve">位。</t>
    </r>
  </si>
  <si>
    <t xml:space="preserve">「役に立たない？」の見出しを追加。現行タイトル（検索結果で確認）は維持。</t>
  </si>
  <si>
    <r>
      <rPr>
        <sz val="10"/>
        <rFont val="WenQuanYi Zen Hei"/>
        <family val="2"/>
      </rPr>
      <t xml:space="preserve">現行維持（「システムアーキテクトはなくなる？｜論述試験の行方と転職への影響を現役</t>
    </r>
    <r>
      <rPr>
        <sz val="10"/>
        <rFont val="Meiryo UI"/>
        <family val="0"/>
        <charset val="1"/>
      </rPr>
      <t xml:space="preserve">IT</t>
    </r>
    <r>
      <rPr>
        <sz val="10"/>
        <rFont val="WenQuanYi Zen Hei"/>
        <family val="2"/>
      </rPr>
      <t xml:space="preserve">人事が解説」）。</t>
    </r>
  </si>
  <si>
    <t xml:space="preserve">「転職への影響」→レバテックダイレクト</t>
  </si>
  <si>
    <t xml:space="preserve">/openwork-hikaku-kinou/</t>
  </si>
  <si>
    <r>
      <rPr>
        <sz val="10"/>
        <rFont val="Meiryo UI"/>
        <family val="0"/>
        <charset val="1"/>
      </rPr>
      <t xml:space="preserve">openwork </t>
    </r>
    <r>
      <rPr>
        <sz val="10"/>
        <rFont val="WenQuanYi Zen Hei"/>
        <family val="2"/>
      </rPr>
      <t xml:space="preserve">比較（</t>
    </r>
    <r>
      <rPr>
        <sz val="10"/>
        <rFont val="Meiryo UI"/>
        <family val="0"/>
        <charset val="1"/>
      </rPr>
      <t xml:space="preserve">70</t>
    </r>
    <r>
      <rPr>
        <sz val="10"/>
        <rFont val="WenQuanYi Zen Hei"/>
        <family val="2"/>
      </rPr>
      <t xml:space="preserve">表示・</t>
    </r>
    <r>
      <rPr>
        <sz val="10"/>
        <rFont val="Meiryo UI"/>
        <family val="0"/>
        <charset val="1"/>
      </rPr>
      <t xml:space="preserve">2.4</t>
    </r>
    <r>
      <rPr>
        <sz val="10"/>
        <rFont val="WenQuanYi Zen Hei"/>
        <family val="2"/>
      </rPr>
      <t xml:space="preserve">位・</t>
    </r>
    <r>
      <rPr>
        <sz val="10"/>
        <rFont val="Meiryo UI"/>
        <family val="0"/>
        <charset val="1"/>
      </rPr>
      <t xml:space="preserve">CTR18.6%</t>
    </r>
    <r>
      <rPr>
        <sz val="10"/>
        <rFont val="WenQuanYi Zen Hei"/>
        <family val="2"/>
      </rPr>
      <t xml:space="preserve">） </t>
    </r>
    <r>
      <rPr>
        <sz val="10"/>
        <rFont val="Meiryo UI"/>
        <family val="0"/>
        <charset val="1"/>
      </rPr>
      <t xml:space="preserve">/ </t>
    </r>
    <r>
      <rPr>
        <sz val="10"/>
        <rFont val="WenQuanYi Zen Hei"/>
        <family val="2"/>
      </rPr>
      <t xml:space="preserve">オープンワーク 比較 やり方（</t>
    </r>
    <r>
      <rPr>
        <sz val="10"/>
        <rFont val="Meiryo UI"/>
        <family val="0"/>
        <charset val="1"/>
      </rPr>
      <t xml:space="preserve">52</t>
    </r>
    <r>
      <rPr>
        <sz val="10"/>
        <rFont val="WenQuanYi Zen Hei"/>
        <family val="2"/>
      </rPr>
      <t xml:space="preserve">表示・</t>
    </r>
    <r>
      <rPr>
        <sz val="10"/>
        <rFont val="Meiryo UI"/>
        <family val="0"/>
        <charset val="1"/>
      </rPr>
      <t xml:space="preserve">1.6</t>
    </r>
    <r>
      <rPr>
        <sz val="10"/>
        <rFont val="WenQuanYi Zen Hei"/>
        <family val="2"/>
      </rPr>
      <t xml:space="preserve">位・</t>
    </r>
    <r>
      <rPr>
        <sz val="10"/>
        <rFont val="Meiryo UI"/>
        <family val="0"/>
        <charset val="1"/>
      </rPr>
      <t xml:space="preserve">CTR21.1%</t>
    </r>
    <r>
      <rPr>
        <sz val="10"/>
        <rFont val="WenQuanYi Zen Hei"/>
        <family val="2"/>
      </rPr>
      <t xml:space="preserve">） </t>
    </r>
    <r>
      <rPr>
        <sz val="10"/>
        <rFont val="Meiryo UI"/>
        <family val="0"/>
        <charset val="1"/>
      </rPr>
      <t xml:space="preserve">/ </t>
    </r>
    <r>
      <rPr>
        <sz val="10"/>
        <rFont val="WenQuanYi Zen Hei"/>
        <family val="2"/>
      </rPr>
      <t xml:space="preserve">オープンワーク 比較（</t>
    </r>
    <r>
      <rPr>
        <sz val="10"/>
        <rFont val="Meiryo UI"/>
        <family val="0"/>
        <charset val="1"/>
      </rPr>
      <t xml:space="preserve">52</t>
    </r>
    <r>
      <rPr>
        <sz val="10"/>
        <rFont val="WenQuanYi Zen Hei"/>
        <family val="2"/>
      </rPr>
      <t xml:space="preserve">表示・</t>
    </r>
    <r>
      <rPr>
        <sz val="10"/>
        <rFont val="Meiryo UI"/>
        <family val="0"/>
        <charset val="1"/>
      </rPr>
      <t xml:space="preserve">4.1</t>
    </r>
    <r>
      <rPr>
        <sz val="10"/>
        <rFont val="WenQuanYi Zen Hei"/>
        <family val="2"/>
      </rPr>
      <t xml:space="preserve">位・</t>
    </r>
    <r>
      <rPr>
        <sz val="10"/>
        <rFont val="Meiryo UI"/>
        <family val="0"/>
        <charset val="1"/>
      </rPr>
      <t xml:space="preserve">CTR1.9%</t>
    </r>
    <r>
      <rPr>
        <sz val="10"/>
        <rFont val="WenQuanYi Zen Hei"/>
        <family val="2"/>
      </rPr>
      <t xml:space="preserve">）</t>
    </r>
  </si>
  <si>
    <r>
      <rPr>
        <sz val="10"/>
        <rFont val="Meiryo UI"/>
        <family val="0"/>
        <charset val="1"/>
      </rPr>
      <t xml:space="preserve">7.7</t>
    </r>
    <r>
      <rPr>
        <sz val="10"/>
        <rFont val="WenQuanYi Zen Hei"/>
        <family val="2"/>
      </rPr>
      <t xml:space="preserve">位・</t>
    </r>
    <r>
      <rPr>
        <sz val="10"/>
        <rFont val="Meiryo UI"/>
        <family val="0"/>
        <charset val="1"/>
      </rPr>
      <t xml:space="preserve">CTR5.3%</t>
    </r>
    <r>
      <rPr>
        <sz val="10"/>
        <rFont val="WenQuanYi Zen Hei"/>
        <family val="2"/>
      </rPr>
      <t xml:space="preserve">で水準並み以上。クリックが下落（クリック</t>
    </r>
    <r>
      <rPr>
        <sz val="10"/>
        <rFont val="Meiryo UI"/>
        <family val="0"/>
        <charset val="1"/>
      </rPr>
      <t xml:space="preserve">/</t>
    </r>
    <r>
      <rPr>
        <sz val="10"/>
        <rFont val="WenQuanYi Zen Hei"/>
        <family val="2"/>
      </rPr>
      <t xml:space="preserve">日 </t>
    </r>
    <r>
      <rPr>
        <sz val="10"/>
        <rFont val="Meiryo UI"/>
        <family val="0"/>
        <charset val="1"/>
      </rPr>
      <t xml:space="preserve">0.8→0.3</t>
    </r>
    <r>
      <rPr>
        <sz val="10"/>
        <rFont val="WenQuanYi Zen Hei"/>
        <family val="2"/>
      </rPr>
      <t xml:space="preserve">）。取りこぼしクエリ：オープンワーク 比較（</t>
    </r>
    <r>
      <rPr>
        <sz val="10"/>
        <rFont val="Meiryo UI"/>
        <family val="0"/>
        <charset val="1"/>
      </rPr>
      <t xml:space="preserve">52</t>
    </r>
    <r>
      <rPr>
        <sz val="10"/>
        <rFont val="WenQuanYi Zen Hei"/>
        <family val="2"/>
      </rPr>
      <t xml:space="preserve">表示・</t>
    </r>
    <r>
      <rPr>
        <sz val="10"/>
        <rFont val="Meiryo UI"/>
        <family val="0"/>
        <charset val="1"/>
      </rPr>
      <t xml:space="preserve">4.1</t>
    </r>
    <r>
      <rPr>
        <sz val="10"/>
        <rFont val="WenQuanYi Zen Hei"/>
        <family val="2"/>
      </rPr>
      <t xml:space="preserve">位）。</t>
    </r>
  </si>
  <si>
    <r>
      <rPr>
        <sz val="10"/>
        <rFont val="WenQuanYi Zen Hei"/>
        <family val="2"/>
      </rPr>
      <t xml:space="preserve">【</t>
    </r>
    <r>
      <rPr>
        <sz val="10"/>
        <rFont val="Meiryo UI"/>
        <family val="0"/>
        <charset val="1"/>
      </rPr>
      <t xml:space="preserve">OpenWork</t>
    </r>
    <r>
      <rPr>
        <sz val="10"/>
        <rFont val="WenQuanYi Zen Hei"/>
        <family val="2"/>
      </rPr>
      <t xml:space="preserve">】競合相手：</t>
    </r>
    <r>
      <rPr>
        <sz val="10"/>
        <rFont val="Meiryo UI"/>
        <family val="0"/>
        <charset val="1"/>
      </rPr>
      <t xml:space="preserve">/openwork-tsukaikata/</t>
    </r>
    <r>
      <rPr>
        <sz val="10"/>
        <rFont val="WenQuanYi Zen Hei"/>
        <family val="2"/>
      </rPr>
      <t xml:space="preserve">、</t>
    </r>
    <r>
      <rPr>
        <sz val="10"/>
        <rFont val="Meiryo UI"/>
        <family val="0"/>
        <charset val="1"/>
      </rPr>
      <t xml:space="preserve">/openwork-graph-mikata/</t>
    </r>
    <r>
      <rPr>
        <sz val="10"/>
        <rFont val="WenQuanYi Zen Hei"/>
        <family val="2"/>
      </rPr>
      <t xml:space="preserve">、</t>
    </r>
    <r>
      <rPr>
        <sz val="10"/>
        <rFont val="Meiryo UI"/>
        <family val="0"/>
        <charset val="1"/>
      </rPr>
      <t xml:space="preserve">/openwork-white-company-mikata/</t>
    </r>
    <r>
      <rPr>
        <sz val="10"/>
        <rFont val="WenQuanYi Zen Hei"/>
        <family val="2"/>
      </rPr>
      <t xml:space="preserve">、</t>
    </r>
    <r>
      <rPr>
        <sz val="10"/>
        <rFont val="Meiryo UI"/>
        <family val="0"/>
        <charset val="1"/>
      </rPr>
      <t xml:space="preserve">/openwork-toroku-bareru/</t>
    </r>
  </si>
  <si>
    <r>
      <rPr>
        <sz val="10"/>
        <rFont val="WenQuanYi Zen Hei"/>
        <family val="2"/>
      </rPr>
      <t xml:space="preserve">【差別化して残す】担当：比較機能の使い方だけを担当。伸びなければ</t>
    </r>
    <r>
      <rPr>
        <sz val="10"/>
        <rFont val="Meiryo UI"/>
        <family val="0"/>
        <charset val="1"/>
      </rPr>
      <t xml:space="preserve">graph-mikata</t>
    </r>
    <r>
      <rPr>
        <sz val="10"/>
        <rFont val="WenQuanYi Zen Hei"/>
        <family val="2"/>
      </rPr>
      <t xml:space="preserve">へ統合。親記事（</t>
    </r>
    <r>
      <rPr>
        <sz val="10"/>
        <rFont val="Meiryo UI"/>
        <family val="0"/>
        <charset val="1"/>
      </rPr>
      <t xml:space="preserve">/openwork-tsukaikata/</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ページ目。本文は大きく変えず、「オープンワーク 比較」向けの見出し追加と導線の設置に留める。</t>
    </r>
  </si>
  <si>
    <r>
      <rPr>
        <sz val="10"/>
        <rFont val="WenQuanYi Zen Hei"/>
        <family val="2"/>
      </rPr>
      <t xml:space="preserve">大きな変更は不要。タイトルに「</t>
    </r>
    <r>
      <rPr>
        <sz val="10"/>
        <rFont val="Meiryo UI"/>
        <family val="0"/>
        <charset val="1"/>
      </rPr>
      <t xml:space="preserve">openwork </t>
    </r>
    <r>
      <rPr>
        <sz val="10"/>
        <rFont val="WenQuanYi Zen Hei"/>
        <family val="2"/>
      </rPr>
      <t xml:space="preserve">比較」が入っていなければ追加。</t>
    </r>
  </si>
  <si>
    <r>
      <rPr>
        <sz val="10"/>
        <rFont val="WenQuanYi Zen Hei"/>
        <family val="2"/>
      </rPr>
      <t xml:space="preserve">口コミの読み方・見分け方の見出しの末尾に、人事の本音ボックス「</t>
    </r>
    <r>
      <rPr>
        <sz val="10"/>
        <rFont val="Meiryo UI"/>
        <family val="0"/>
        <charset val="1"/>
      </rPr>
      <t xml:space="preserve">1</t>
    </r>
    <r>
      <rPr>
        <sz val="10"/>
        <rFont val="WenQuanYi Zen Hei"/>
        <family val="2"/>
      </rPr>
      <t xml:space="preserve">サイトだけだと偏るので</t>
    </r>
    <r>
      <rPr>
        <sz val="10"/>
        <rFont val="Meiryo UI"/>
        <family val="0"/>
        <charset val="1"/>
      </rPr>
      <t xml:space="preserve">2</t>
    </r>
    <r>
      <rPr>
        <sz val="10"/>
        <rFont val="WenQuanYi Zen Hei"/>
        <family val="2"/>
      </rPr>
      <t xml:space="preserve">サイトで裏取りを」→転職会議ボタン。</t>
    </r>
  </si>
  <si>
    <t xml:space="preserve">/aws-saa-difficulty/</t>
  </si>
  <si>
    <r>
      <rPr>
        <sz val="10"/>
        <rFont val="Meiryo UI"/>
        <family val="0"/>
        <charset val="1"/>
      </rPr>
      <t xml:space="preserve">aws saa</t>
    </r>
    <r>
      <rPr>
        <sz val="10"/>
        <rFont val="WenQuanYi Zen Hei"/>
        <family val="2"/>
      </rPr>
      <t xml:space="preserve">（</t>
    </r>
    <r>
      <rPr>
        <sz val="10"/>
        <rFont val="Meiryo UI"/>
        <family val="0"/>
        <charset val="1"/>
      </rPr>
      <t xml:space="preserve">146</t>
    </r>
    <r>
      <rPr>
        <sz val="10"/>
        <rFont val="WenQuanYi Zen Hei"/>
        <family val="2"/>
      </rPr>
      <t xml:space="preserve">表示・</t>
    </r>
    <r>
      <rPr>
        <sz val="10"/>
        <rFont val="Meiryo UI"/>
        <family val="0"/>
        <charset val="1"/>
      </rPr>
      <t xml:space="preserve">11.1</t>
    </r>
    <r>
      <rPr>
        <sz val="10"/>
        <rFont val="WenQuanYi Zen Hei"/>
        <family val="2"/>
      </rPr>
      <t xml:space="preserve">位・</t>
    </r>
    <r>
      <rPr>
        <sz val="10"/>
        <rFont val="Meiryo UI"/>
        <family val="0"/>
        <charset val="1"/>
      </rPr>
      <t xml:space="preserve">CTR0.7%</t>
    </r>
    <r>
      <rPr>
        <sz val="10"/>
        <rFont val="WenQuanYi Zen Hei"/>
        <family val="2"/>
      </rPr>
      <t xml:space="preserve">） </t>
    </r>
    <r>
      <rPr>
        <sz val="10"/>
        <rFont val="Meiryo UI"/>
        <family val="0"/>
        <charset val="1"/>
      </rPr>
      <t xml:space="preserve">/ saa </t>
    </r>
    <r>
      <rPr>
        <sz val="10"/>
        <rFont val="WenQuanYi Zen Hei"/>
        <family val="2"/>
      </rPr>
      <t xml:space="preserve">難易度 応用情報（</t>
    </r>
    <r>
      <rPr>
        <sz val="10"/>
        <rFont val="Meiryo UI"/>
        <family val="0"/>
        <charset val="1"/>
      </rPr>
      <t xml:space="preserve">134</t>
    </r>
    <r>
      <rPr>
        <sz val="10"/>
        <rFont val="WenQuanYi Zen Hei"/>
        <family val="2"/>
      </rPr>
      <t xml:space="preserve">表示・</t>
    </r>
    <r>
      <rPr>
        <sz val="10"/>
        <rFont val="Meiryo UI"/>
        <family val="0"/>
        <charset val="1"/>
      </rPr>
      <t xml:space="preserve">4.6</t>
    </r>
    <r>
      <rPr>
        <sz val="10"/>
        <rFont val="WenQuanYi Zen Hei"/>
        <family val="2"/>
      </rPr>
      <t xml:space="preserve">位・</t>
    </r>
    <r>
      <rPr>
        <sz val="10"/>
        <rFont val="Meiryo UI"/>
        <family val="0"/>
        <charset val="1"/>
      </rPr>
      <t xml:space="preserve">CTR7.5%</t>
    </r>
    <r>
      <rPr>
        <sz val="10"/>
        <rFont val="WenQuanYi Zen Hei"/>
        <family val="2"/>
      </rPr>
      <t xml:space="preserve">） </t>
    </r>
    <r>
      <rPr>
        <sz val="10"/>
        <rFont val="Meiryo UI"/>
        <family val="0"/>
        <charset val="1"/>
      </rPr>
      <t xml:space="preserve">/ aws </t>
    </r>
    <r>
      <rPr>
        <sz val="10"/>
        <rFont val="WenQuanYi Zen Hei"/>
        <family val="2"/>
      </rPr>
      <t xml:space="preserve">資格 年収（</t>
    </r>
    <r>
      <rPr>
        <sz val="10"/>
        <rFont val="Meiryo UI"/>
        <family val="0"/>
        <charset val="1"/>
      </rPr>
      <t xml:space="preserve">124</t>
    </r>
    <r>
      <rPr>
        <sz val="10"/>
        <rFont val="WenQuanYi Zen Hei"/>
        <family val="2"/>
      </rPr>
      <t xml:space="preserve">表示・</t>
    </r>
    <r>
      <rPr>
        <sz val="10"/>
        <rFont val="Meiryo UI"/>
        <family val="0"/>
        <charset val="1"/>
      </rPr>
      <t xml:space="preserve">21.5</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</si>
  <si>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9.9</t>
    </r>
    <r>
      <rPr>
        <sz val="10"/>
        <rFont val="WenQuanYi Zen Hei"/>
        <family val="2"/>
      </rPr>
      <t xml:space="preserve">位・</t>
    </r>
    <r>
      <rPr>
        <sz val="10"/>
        <rFont val="Meiryo UI"/>
        <family val="0"/>
        <charset val="1"/>
      </rPr>
      <t xml:space="preserve">CTR2.7%</t>
    </r>
    <r>
      <rPr>
        <sz val="10"/>
        <rFont val="WenQuanYi Zen Hei"/>
        <family val="2"/>
      </rPr>
      <t xml:space="preserve">。「</t>
    </r>
    <r>
      <rPr>
        <sz val="10"/>
        <rFont val="Meiryo UI"/>
        <family val="0"/>
        <charset val="1"/>
      </rPr>
      <t xml:space="preserve">aws saa</t>
    </r>
    <r>
      <rPr>
        <sz val="10"/>
        <rFont val="WenQuanYi Zen Hei"/>
        <family val="2"/>
      </rPr>
      <t xml:space="preserve">」</t>
    </r>
    <r>
      <rPr>
        <sz val="10"/>
        <rFont val="Meiryo UI"/>
        <family val="0"/>
        <charset val="1"/>
      </rPr>
      <t xml:space="preserve">146</t>
    </r>
    <r>
      <rPr>
        <sz val="10"/>
        <rFont val="WenQuanYi Zen Hei"/>
        <family val="2"/>
      </rPr>
      <t xml:space="preserve">表示</t>
    </r>
    <r>
      <rPr>
        <sz val="10"/>
        <rFont val="Meiryo UI"/>
        <family val="0"/>
        <charset val="1"/>
      </rPr>
      <t xml:space="preserve">11.1</t>
    </r>
    <r>
      <rPr>
        <sz val="10"/>
        <rFont val="WenQuanYi Zen Hei"/>
        <family val="2"/>
      </rPr>
      <t xml:space="preserve">位、「</t>
    </r>
    <r>
      <rPr>
        <sz val="10"/>
        <rFont val="Meiryo UI"/>
        <family val="0"/>
        <charset val="1"/>
      </rPr>
      <t xml:space="preserve">aws </t>
    </r>
    <r>
      <rPr>
        <sz val="10"/>
        <rFont val="WenQuanYi Zen Hei"/>
        <family val="2"/>
      </rPr>
      <t xml:space="preserve">資格 年収」</t>
    </r>
    <r>
      <rPr>
        <sz val="10"/>
        <rFont val="Meiryo UI"/>
        <family val="0"/>
        <charset val="1"/>
      </rPr>
      <t xml:space="preserve">124</t>
    </r>
    <r>
      <rPr>
        <sz val="10"/>
        <rFont val="WenQuanYi Zen Hei"/>
        <family val="2"/>
      </rPr>
      <t xml:space="preserve">表示</t>
    </r>
    <r>
      <rPr>
        <sz val="10"/>
        <rFont val="Meiryo UI"/>
        <family val="0"/>
        <charset val="1"/>
      </rPr>
      <t xml:space="preserve">21.5</t>
    </r>
    <r>
      <rPr>
        <sz val="10"/>
        <rFont val="WenQuanYi Zen Hei"/>
        <family val="2"/>
      </rPr>
      <t xml:space="preserve">位。「</t>
    </r>
    <r>
      <rPr>
        <sz val="10"/>
        <rFont val="Meiryo UI"/>
        <family val="0"/>
        <charset val="1"/>
      </rPr>
      <t xml:space="preserve">saa </t>
    </r>
    <r>
      <rPr>
        <sz val="10"/>
        <rFont val="WenQuanYi Zen Hei"/>
        <family val="2"/>
      </rPr>
      <t xml:space="preserve">難易度 応用情報」</t>
    </r>
    <r>
      <rPr>
        <sz val="10"/>
        <rFont val="Meiryo UI"/>
        <family val="0"/>
        <charset val="1"/>
      </rPr>
      <t xml:space="preserve">134</t>
    </r>
    <r>
      <rPr>
        <sz val="10"/>
        <rFont val="WenQuanYi Zen Hei"/>
        <family val="2"/>
      </rPr>
      <t xml:space="preserve">表示</t>
    </r>
    <r>
      <rPr>
        <sz val="10"/>
        <rFont val="Meiryo UI"/>
        <family val="0"/>
        <charset val="1"/>
      </rPr>
      <t xml:space="preserve">4.6</t>
    </r>
    <r>
      <rPr>
        <sz val="10"/>
        <rFont val="WenQuanYi Zen Hei"/>
        <family val="2"/>
      </rPr>
      <t xml:space="preserve">位</t>
    </r>
    <r>
      <rPr>
        <sz val="10"/>
        <rFont val="Meiryo UI"/>
        <family val="0"/>
        <charset val="1"/>
      </rPr>
      <t xml:space="preserve">CTR7%</t>
    </r>
    <r>
      <rPr>
        <sz val="10"/>
        <rFont val="WenQuanYi Zen Hei"/>
        <family val="2"/>
      </rPr>
      <t xml:space="preserve">が強み。</t>
    </r>
  </si>
  <si>
    <r>
      <rPr>
        <sz val="10"/>
        <rFont val="WenQuanYi Zen Hei"/>
        <family val="2"/>
      </rPr>
      <t xml:space="preserve">【</t>
    </r>
    <r>
      <rPr>
        <sz val="10"/>
        <rFont val="Meiryo UI"/>
        <family val="0"/>
        <charset val="1"/>
      </rPr>
      <t xml:space="preserve">AWS</t>
    </r>
    <r>
      <rPr>
        <sz val="10"/>
        <rFont val="WenQuanYi Zen Hei"/>
        <family val="2"/>
      </rPr>
      <t xml:space="preserve">資格】競合相手：</t>
    </r>
    <r>
      <rPr>
        <sz val="10"/>
        <rFont val="Meiryo UI"/>
        <family val="0"/>
        <charset val="1"/>
      </rPr>
      <t xml:space="preserve">/aws-sap-difficulty-salary/</t>
    </r>
    <r>
      <rPr>
        <sz val="10"/>
        <rFont val="WenQuanYi Zen Hei"/>
        <family val="2"/>
      </rPr>
      <t xml:space="preserve">、</t>
    </r>
    <r>
      <rPr>
        <sz val="10"/>
        <rFont val="Meiryo UI"/>
        <family val="0"/>
        <charset val="1"/>
      </rPr>
      <t xml:space="preserve">/aws-cloud-practitioner-difficulty/</t>
    </r>
  </si>
  <si>
    <r>
      <rPr>
        <sz val="10"/>
        <rFont val="WenQuanYi Zen Hei"/>
        <family val="2"/>
      </rPr>
      <t xml:space="preserve">「応用情報との難易度比較」を表で強化。「</t>
    </r>
    <r>
      <rPr>
        <sz val="10"/>
        <rFont val="Meiryo UI"/>
        <family val="0"/>
        <charset val="1"/>
      </rPr>
      <t xml:space="preserve">AWS</t>
    </r>
    <r>
      <rPr>
        <sz val="10"/>
        <rFont val="WenQuanYi Zen Hei"/>
        <family val="2"/>
      </rPr>
      <t xml:space="preserve">資格と年収」の見出しを追加。</t>
    </r>
    <r>
      <rPr>
        <sz val="10"/>
        <rFont val="Meiryo UI"/>
        <family val="0"/>
        <charset val="1"/>
      </rPr>
      <t xml:space="preserve">SAA</t>
    </r>
    <r>
      <rPr>
        <sz val="10"/>
        <rFont val="WenQuanYi Zen Hei"/>
        <family val="2"/>
      </rPr>
      <t xml:space="preserve">の難易度はこの記事に集約（</t>
    </r>
    <r>
      <rPr>
        <sz val="10"/>
        <rFont val="Meiryo UI"/>
        <family val="0"/>
        <charset val="1"/>
      </rPr>
      <t xml:space="preserve">LinuC</t>
    </r>
    <r>
      <rPr>
        <sz val="10"/>
        <rFont val="WenQuanYi Zen Hei"/>
        <family val="2"/>
      </rPr>
      <t xml:space="preserve">記事と分担）。</t>
    </r>
  </si>
  <si>
    <r>
      <rPr>
        <sz val="10"/>
        <rFont val="WenQuanYi Zen Hei"/>
        <family val="2"/>
      </rPr>
      <t xml:space="preserve">現行（検索結果で確認：「</t>
    </r>
    <r>
      <rPr>
        <sz val="10"/>
        <rFont val="Meiryo UI"/>
        <family val="0"/>
        <charset val="1"/>
      </rPr>
      <t xml:space="preserve">AWS SAA</t>
    </r>
    <r>
      <rPr>
        <sz val="10"/>
        <rFont val="WenQuanYi Zen Hei"/>
        <family val="2"/>
      </rPr>
      <t xml:space="preserve">（ソリューションアーキテクト アソシエイト）の難易度は？｜現役</t>
    </r>
    <r>
      <rPr>
        <sz val="10"/>
        <rFont val="Meiryo UI"/>
        <family val="0"/>
        <charset val="1"/>
      </rPr>
      <t xml:space="preserve">IT</t>
    </r>
    <r>
      <rPr>
        <sz val="10"/>
        <rFont val="WenQuanYi Zen Hei"/>
        <family val="2"/>
      </rPr>
      <t xml:space="preserve">人事が解説」）に「応用情報と比較」を追加する案。</t>
    </r>
  </si>
  <si>
    <t xml:space="preserve">年収の見出し→レバテックダイレクト</t>
  </si>
  <si>
    <t xml:space="preserve">/independent-sier-tier/</t>
  </si>
  <si>
    <r>
      <rPr>
        <sz val="10"/>
        <rFont val="WenQuanYi Zen Hei"/>
        <family val="2"/>
      </rPr>
      <t xml:space="preserve">独立系</t>
    </r>
    <r>
      <rPr>
        <sz val="10"/>
        <rFont val="Meiryo UI"/>
        <family val="0"/>
        <charset val="1"/>
      </rPr>
      <t xml:space="preserve">SIer</t>
    </r>
  </si>
  <si>
    <r>
      <rPr>
        <sz val="10"/>
        <rFont val="WenQuanYi Zen Hei"/>
        <family val="2"/>
      </rPr>
      <t xml:space="preserve">平均</t>
    </r>
    <r>
      <rPr>
        <sz val="10"/>
        <rFont val="Meiryo UI"/>
        <family val="0"/>
        <charset val="1"/>
      </rPr>
      <t xml:space="preserve">10.3</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ページ目の手前（あと一歩）。直近</t>
    </r>
    <r>
      <rPr>
        <sz val="10"/>
        <rFont val="Meiryo UI"/>
        <family val="0"/>
        <charset val="1"/>
      </rPr>
      <t xml:space="preserve">28</t>
    </r>
    <r>
      <rPr>
        <sz val="10"/>
        <rFont val="WenQuanYi Zen Hei"/>
        <family val="2"/>
      </rPr>
      <t xml:space="preserve">日で新規出現（クリック</t>
    </r>
    <r>
      <rPr>
        <sz val="10"/>
        <rFont val="Meiryo UI"/>
        <family val="0"/>
        <charset val="1"/>
      </rPr>
      <t xml:space="preserve">/</t>
    </r>
    <r>
      <rPr>
        <sz val="10"/>
        <rFont val="WenQuanYi Zen Hei"/>
        <family val="2"/>
      </rPr>
      <t xml:space="preserve">日 </t>
    </r>
    <r>
      <rPr>
        <sz val="10"/>
        <rFont val="Meiryo UI"/>
        <family val="0"/>
        <charset val="1"/>
      </rPr>
      <t xml:space="preserve">0.0→0.6</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0→10</t>
    </r>
    <r>
      <rPr>
        <sz val="10"/>
        <rFont val="WenQuanYi Zen Hei"/>
        <family val="2"/>
      </rPr>
      <t xml:space="preserve">）。</t>
    </r>
  </si>
  <si>
    <r>
      <rPr>
        <sz val="10"/>
        <rFont val="WenQuanYi Zen Hei"/>
        <family val="2"/>
      </rPr>
      <t xml:space="preserve">【独立系</t>
    </r>
    <r>
      <rPr>
        <sz val="10"/>
        <rFont val="Meiryo UI"/>
        <family val="0"/>
        <charset val="1"/>
      </rPr>
      <t xml:space="preserve">SIer</t>
    </r>
    <r>
      <rPr>
        <sz val="10"/>
        <rFont val="WenQuanYi Zen Hei"/>
        <family val="2"/>
      </rPr>
      <t xml:space="preserve">】競合相手：</t>
    </r>
    <r>
      <rPr>
        <sz val="10"/>
        <rFont val="Meiryo UI"/>
        <family val="0"/>
        <charset val="1"/>
      </rPr>
      <t xml:space="preserve">/independent-sier/</t>
    </r>
    <r>
      <rPr>
        <sz val="10"/>
        <rFont val="WenQuanYi Zen Hei"/>
        <family val="2"/>
      </rPr>
      <t xml:space="preserve">、</t>
    </r>
    <r>
      <rPr>
        <sz val="10"/>
        <rFont val="Meiryo UI"/>
        <family val="0"/>
        <charset val="1"/>
      </rPr>
      <t xml:space="preserve">/independent-sier-delisting/</t>
    </r>
  </si>
  <si>
    <r>
      <rPr>
        <sz val="10"/>
        <rFont val="WenQuanYi Zen Hei"/>
        <family val="2"/>
      </rPr>
      <t xml:space="preserve">【親記事（統合先）】担当：独立系</t>
    </r>
    <r>
      <rPr>
        <sz val="10"/>
        <rFont val="Meiryo UI"/>
        <family val="0"/>
        <charset val="1"/>
      </rPr>
      <t xml:space="preserve">SIer</t>
    </r>
    <r>
      <rPr>
        <sz val="10"/>
        <rFont val="WenQuanYi Zen Hei"/>
        <family val="2"/>
      </rPr>
      <t xml:space="preserve">の一覧・</t>
    </r>
    <r>
      <rPr>
        <sz val="10"/>
        <rFont val="Meiryo UI"/>
        <family val="0"/>
        <charset val="1"/>
      </rPr>
      <t xml:space="preserve">Tier</t>
    </r>
    <r>
      <rPr>
        <sz val="10"/>
        <rFont val="WenQuanYi Zen Hei"/>
        <family val="2"/>
      </rPr>
      <t xml:space="preserve">。統合する子記事の固有情報を取り込み、同グループの記事から内部リンクを集める。
</t>
    </r>
    <r>
      <rPr>
        <sz val="10"/>
        <rFont val="Meiryo UI"/>
        <family val="0"/>
        <charset val="1"/>
      </rPr>
      <t xml:space="preserve">1</t>
    </r>
    <r>
      <rPr>
        <sz val="10"/>
        <rFont val="WenQuanYi Zen Hei"/>
        <family val="2"/>
      </rPr>
      <t xml:space="preserve">ページ目の手前。記事の主要キーワード（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</si>
  <si>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一覧表・ランキングの直後に「自分の経験でどの</t>
    </r>
    <r>
      <rPr>
        <sz val="10"/>
        <rFont val="Meiryo UI"/>
        <family val="0"/>
        <charset val="1"/>
      </rPr>
      <t xml:space="preserve">Tier</t>
    </r>
    <r>
      <rPr>
        <sz val="10"/>
        <rFont val="WenQuanYi Zen Hei"/>
        <family val="2"/>
      </rPr>
      <t xml:space="preserve">に入れるかはスカウトを受けると分かる」→レバテックダイレクト</t>
    </r>
    <r>
      <rPr>
        <sz val="10"/>
        <rFont val="Meiryo UI"/>
        <family val="0"/>
        <charset val="1"/>
      </rPr>
      <t xml:space="preserve">(A8)</t>
    </r>
    <r>
      <rPr>
        <sz val="10"/>
        <rFont val="WenQuanYi Zen Hei"/>
        <family val="2"/>
      </rPr>
      <t xml:space="preserve">。</t>
    </r>
  </si>
  <si>
    <t xml:space="preserve">/assign-agent-review/</t>
  </si>
  <si>
    <t xml:space="preserve">アサイン</t>
  </si>
  <si>
    <r>
      <rPr>
        <sz val="10"/>
        <rFont val="WenQuanYi Zen Hei"/>
        <family val="2"/>
      </rPr>
      <t xml:space="preserve">アサイン エンジニア 転職（</t>
    </r>
    <r>
      <rPr>
        <sz val="10"/>
        <rFont val="Meiryo UI"/>
        <family val="0"/>
        <charset val="1"/>
      </rPr>
      <t xml:space="preserve">80</t>
    </r>
    <r>
      <rPr>
        <sz val="10"/>
        <rFont val="WenQuanYi Zen Hei"/>
        <family val="2"/>
      </rPr>
      <t xml:space="preserve">表示・</t>
    </r>
    <r>
      <rPr>
        <sz val="10"/>
        <rFont val="Meiryo UI"/>
        <family val="0"/>
        <charset val="1"/>
      </rPr>
      <t xml:space="preserve">19.7</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アサイン キャリアプランシート（</t>
    </r>
    <r>
      <rPr>
        <sz val="10"/>
        <rFont val="Meiryo UI"/>
        <family val="0"/>
        <charset val="1"/>
      </rPr>
      <t xml:space="preserve">79</t>
    </r>
    <r>
      <rPr>
        <sz val="10"/>
        <rFont val="WenQuanYi Zen Hei"/>
        <family val="2"/>
      </rPr>
      <t xml:space="preserve">表示・</t>
    </r>
    <r>
      <rPr>
        <sz val="10"/>
        <rFont val="Meiryo UI"/>
        <family val="0"/>
        <charset val="1"/>
      </rPr>
      <t xml:space="preserve">4.2</t>
    </r>
    <r>
      <rPr>
        <sz val="10"/>
        <rFont val="WenQuanYi Zen Hei"/>
        <family val="2"/>
      </rPr>
      <t xml:space="preserve">位・</t>
    </r>
    <r>
      <rPr>
        <sz val="10"/>
        <rFont val="Meiryo UI"/>
        <family val="0"/>
        <charset val="1"/>
      </rPr>
      <t xml:space="preserve">CTR3.8%</t>
    </r>
    <r>
      <rPr>
        <sz val="10"/>
        <rFont val="WenQuanYi Zen Hei"/>
        <family val="2"/>
      </rPr>
      <t xml:space="preserve">） </t>
    </r>
    <r>
      <rPr>
        <sz val="10"/>
        <rFont val="Meiryo UI"/>
        <family val="0"/>
        <charset val="1"/>
      </rPr>
      <t xml:space="preserve">/ </t>
    </r>
    <r>
      <rPr>
        <sz val="10"/>
        <rFont val="WenQuanYi Zen Hei"/>
        <family val="2"/>
      </rPr>
      <t xml:space="preserve">アサイン キャリア面談（</t>
    </r>
    <r>
      <rPr>
        <sz val="10"/>
        <rFont val="Meiryo UI"/>
        <family val="0"/>
        <charset val="1"/>
      </rPr>
      <t xml:space="preserve">78</t>
    </r>
    <r>
      <rPr>
        <sz val="10"/>
        <rFont val="WenQuanYi Zen Hei"/>
        <family val="2"/>
      </rPr>
      <t xml:space="preserve">表示・</t>
    </r>
    <r>
      <rPr>
        <sz val="10"/>
        <rFont val="Meiryo UI"/>
        <family val="0"/>
        <charset val="1"/>
      </rPr>
      <t xml:space="preserve">8.5</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</si>
  <si>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3</t>
    </r>
    <r>
      <rPr>
        <sz val="10"/>
        <rFont val="WenQuanYi Zen Hei"/>
        <family val="2"/>
      </rPr>
      <t xml:space="preserve">か月</t>
    </r>
    <r>
      <rPr>
        <sz val="10"/>
        <rFont val="Meiryo UI"/>
        <family val="0"/>
        <charset val="1"/>
      </rPr>
      <t xml:space="preserve">3,192</t>
    </r>
    <r>
      <rPr>
        <sz val="10"/>
        <rFont val="WenQuanYi Zen Hei"/>
        <family val="2"/>
      </rPr>
      <t xml:space="preserve">表示、</t>
    </r>
    <r>
      <rPr>
        <sz val="10"/>
        <rFont val="Meiryo UI"/>
        <family val="0"/>
        <charset val="1"/>
      </rPr>
      <t xml:space="preserve">9.9</t>
    </r>
    <r>
      <rPr>
        <sz val="10"/>
        <rFont val="WenQuanYi Zen Hei"/>
        <family val="2"/>
      </rPr>
      <t xml:space="preserve">位→</t>
    </r>
    <r>
      <rPr>
        <sz val="10"/>
        <rFont val="Meiryo UI"/>
        <family val="0"/>
        <charset val="1"/>
      </rPr>
      <t xml:space="preserve">28</t>
    </r>
    <r>
      <rPr>
        <sz val="10"/>
        <rFont val="WenQuanYi Zen Hei"/>
        <family val="2"/>
      </rPr>
      <t xml:space="preserve">日</t>
    </r>
    <r>
      <rPr>
        <sz val="10"/>
        <rFont val="Meiryo UI"/>
        <family val="0"/>
        <charset val="1"/>
      </rPr>
      <t xml:space="preserve">11.3</t>
    </r>
    <r>
      <rPr>
        <sz val="10"/>
        <rFont val="WenQuanYi Zen Hei"/>
        <family val="2"/>
      </rPr>
      <t xml:space="preserve">位に低下、</t>
    </r>
    <r>
      <rPr>
        <sz val="10"/>
        <rFont val="Meiryo UI"/>
        <family val="0"/>
        <charset val="1"/>
      </rPr>
      <t xml:space="preserve">CTR2.8%</t>
    </r>
    <r>
      <rPr>
        <sz val="10"/>
        <rFont val="WenQuanYi Zen Hei"/>
        <family val="2"/>
      </rPr>
      <t xml:space="preserve">。「アサイン エンジニア 転職」</t>
    </r>
    <r>
      <rPr>
        <sz val="10"/>
        <rFont val="Meiryo UI"/>
        <family val="0"/>
        <charset val="1"/>
      </rPr>
      <t xml:space="preserve">80</t>
    </r>
    <r>
      <rPr>
        <sz val="10"/>
        <rFont val="WenQuanYi Zen Hei"/>
        <family val="2"/>
      </rPr>
      <t xml:space="preserve">表示</t>
    </r>
    <r>
      <rPr>
        <sz val="10"/>
        <rFont val="Meiryo UI"/>
        <family val="0"/>
        <charset val="1"/>
      </rPr>
      <t xml:space="preserve">19.7</t>
    </r>
    <r>
      <rPr>
        <sz val="10"/>
        <rFont val="WenQuanYi Zen Hei"/>
        <family val="2"/>
      </rPr>
      <t xml:space="preserve">位、「キャリア面談」</t>
    </r>
    <r>
      <rPr>
        <sz val="10"/>
        <rFont val="Meiryo UI"/>
        <family val="0"/>
        <charset val="1"/>
      </rPr>
      <t xml:space="preserve">78</t>
    </r>
    <r>
      <rPr>
        <sz val="10"/>
        <rFont val="WenQuanYi Zen Hei"/>
        <family val="2"/>
      </rPr>
      <t xml:space="preserve">表示</t>
    </r>
    <r>
      <rPr>
        <sz val="10"/>
        <rFont val="Meiryo UI"/>
        <family val="0"/>
        <charset val="1"/>
      </rPr>
      <t xml:space="preserve">8.5</t>
    </r>
    <r>
      <rPr>
        <sz val="10"/>
        <rFont val="WenQuanYi Zen Hei"/>
        <family val="2"/>
      </rPr>
      <t xml:space="preserve">位</t>
    </r>
    <r>
      <rPr>
        <sz val="10"/>
        <rFont val="Meiryo UI"/>
        <family val="0"/>
        <charset val="1"/>
      </rPr>
      <t xml:space="preserve">CTR0%</t>
    </r>
    <r>
      <rPr>
        <sz val="10"/>
        <rFont val="WenQuanYi Zen Hei"/>
        <family val="2"/>
      </rPr>
      <t xml:space="preserve">。アサインの</t>
    </r>
    <r>
      <rPr>
        <sz val="10"/>
        <rFont val="Meiryo UI"/>
        <family val="0"/>
        <charset val="1"/>
      </rPr>
      <t xml:space="preserve">ASP</t>
    </r>
    <r>
      <rPr>
        <sz val="10"/>
        <rFont val="WenQuanYi Zen Hei"/>
        <family val="2"/>
      </rPr>
      <t xml:space="preserve">提携状況は未確認。</t>
    </r>
  </si>
  <si>
    <t xml:space="preserve">「キャリアプランシート」「キャリア面談」など利用者の具体的な疑問に答える見出しを強化。</t>
  </si>
  <si>
    <r>
      <rPr>
        <sz val="10"/>
        <rFont val="WenQuanYi Zen Hei"/>
        <family val="2"/>
      </rPr>
      <t xml:space="preserve">【案】アサイン（</t>
    </r>
    <r>
      <rPr>
        <sz val="10"/>
        <rFont val="Meiryo UI"/>
        <family val="0"/>
        <charset val="1"/>
      </rPr>
      <t xml:space="preserve">ASSIGN</t>
    </r>
    <r>
      <rPr>
        <sz val="10"/>
        <rFont val="WenQuanYi Zen Hei"/>
        <family val="2"/>
      </rPr>
      <t xml:space="preserve">）の評判は？キャリア面談の中身を現役</t>
    </r>
    <r>
      <rPr>
        <sz val="10"/>
        <rFont val="Meiryo UI"/>
        <family val="0"/>
        <charset val="1"/>
      </rPr>
      <t xml:space="preserve">IT</t>
    </r>
    <r>
      <rPr>
        <sz val="10"/>
        <rFont val="WenQuanYi Zen Hei"/>
        <family val="2"/>
      </rPr>
      <t xml:space="preserve">人事が解説</t>
    </r>
  </si>
  <si>
    <r>
      <rPr>
        <sz val="10"/>
        <rFont val="WenQuanYi Zen Hei"/>
        <family val="2"/>
      </rPr>
      <t xml:space="preserve">提携可否を確認。不可ならハイクラス代替として</t>
    </r>
    <r>
      <rPr>
        <sz val="10"/>
        <rFont val="Meiryo UI"/>
        <family val="0"/>
        <charset val="1"/>
      </rPr>
      <t xml:space="preserve">JAC</t>
    </r>
    <r>
      <rPr>
        <sz val="10"/>
        <rFont val="WenQuanYi Zen Hei"/>
        <family val="2"/>
      </rPr>
      <t xml:space="preserve">へ誘導</t>
    </r>
  </si>
  <si>
    <r>
      <rPr>
        <sz val="10"/>
        <rFont val="WenQuanYi Zen Hei"/>
        <family val="2"/>
      </rPr>
      <t xml:space="preserve">要提携確認</t>
    </r>
    <r>
      <rPr>
        <sz val="10"/>
        <rFont val="Meiryo UI"/>
        <family val="0"/>
        <charset val="1"/>
      </rPr>
      <t xml:space="preserve">(</t>
    </r>
    <r>
      <rPr>
        <sz val="10"/>
        <rFont val="WenQuanYi Zen Hei"/>
        <family val="2"/>
      </rPr>
      <t xml:space="preserve">アサイン</t>
    </r>
    <r>
      <rPr>
        <sz val="10"/>
        <rFont val="Meiryo UI"/>
        <family val="0"/>
        <charset val="1"/>
      </rPr>
      <t xml:space="preserve">)</t>
    </r>
  </si>
  <si>
    <t xml:space="preserve">/ipa-exam-reform-career-impact/</t>
  </si>
  <si>
    <r>
      <rPr>
        <sz val="10"/>
        <rFont val="Meiryo UI"/>
        <family val="0"/>
        <charset val="1"/>
      </rPr>
      <t xml:space="preserve">8.9</t>
    </r>
    <r>
      <rPr>
        <sz val="10"/>
        <rFont val="WenQuanYi Zen Hei"/>
        <family val="2"/>
      </rPr>
      <t xml:space="preserve">位・</t>
    </r>
    <r>
      <rPr>
        <sz val="10"/>
        <rFont val="Meiryo UI"/>
        <family val="0"/>
        <charset val="1"/>
      </rPr>
      <t xml:space="preserve">CTR7.6%</t>
    </r>
    <r>
      <rPr>
        <sz val="10"/>
        <rFont val="WenQuanYi Zen Hei"/>
        <family val="2"/>
      </rPr>
      <t xml:space="preserve">で水準並み以上。クリックが下落（クリック</t>
    </r>
    <r>
      <rPr>
        <sz val="10"/>
        <rFont val="Meiryo UI"/>
        <family val="0"/>
        <charset val="1"/>
      </rPr>
      <t xml:space="preserve">/</t>
    </r>
    <r>
      <rPr>
        <sz val="10"/>
        <rFont val="WenQuanYi Zen Hei"/>
        <family val="2"/>
      </rPr>
      <t xml:space="preserve">日 </t>
    </r>
    <r>
      <rPr>
        <sz val="10"/>
        <rFont val="Meiryo UI"/>
        <family val="0"/>
        <charset val="1"/>
      </rPr>
      <t xml:space="preserve">0.8→0.6</t>
    </r>
    <r>
      <rPr>
        <sz val="10"/>
        <rFont val="WenQuanYi Zen Hei"/>
        <family val="2"/>
      </rPr>
      <t xml:space="preserve">）。</t>
    </r>
  </si>
  <si>
    <r>
      <rPr>
        <sz val="10"/>
        <rFont val="WenQuanYi Zen Hei"/>
        <family val="2"/>
      </rPr>
      <t xml:space="preserve">【</t>
    </r>
    <r>
      <rPr>
        <sz val="10"/>
        <rFont val="Meiryo UI"/>
        <family val="0"/>
        <charset val="1"/>
      </rPr>
      <t xml:space="preserve">IPA</t>
    </r>
    <r>
      <rPr>
        <sz val="10"/>
        <rFont val="WenQuanYi Zen Hei"/>
        <family val="2"/>
      </rPr>
      <t xml:space="preserve">改編】競合相手：</t>
    </r>
    <r>
      <rPr>
        <sz val="10"/>
        <rFont val="Meiryo UI"/>
        <family val="0"/>
        <charset val="1"/>
      </rPr>
      <t xml:space="preserve">/ipa-exam-reform-2027/</t>
    </r>
    <r>
      <rPr>
        <sz val="10"/>
        <rFont val="WenQuanYi Zen Hei"/>
        <family val="2"/>
      </rPr>
      <t xml:space="preserve">、</t>
    </r>
    <r>
      <rPr>
        <sz val="10"/>
        <rFont val="Meiryo UI"/>
        <family val="0"/>
        <charset val="1"/>
      </rPr>
      <t xml:space="preserve">/professional-digital-skill-exam/</t>
    </r>
    <r>
      <rPr>
        <sz val="10"/>
        <rFont val="WenQuanYi Zen Hei"/>
        <family val="2"/>
      </rPr>
      <t xml:space="preserve">、</t>
    </r>
    <r>
      <rPr>
        <sz val="10"/>
        <rFont val="Meiryo UI"/>
        <family val="0"/>
        <charset val="1"/>
      </rPr>
      <t xml:space="preserve">/data-management-exam/</t>
    </r>
  </si>
  <si>
    <r>
      <rPr>
        <sz val="10"/>
        <rFont val="WenQuanYi Zen Hei"/>
        <family val="2"/>
      </rPr>
      <t xml:space="preserve">【差別化して残す】担当：改編が転職・採用での評価に与える影響だけを担当。親記事（</t>
    </r>
    <r>
      <rPr>
        <sz val="10"/>
        <rFont val="Meiryo UI"/>
        <family val="0"/>
        <charset val="1"/>
      </rPr>
      <t xml:space="preserve">/ipa-exam-reform-2027/</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ページ目。本文は大きく変えず、導線の設置を優先。</t>
    </r>
  </si>
  <si>
    <t xml:space="preserve">/ctc-tenshoku-nannido/</t>
  </si>
  <si>
    <r>
      <rPr>
        <sz val="10"/>
        <rFont val="WenQuanYi Zen Hei"/>
        <family val="2"/>
      </rPr>
      <t xml:space="preserve">中堅</t>
    </r>
    <r>
      <rPr>
        <sz val="10"/>
        <rFont val="Meiryo UI"/>
        <family val="0"/>
        <charset val="1"/>
      </rPr>
      <t xml:space="preserve">SIer</t>
    </r>
    <r>
      <rPr>
        <sz val="10"/>
        <rFont val="WenQuanYi Zen Hei"/>
        <family val="2"/>
      </rPr>
      <t xml:space="preserve">企業</t>
    </r>
  </si>
  <si>
    <r>
      <rPr>
        <sz val="10"/>
        <rFont val="Meiryo UI"/>
        <family val="0"/>
        <charset val="1"/>
      </rPr>
      <t xml:space="preserve">ctc </t>
    </r>
    <r>
      <rPr>
        <sz val="10"/>
        <rFont val="WenQuanYi Zen Hei"/>
        <family val="2"/>
      </rPr>
      <t xml:space="preserve">年収 高い なぜ（</t>
    </r>
    <r>
      <rPr>
        <sz val="10"/>
        <rFont val="Meiryo UI"/>
        <family val="0"/>
        <charset val="1"/>
      </rPr>
      <t xml:space="preserve">32</t>
    </r>
    <r>
      <rPr>
        <sz val="10"/>
        <rFont val="WenQuanYi Zen Hei"/>
        <family val="2"/>
      </rPr>
      <t xml:space="preserve">表示・</t>
    </r>
    <r>
      <rPr>
        <sz val="10"/>
        <rFont val="Meiryo UI"/>
        <family val="0"/>
        <charset val="1"/>
      </rPr>
      <t xml:space="preserve">10.2</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ctc </t>
    </r>
    <r>
      <rPr>
        <sz val="10"/>
        <rFont val="WenQuanYi Zen Hei"/>
        <family val="2"/>
      </rPr>
      <t xml:space="preserve">転職（</t>
    </r>
    <r>
      <rPr>
        <sz val="10"/>
        <rFont val="Meiryo UI"/>
        <family val="0"/>
        <charset val="1"/>
      </rPr>
      <t xml:space="preserve">5</t>
    </r>
    <r>
      <rPr>
        <sz val="10"/>
        <rFont val="WenQuanYi Zen Hei"/>
        <family val="2"/>
      </rPr>
      <t xml:space="preserve">表示・</t>
    </r>
    <r>
      <rPr>
        <sz val="10"/>
        <rFont val="Meiryo UI"/>
        <family val="0"/>
        <charset val="1"/>
      </rPr>
      <t xml:space="preserve">13.8</t>
    </r>
    <r>
      <rPr>
        <sz val="10"/>
        <rFont val="WenQuanYi Zen Hei"/>
        <family val="2"/>
      </rPr>
      <t xml:space="preserve">位・</t>
    </r>
    <r>
      <rPr>
        <sz val="10"/>
        <rFont val="Meiryo UI"/>
        <family val="0"/>
        <charset val="1"/>
      </rPr>
      <t xml:space="preserve">CTR20.0%</t>
    </r>
    <r>
      <rPr>
        <sz val="10"/>
        <rFont val="WenQuanYi Zen Hei"/>
        <family val="2"/>
      </rPr>
      <t xml:space="preserve">）</t>
    </r>
  </si>
  <si>
    <r>
      <rPr>
        <sz val="10"/>
        <rFont val="Meiryo UI"/>
        <family val="0"/>
        <charset val="1"/>
      </rPr>
      <t xml:space="preserve">8.5</t>
    </r>
    <r>
      <rPr>
        <sz val="10"/>
        <rFont val="WenQuanYi Zen Hei"/>
        <family val="2"/>
      </rPr>
      <t xml:space="preserve">位・</t>
    </r>
    <r>
      <rPr>
        <sz val="10"/>
        <rFont val="Meiryo UI"/>
        <family val="0"/>
        <charset val="1"/>
      </rPr>
      <t xml:space="preserve">CTR3.6%</t>
    </r>
    <r>
      <rPr>
        <sz val="10"/>
        <rFont val="WenQuanYi Zen Hei"/>
        <family val="2"/>
      </rPr>
      <t xml:space="preserve">で水準並み以上。直近</t>
    </r>
    <r>
      <rPr>
        <sz val="10"/>
        <rFont val="Meiryo UI"/>
        <family val="0"/>
        <charset val="1"/>
      </rPr>
      <t xml:space="preserve">28</t>
    </r>
    <r>
      <rPr>
        <sz val="10"/>
        <rFont val="WenQuanYi Zen Hei"/>
        <family val="2"/>
      </rPr>
      <t xml:space="preserve">日で新規出現（クリック</t>
    </r>
    <r>
      <rPr>
        <sz val="10"/>
        <rFont val="Meiryo UI"/>
        <family val="0"/>
        <charset val="1"/>
      </rPr>
      <t xml:space="preserve">/</t>
    </r>
    <r>
      <rPr>
        <sz val="10"/>
        <rFont val="WenQuanYi Zen Hei"/>
        <family val="2"/>
      </rPr>
      <t xml:space="preserve">日 </t>
    </r>
    <r>
      <rPr>
        <sz val="10"/>
        <rFont val="Meiryo UI"/>
        <family val="0"/>
        <charset val="1"/>
      </rPr>
      <t xml:space="preserve">0.0→0.5</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0→14</t>
    </r>
    <r>
      <rPr>
        <sz val="10"/>
        <rFont val="WenQuanYi Zen Hei"/>
        <family val="2"/>
      </rPr>
      <t xml:space="preserve">）。取りこぼしクエリ：</t>
    </r>
    <r>
      <rPr>
        <sz val="10"/>
        <rFont val="Meiryo UI"/>
        <family val="0"/>
        <charset val="1"/>
      </rPr>
      <t xml:space="preserve">ctc </t>
    </r>
    <r>
      <rPr>
        <sz val="10"/>
        <rFont val="WenQuanYi Zen Hei"/>
        <family val="2"/>
      </rPr>
      <t xml:space="preserve">年収 高い なぜ（</t>
    </r>
    <r>
      <rPr>
        <sz val="10"/>
        <rFont val="Meiryo UI"/>
        <family val="0"/>
        <charset val="1"/>
      </rPr>
      <t xml:space="preserve">32</t>
    </r>
    <r>
      <rPr>
        <sz val="10"/>
        <rFont val="WenQuanYi Zen Hei"/>
        <family val="2"/>
      </rPr>
      <t xml:space="preserve">表示・</t>
    </r>
    <r>
      <rPr>
        <sz val="10"/>
        <rFont val="Meiryo UI"/>
        <family val="0"/>
        <charset val="1"/>
      </rPr>
      <t xml:space="preserve">10.2</t>
    </r>
    <r>
      <rPr>
        <sz val="10"/>
        <rFont val="WenQuanYi Zen Hei"/>
        <family val="2"/>
      </rPr>
      <t xml:space="preserve">位）。</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</si>
  <si>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t>
    </r>
    <r>
      <rPr>
        <sz val="10"/>
        <rFont val="Meiryo UI"/>
        <family val="0"/>
        <charset val="1"/>
      </rPr>
      <t xml:space="preserve">ctc </t>
    </r>
    <r>
      <rPr>
        <sz val="10"/>
        <rFont val="WenQuanYi Zen Hei"/>
        <family val="2"/>
      </rPr>
      <t xml:space="preserve">年収 高い なぜ」向けの見出し追加と導線の設置に留める。</t>
    </r>
  </si>
  <si>
    <r>
      <rPr>
        <sz val="10"/>
        <rFont val="WenQuanYi Zen Hei"/>
        <family val="2"/>
      </rPr>
      <t xml:space="preserve">大きな変更は不要。タイトルに「</t>
    </r>
    <r>
      <rPr>
        <sz val="10"/>
        <rFont val="Meiryo UI"/>
        <family val="0"/>
        <charset val="1"/>
      </rPr>
      <t xml:space="preserve">ctc </t>
    </r>
    <r>
      <rPr>
        <sz val="10"/>
        <rFont val="WenQuanYi Zen Hei"/>
        <family val="2"/>
      </rPr>
      <t xml:space="preserve">年収 高い なぜ」が入っていなければ追加。</t>
    </r>
  </si>
  <si>
    <r>
      <rPr>
        <sz val="10"/>
        <rFont val="WenQuanYi Zen Hei"/>
        <family val="2"/>
      </rPr>
      <t xml:space="preserve">年収・難易度の表の直下に「中途の条件は応募経路と交渉で変わる。エージェント経由なら面接傾向と年収レンジを事前に聞ける」→リクルートエージェント</t>
    </r>
    <r>
      <rPr>
        <sz val="10"/>
        <rFont val="Meiryo UI"/>
        <family val="0"/>
        <charset val="1"/>
      </rPr>
      <t xml:space="preserve">(VC)</t>
    </r>
    <r>
      <rPr>
        <sz val="10"/>
        <rFont val="WenQuanYi Zen Hei"/>
        <family val="2"/>
      </rPr>
      <t xml:space="preserve">。記事末に「入社後のギャップは口コミで確認」→転職会議。</t>
    </r>
  </si>
  <si>
    <t xml:space="preserve">/kyujinhyo-black-kigyo-checklist/</t>
  </si>
  <si>
    <t xml:space="preserve">求人票の見方</t>
  </si>
  <si>
    <r>
      <rPr>
        <sz val="10"/>
        <rFont val="WenQuanYi Zen Hei"/>
        <family val="2"/>
      </rPr>
      <t xml:space="preserve">こんな求人票は要注意（</t>
    </r>
    <r>
      <rPr>
        <sz val="10"/>
        <rFont val="Meiryo UI"/>
        <family val="0"/>
        <charset val="1"/>
      </rPr>
      <t xml:space="preserve">97</t>
    </r>
    <r>
      <rPr>
        <sz val="10"/>
        <rFont val="WenQuanYi Zen Hei"/>
        <family val="2"/>
      </rPr>
      <t xml:space="preserve">表示・</t>
    </r>
    <r>
      <rPr>
        <sz val="10"/>
        <rFont val="Meiryo UI"/>
        <family val="0"/>
        <charset val="1"/>
      </rPr>
      <t xml:space="preserve">10.4</t>
    </r>
    <r>
      <rPr>
        <sz val="10"/>
        <rFont val="WenQuanYi Zen Hei"/>
        <family val="2"/>
      </rPr>
      <t xml:space="preserve">位・</t>
    </r>
    <r>
      <rPr>
        <sz val="10"/>
        <rFont val="Meiryo UI"/>
        <family val="0"/>
        <charset val="1"/>
      </rPr>
      <t xml:space="preserve">CTR3.1%</t>
    </r>
    <r>
      <rPr>
        <sz val="10"/>
        <rFont val="WenQuanYi Zen Hei"/>
        <family val="2"/>
      </rPr>
      <t xml:space="preserve">）</t>
    </r>
  </si>
  <si>
    <r>
      <rPr>
        <sz val="10"/>
        <rFont val="WenQuanYi Zen Hei"/>
        <family val="2"/>
      </rPr>
      <t xml:space="preserve">平均</t>
    </r>
    <r>
      <rPr>
        <sz val="10"/>
        <rFont val="Meiryo UI"/>
        <family val="0"/>
        <charset val="1"/>
      </rPr>
      <t xml:space="preserve">13.0</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ページ目の手前（あと一歩）。取りこぼしクエリ：こんな求人票は要注意（</t>
    </r>
    <r>
      <rPr>
        <sz val="10"/>
        <rFont val="Meiryo UI"/>
        <family val="0"/>
        <charset val="1"/>
      </rPr>
      <t xml:space="preserve">97</t>
    </r>
    <r>
      <rPr>
        <sz val="10"/>
        <rFont val="WenQuanYi Zen Hei"/>
        <family val="2"/>
      </rPr>
      <t xml:space="preserve">表示・</t>
    </r>
    <r>
      <rPr>
        <sz val="10"/>
        <rFont val="Meiryo UI"/>
        <family val="0"/>
        <charset val="1"/>
      </rPr>
      <t xml:space="preserve">10.4</t>
    </r>
    <r>
      <rPr>
        <sz val="10"/>
        <rFont val="WenQuanYi Zen Hei"/>
        <family val="2"/>
      </rPr>
      <t xml:space="preserve">位）。</t>
    </r>
  </si>
  <si>
    <r>
      <rPr>
        <sz val="10"/>
        <rFont val="WenQuanYi Zen Hei"/>
        <family val="2"/>
      </rPr>
      <t xml:space="preserve">【求人票の見方】競合相手：</t>
    </r>
    <r>
      <rPr>
        <sz val="10"/>
        <rFont val="Meiryo UI"/>
        <family val="0"/>
        <charset val="1"/>
      </rPr>
      <t xml:space="preserve">/kyujinho-mikata-point/</t>
    </r>
  </si>
  <si>
    <r>
      <rPr>
        <sz val="10"/>
        <rFont val="WenQuanYi Zen Hei"/>
        <family val="2"/>
      </rPr>
      <t xml:space="preserve">【親記事（統合先）】担当：求人票の見方・ブラック企業チェックリスト（求人票系のハブ）。統合する子記事の固有情報を取り込み、同グループの記事から内部リンクを集める。
</t>
    </r>
    <r>
      <rPr>
        <sz val="10"/>
        <rFont val="Meiryo UI"/>
        <family val="0"/>
        <charset val="1"/>
      </rPr>
      <t xml:space="preserve">1</t>
    </r>
    <r>
      <rPr>
        <sz val="10"/>
        <rFont val="WenQuanYi Zen Hei"/>
        <family val="2"/>
      </rPr>
      <t xml:space="preserve">ページ目の手前。「こんな求人票は要注意」を含む見出しを追加して網羅性を補強し、同テーマの上位記事から内部リンクを追加して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</si>
  <si>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順位の改善が先。タイトルは「こんな求人票は要注意」を含む形に整える程度に。</t>
  </si>
  <si>
    <t xml:space="preserve">「応募前の確認方法」の見出しで「求人票に書かれない実態は口コミで確認」→転職会議。記事末に「内部情報はエージェント経由で聞ける」→リクルートエージェント。</t>
  </si>
  <si>
    <t xml:space="preserve">/ses-syoryu-toritekiho-tenshoku/</t>
  </si>
  <si>
    <t xml:space="preserve">SES</t>
  </si>
  <si>
    <r>
      <rPr>
        <sz val="10"/>
        <rFont val="Meiryo UI"/>
        <family val="0"/>
        <charset val="1"/>
      </rPr>
      <t xml:space="preserve">ses </t>
    </r>
    <r>
      <rPr>
        <sz val="10"/>
        <rFont val="WenQuanYi Zen Hei"/>
        <family val="2"/>
      </rPr>
      <t xml:space="preserve">見分け方（</t>
    </r>
    <r>
      <rPr>
        <sz val="10"/>
        <rFont val="Meiryo UI"/>
        <family val="0"/>
        <charset val="1"/>
      </rPr>
      <t xml:space="preserve">247</t>
    </r>
    <r>
      <rPr>
        <sz val="10"/>
        <rFont val="WenQuanYi Zen Hei"/>
        <family val="2"/>
      </rPr>
      <t xml:space="preserve">表示・</t>
    </r>
    <r>
      <rPr>
        <sz val="10"/>
        <rFont val="Meiryo UI"/>
        <family val="0"/>
        <charset val="1"/>
      </rPr>
      <t xml:space="preserve">42.8</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ses </t>
    </r>
    <r>
      <rPr>
        <sz val="10"/>
        <rFont val="WenQuanYi Zen Hei"/>
        <family val="2"/>
      </rPr>
      <t xml:space="preserve">正社員型派遣（</t>
    </r>
    <r>
      <rPr>
        <sz val="10"/>
        <rFont val="Meiryo UI"/>
        <family val="0"/>
        <charset val="1"/>
      </rPr>
      <t xml:space="preserve">25</t>
    </r>
    <r>
      <rPr>
        <sz val="10"/>
        <rFont val="WenQuanYi Zen Hei"/>
        <family val="2"/>
      </rPr>
      <t xml:space="preserve">表示・</t>
    </r>
    <r>
      <rPr>
        <sz val="10"/>
        <rFont val="Meiryo UI"/>
        <family val="0"/>
        <charset val="1"/>
      </rPr>
      <t xml:space="preserve">10.8</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正社員型派遣 </t>
    </r>
    <r>
      <rPr>
        <sz val="10"/>
        <rFont val="Meiryo UI"/>
        <family val="0"/>
        <charset val="1"/>
      </rPr>
      <t xml:space="preserve">ses</t>
    </r>
    <r>
      <rPr>
        <sz val="10"/>
        <rFont val="WenQuanYi Zen Hei"/>
        <family val="2"/>
      </rPr>
      <t xml:space="preserve">（</t>
    </r>
    <r>
      <rPr>
        <sz val="10"/>
        <rFont val="Meiryo UI"/>
        <family val="0"/>
        <charset val="1"/>
      </rPr>
      <t xml:space="preserve">11</t>
    </r>
    <r>
      <rPr>
        <sz val="10"/>
        <rFont val="WenQuanYi Zen Hei"/>
        <family val="2"/>
      </rPr>
      <t xml:space="preserve">表示・</t>
    </r>
    <r>
      <rPr>
        <sz val="10"/>
        <rFont val="Meiryo UI"/>
        <family val="0"/>
        <charset val="1"/>
      </rPr>
      <t xml:space="preserve">10.1</t>
    </r>
    <r>
      <rPr>
        <sz val="10"/>
        <rFont val="WenQuanYi Zen Hei"/>
        <family val="2"/>
      </rPr>
      <t xml:space="preserve">位・</t>
    </r>
    <r>
      <rPr>
        <sz val="10"/>
        <rFont val="Meiryo UI"/>
        <family val="0"/>
        <charset val="1"/>
      </rPr>
      <t xml:space="preserve">CTR9.1%</t>
    </r>
    <r>
      <rPr>
        <sz val="10"/>
        <rFont val="WenQuanYi Zen Hei"/>
        <family val="2"/>
      </rPr>
      <t xml:space="preserve">）</t>
    </r>
  </si>
  <si>
    <r>
      <rPr>
        <sz val="10"/>
        <rFont val="Meiryo UI"/>
        <family val="0"/>
        <charset val="1"/>
      </rPr>
      <t xml:space="preserve">9.9</t>
    </r>
    <r>
      <rPr>
        <sz val="10"/>
        <rFont val="WenQuanYi Zen Hei"/>
        <family val="2"/>
      </rPr>
      <t xml:space="preserve">位で</t>
    </r>
    <r>
      <rPr>
        <sz val="10"/>
        <rFont val="Meiryo UI"/>
        <family val="0"/>
        <charset val="1"/>
      </rPr>
      <t xml:space="preserve">CTR1.3%</t>
    </r>
    <r>
      <rPr>
        <sz val="10"/>
        <rFont val="WenQuanYi Zen Hei"/>
        <family val="2"/>
      </rPr>
      <t xml:space="preserve">（同順位の目標</t>
    </r>
    <r>
      <rPr>
        <sz val="10"/>
        <rFont val="Meiryo UI"/>
        <family val="0"/>
        <charset val="1"/>
      </rPr>
      <t xml:space="preserve">4%</t>
    </r>
    <r>
      <rPr>
        <sz val="10"/>
        <rFont val="WenQuanYi Zen Hei"/>
        <family val="2"/>
      </rPr>
      <t xml:space="preserve">を大きく下回る）。タイトル・説明文が検索意図に合っていない可能性。取りこぼしクエリ：</t>
    </r>
    <r>
      <rPr>
        <sz val="10"/>
        <rFont val="Meiryo UI"/>
        <family val="0"/>
        <charset val="1"/>
      </rPr>
      <t xml:space="preserve">ses </t>
    </r>
    <r>
      <rPr>
        <sz val="10"/>
        <rFont val="WenQuanYi Zen Hei"/>
        <family val="2"/>
      </rPr>
      <t xml:space="preserve">正社員型派遣（</t>
    </r>
    <r>
      <rPr>
        <sz val="10"/>
        <rFont val="Meiryo UI"/>
        <family val="0"/>
        <charset val="1"/>
      </rPr>
      <t xml:space="preserve">25</t>
    </r>
    <r>
      <rPr>
        <sz val="10"/>
        <rFont val="WenQuanYi Zen Hei"/>
        <family val="2"/>
      </rPr>
      <t xml:space="preserve">表示・</t>
    </r>
    <r>
      <rPr>
        <sz val="10"/>
        <rFont val="Meiryo UI"/>
        <family val="0"/>
        <charset val="1"/>
      </rPr>
      <t xml:space="preserve">10.8</t>
    </r>
    <r>
      <rPr>
        <sz val="10"/>
        <rFont val="WenQuanYi Zen Hei"/>
        <family val="2"/>
      </rPr>
      <t xml:space="preserve">位）。</t>
    </r>
  </si>
  <si>
    <r>
      <rPr>
        <sz val="10"/>
        <rFont val="WenQuanYi Zen Hei"/>
        <family val="2"/>
      </rPr>
      <t xml:space="preserve">【</t>
    </r>
    <r>
      <rPr>
        <sz val="10"/>
        <rFont val="Meiryo UI"/>
        <family val="0"/>
        <charset val="1"/>
      </rPr>
      <t xml:space="preserve">SES</t>
    </r>
    <r>
      <rPr>
        <sz val="10"/>
        <rFont val="WenQuanYi Zen Hei"/>
        <family val="2"/>
      </rPr>
      <t xml:space="preserve">】競合相手：</t>
    </r>
    <r>
      <rPr>
        <sz val="10"/>
        <rFont val="Meiryo UI"/>
        <family val="0"/>
        <charset val="1"/>
      </rPr>
      <t xml:space="preserve">/sier-ses-docchi/</t>
    </r>
    <r>
      <rPr>
        <sz val="10"/>
        <rFont val="WenQuanYi Zen Hei"/>
        <family val="2"/>
      </rPr>
      <t xml:space="preserve">、</t>
    </r>
    <r>
      <rPr>
        <sz val="10"/>
        <rFont val="Meiryo UI"/>
        <family val="0"/>
        <charset val="1"/>
      </rPr>
      <t xml:space="preserve">/ses-kigyou-miwakekata-erabikata/</t>
    </r>
    <r>
      <rPr>
        <sz val="10"/>
        <rFont val="WenQuanYi Zen Hei"/>
        <family val="2"/>
      </rPr>
      <t xml:space="preserve">、</t>
    </r>
    <r>
      <rPr>
        <sz val="10"/>
        <rFont val="Meiryo UI"/>
        <family val="0"/>
        <charset val="1"/>
      </rPr>
      <t xml:space="preserve">/seishain-haken-ses-chigai/</t>
    </r>
  </si>
  <si>
    <r>
      <rPr>
        <sz val="10"/>
        <rFont val="WenQuanYi Zen Hei"/>
        <family val="2"/>
      </rPr>
      <t xml:space="preserve">【差別化して残す】担当：商流・取適法（下請法改正）だけを担当。親記事（</t>
    </r>
    <r>
      <rPr>
        <sz val="10"/>
        <rFont val="Meiryo UI"/>
        <family val="0"/>
        <charset val="1"/>
      </rPr>
      <t xml:space="preserve">/ses-kigyou-miwakekata-erabikata/</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t>
    </r>
    <r>
      <rPr>
        <sz val="10"/>
        <rFont val="Meiryo UI"/>
        <family val="0"/>
        <charset val="1"/>
      </rPr>
      <t xml:space="preserve">ses </t>
    </r>
    <r>
      <rPr>
        <sz val="10"/>
        <rFont val="WenQuanYi Zen Hei"/>
        <family val="2"/>
      </rPr>
      <t xml:space="preserve">正社員型派遣」向けの見出し追加と導線の設置に留める。</t>
    </r>
  </si>
  <si>
    <r>
      <rPr>
        <sz val="10"/>
        <rFont val="Meiryo UI"/>
        <family val="0"/>
        <charset val="1"/>
      </rPr>
      <t xml:space="preserve">CTR</t>
    </r>
    <r>
      <rPr>
        <sz val="10"/>
        <rFont val="WenQuanYi Zen Hei"/>
        <family val="2"/>
      </rPr>
      <t xml:space="preserve">が低い。タイトル先頭に「</t>
    </r>
    <r>
      <rPr>
        <sz val="10"/>
        <rFont val="Meiryo UI"/>
        <family val="0"/>
        <charset val="1"/>
      </rPr>
      <t xml:space="preserve">ses </t>
    </r>
    <r>
      <rPr>
        <sz val="10"/>
        <rFont val="WenQuanYi Zen Hei"/>
        <family val="2"/>
      </rPr>
      <t xml:space="preserve">見分け方」を入れ、疑問形のクエリには説明文の冒頭で答えを言い切る。「現役</t>
    </r>
    <r>
      <rPr>
        <sz val="10"/>
        <rFont val="Meiryo UI"/>
        <family val="0"/>
        <charset val="1"/>
      </rPr>
      <t xml:space="preserve">IT</t>
    </r>
    <r>
      <rPr>
        <sz val="10"/>
        <rFont val="WenQuanYi Zen Hei"/>
        <family val="2"/>
      </rPr>
      <t xml:space="preserve">人事」の要素は残す。</t>
    </r>
  </si>
  <si>
    <t xml:space="preserve">/maker-sier-tier/</t>
  </si>
  <si>
    <r>
      <rPr>
        <sz val="10"/>
        <rFont val="WenQuanYi Zen Hei"/>
        <family val="2"/>
      </rPr>
      <t xml:space="preserve">メーカー系</t>
    </r>
    <r>
      <rPr>
        <sz val="10"/>
        <rFont val="Meiryo UI"/>
        <family val="0"/>
        <charset val="1"/>
      </rPr>
      <t xml:space="preserve">SIer</t>
    </r>
  </si>
  <si>
    <r>
      <rPr>
        <sz val="10"/>
        <rFont val="WenQuanYi Zen Hei"/>
        <family val="2"/>
      </rPr>
      <t xml:space="preserve">メーカー系</t>
    </r>
    <r>
      <rPr>
        <sz val="10"/>
        <rFont val="Meiryo UI"/>
        <family val="0"/>
        <charset val="1"/>
      </rPr>
      <t xml:space="preserve">sier</t>
    </r>
    <r>
      <rPr>
        <sz val="10"/>
        <rFont val="WenQuanYi Zen Hei"/>
        <family val="2"/>
      </rPr>
      <t xml:space="preserve">一覧（</t>
    </r>
    <r>
      <rPr>
        <sz val="10"/>
        <rFont val="Meiryo UI"/>
        <family val="0"/>
        <charset val="1"/>
      </rPr>
      <t xml:space="preserve">64</t>
    </r>
    <r>
      <rPr>
        <sz val="10"/>
        <rFont val="WenQuanYi Zen Hei"/>
        <family val="2"/>
      </rPr>
      <t xml:space="preserve">表示・</t>
    </r>
    <r>
      <rPr>
        <sz val="10"/>
        <rFont val="Meiryo UI"/>
        <family val="0"/>
        <charset val="1"/>
      </rPr>
      <t xml:space="preserve">29.3</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メーカー系</t>
    </r>
    <r>
      <rPr>
        <sz val="10"/>
        <rFont val="Meiryo UI"/>
        <family val="0"/>
        <charset val="1"/>
      </rPr>
      <t xml:space="preserve">sier</t>
    </r>
    <r>
      <rPr>
        <sz val="10"/>
        <rFont val="WenQuanYi Zen Hei"/>
        <family val="2"/>
      </rPr>
      <t xml:space="preserve">（</t>
    </r>
    <r>
      <rPr>
        <sz val="10"/>
        <rFont val="Meiryo UI"/>
        <family val="0"/>
        <charset val="1"/>
      </rPr>
      <t xml:space="preserve">44</t>
    </r>
    <r>
      <rPr>
        <sz val="10"/>
        <rFont val="WenQuanYi Zen Hei"/>
        <family val="2"/>
      </rPr>
      <t xml:space="preserve">表示・</t>
    </r>
    <r>
      <rPr>
        <sz val="10"/>
        <rFont val="Meiryo UI"/>
        <family val="0"/>
        <charset val="1"/>
      </rPr>
      <t xml:space="preserve">41.9</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</si>
  <si>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9.2</t>
    </r>
    <r>
      <rPr>
        <sz val="10"/>
        <rFont val="WenQuanYi Zen Hei"/>
        <family val="2"/>
      </rPr>
      <t xml:space="preserve">位・</t>
    </r>
    <r>
      <rPr>
        <sz val="10"/>
        <rFont val="Meiryo UI"/>
        <family val="0"/>
        <charset val="1"/>
      </rPr>
      <t xml:space="preserve">CTR5.1%</t>
    </r>
    <r>
      <rPr>
        <sz val="10"/>
        <rFont val="WenQuanYi Zen Hei"/>
        <family val="2"/>
      </rPr>
      <t xml:space="preserve">で水準並み以上。取りこぼしクエリ：メーカー系</t>
    </r>
    <r>
      <rPr>
        <sz val="10"/>
        <rFont val="Meiryo UI"/>
        <family val="0"/>
        <charset val="1"/>
      </rPr>
      <t xml:space="preserve">sier</t>
    </r>
    <r>
      <rPr>
        <sz val="10"/>
        <rFont val="WenQuanYi Zen Hei"/>
        <family val="2"/>
      </rPr>
      <t xml:space="preserve">一覧（</t>
    </r>
    <r>
      <rPr>
        <sz val="10"/>
        <rFont val="Meiryo UI"/>
        <family val="0"/>
        <charset val="1"/>
      </rPr>
      <t xml:space="preserve">64</t>
    </r>
    <r>
      <rPr>
        <sz val="10"/>
        <rFont val="WenQuanYi Zen Hei"/>
        <family val="2"/>
      </rPr>
      <t xml:space="preserve">表示・</t>
    </r>
    <r>
      <rPr>
        <sz val="10"/>
        <rFont val="Meiryo UI"/>
        <family val="0"/>
        <charset val="1"/>
      </rPr>
      <t xml:space="preserve">29.3</t>
    </r>
    <r>
      <rPr>
        <sz val="10"/>
        <rFont val="WenQuanYi Zen Hei"/>
        <family val="2"/>
      </rPr>
      <t xml:space="preserve">位）。</t>
    </r>
  </si>
  <si>
    <r>
      <rPr>
        <sz val="10"/>
        <rFont val="WenQuanYi Zen Hei"/>
        <family val="2"/>
      </rPr>
      <t xml:space="preserve">【メーカー系</t>
    </r>
    <r>
      <rPr>
        <sz val="10"/>
        <rFont val="Meiryo UI"/>
        <family val="0"/>
        <charset val="1"/>
      </rPr>
      <t xml:space="preserve">SIer</t>
    </r>
    <r>
      <rPr>
        <sz val="10"/>
        <rFont val="WenQuanYi Zen Hei"/>
        <family val="2"/>
      </rPr>
      <t xml:space="preserve">】競合相手：</t>
    </r>
    <r>
      <rPr>
        <sz val="10"/>
        <rFont val="Meiryo UI"/>
        <family val="0"/>
        <charset val="1"/>
      </rPr>
      <t xml:space="preserve">/maker-sier-white-ranking/</t>
    </r>
  </si>
  <si>
    <r>
      <rPr>
        <sz val="10"/>
        <rFont val="WenQuanYi Zen Hei"/>
        <family val="2"/>
      </rPr>
      <t xml:space="preserve">【親記事（統合先）】担当：メーカー系</t>
    </r>
    <r>
      <rPr>
        <sz val="10"/>
        <rFont val="Meiryo UI"/>
        <family val="0"/>
        <charset val="1"/>
      </rPr>
      <t xml:space="preserve">SIer</t>
    </r>
    <r>
      <rPr>
        <sz val="10"/>
        <rFont val="WenQuanYi Zen Hei"/>
        <family val="2"/>
      </rPr>
      <t xml:space="preserve">の一覧・</t>
    </r>
    <r>
      <rPr>
        <sz val="10"/>
        <rFont val="Meiryo UI"/>
        <family val="0"/>
        <charset val="1"/>
      </rPr>
      <t xml:space="preserve">Tier</t>
    </r>
    <r>
      <rPr>
        <sz val="10"/>
        <rFont val="WenQuanYi Zen Hei"/>
        <family val="2"/>
      </rPr>
      <t xml:space="preserve">・ホワイトランキング。統合する子記事の固有情報を取り込み、同グループの記事から内部リンクを集める。
順位は</t>
    </r>
    <r>
      <rPr>
        <sz val="10"/>
        <rFont val="Meiryo UI"/>
        <family val="0"/>
        <charset val="1"/>
      </rPr>
      <t xml:space="preserve">1</t>
    </r>
    <r>
      <rPr>
        <sz val="10"/>
        <rFont val="WenQuanYi Zen Hei"/>
        <family val="2"/>
      </rPr>
      <t xml:space="preserve">ページ目。本文は大きく変えず、「メーカー系</t>
    </r>
    <r>
      <rPr>
        <sz val="10"/>
        <rFont val="Meiryo UI"/>
        <family val="0"/>
        <charset val="1"/>
      </rPr>
      <t xml:space="preserve">sier</t>
    </r>
    <r>
      <rPr>
        <sz val="10"/>
        <rFont val="WenQuanYi Zen Hei"/>
        <family val="2"/>
      </rPr>
      <t xml:space="preserve">一覧」向けの見出し追加と導線の設置に留める。</t>
    </r>
  </si>
  <si>
    <r>
      <rPr>
        <sz val="10"/>
        <rFont val="WenQuanYi Zen Hei"/>
        <family val="2"/>
      </rPr>
      <t xml:space="preserve">大きな変更は不要。タイトルに「メーカー系</t>
    </r>
    <r>
      <rPr>
        <sz val="10"/>
        <rFont val="Meiryo UI"/>
        <family val="0"/>
        <charset val="1"/>
      </rPr>
      <t xml:space="preserve">sier</t>
    </r>
    <r>
      <rPr>
        <sz val="10"/>
        <rFont val="WenQuanYi Zen Hei"/>
        <family val="2"/>
      </rPr>
      <t xml:space="preserve">一覧」が入っていなければ追加。</t>
    </r>
  </si>
  <si>
    <t xml:space="preserve">/linuc-lpic-level2-aws-saa-difficulty/</t>
  </si>
  <si>
    <r>
      <rPr>
        <sz val="10"/>
        <rFont val="Meiryo UI"/>
        <family val="0"/>
        <charset val="1"/>
      </rPr>
      <t xml:space="preserve">Linux</t>
    </r>
    <r>
      <rPr>
        <sz val="10"/>
        <rFont val="WenQuanYi Zen Hei"/>
        <family val="2"/>
      </rPr>
      <t xml:space="preserve">資格</t>
    </r>
  </si>
  <si>
    <r>
      <rPr>
        <sz val="10"/>
        <rFont val="Meiryo UI"/>
        <family val="0"/>
        <charset val="1"/>
      </rPr>
      <t xml:space="preserve">linuc level2 </t>
    </r>
    <r>
      <rPr>
        <sz val="10"/>
        <rFont val="WenQuanYi Zen Hei"/>
        <family val="2"/>
      </rPr>
      <t xml:space="preserve">難易度（</t>
    </r>
    <r>
      <rPr>
        <sz val="10"/>
        <rFont val="Meiryo UI"/>
        <family val="0"/>
        <charset val="1"/>
      </rPr>
      <t xml:space="preserve">55</t>
    </r>
    <r>
      <rPr>
        <sz val="10"/>
        <rFont val="WenQuanYi Zen Hei"/>
        <family val="2"/>
      </rPr>
      <t xml:space="preserve">表示・</t>
    </r>
    <r>
      <rPr>
        <sz val="10"/>
        <rFont val="Meiryo UI"/>
        <family val="0"/>
        <charset val="1"/>
      </rPr>
      <t xml:space="preserve">10.0</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linuc</t>
    </r>
    <r>
      <rPr>
        <sz val="10"/>
        <rFont val="WenQuanYi Zen Hei"/>
        <family val="2"/>
      </rPr>
      <t xml:space="preserve">レベル</t>
    </r>
    <r>
      <rPr>
        <sz val="10"/>
        <rFont val="Meiryo UI"/>
        <family val="0"/>
        <charset val="1"/>
      </rPr>
      <t xml:space="preserve">2 </t>
    </r>
    <r>
      <rPr>
        <sz val="10"/>
        <rFont val="WenQuanYi Zen Hei"/>
        <family val="2"/>
      </rPr>
      <t xml:space="preserve">合格率（</t>
    </r>
    <r>
      <rPr>
        <sz val="10"/>
        <rFont val="Meiryo UI"/>
        <family val="0"/>
        <charset val="1"/>
      </rPr>
      <t xml:space="preserve">26</t>
    </r>
    <r>
      <rPr>
        <sz val="10"/>
        <rFont val="WenQuanYi Zen Hei"/>
        <family val="2"/>
      </rPr>
      <t xml:space="preserve">表示・</t>
    </r>
    <r>
      <rPr>
        <sz val="10"/>
        <rFont val="Meiryo UI"/>
        <family val="0"/>
        <charset val="1"/>
      </rPr>
      <t xml:space="preserve">9.7</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lpic2 </t>
    </r>
    <r>
      <rPr>
        <sz val="10"/>
        <rFont val="WenQuanYi Zen Hei"/>
        <family val="2"/>
      </rPr>
      <t xml:space="preserve">転職（</t>
    </r>
    <r>
      <rPr>
        <sz val="10"/>
        <rFont val="Meiryo UI"/>
        <family val="0"/>
        <charset val="1"/>
      </rPr>
      <t xml:space="preserve">26</t>
    </r>
    <r>
      <rPr>
        <sz val="10"/>
        <rFont val="WenQuanYi Zen Hei"/>
        <family val="2"/>
      </rPr>
      <t xml:space="preserve">表示・</t>
    </r>
    <r>
      <rPr>
        <sz val="10"/>
        <rFont val="Meiryo UI"/>
        <family val="0"/>
        <charset val="1"/>
      </rPr>
      <t xml:space="preserve">38.9</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</si>
  <si>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9.1</t>
    </r>
    <r>
      <rPr>
        <sz val="10"/>
        <rFont val="WenQuanYi Zen Hei"/>
        <family val="2"/>
      </rPr>
      <t xml:space="preserve">位・</t>
    </r>
    <r>
      <rPr>
        <sz val="10"/>
        <rFont val="Meiryo UI"/>
        <family val="0"/>
        <charset val="1"/>
      </rPr>
      <t xml:space="preserve">CTR4.0%</t>
    </r>
    <r>
      <rPr>
        <sz val="10"/>
        <rFont val="WenQuanYi Zen Hei"/>
        <family val="2"/>
      </rPr>
      <t xml:space="preserve">で水準並み以上。クリックが下落（クリック</t>
    </r>
    <r>
      <rPr>
        <sz val="10"/>
        <rFont val="Meiryo UI"/>
        <family val="0"/>
        <charset val="1"/>
      </rPr>
      <t xml:space="preserve">/</t>
    </r>
    <r>
      <rPr>
        <sz val="10"/>
        <rFont val="WenQuanYi Zen Hei"/>
        <family val="2"/>
      </rPr>
      <t xml:space="preserve">日 </t>
    </r>
    <r>
      <rPr>
        <sz val="10"/>
        <rFont val="Meiryo UI"/>
        <family val="0"/>
        <charset val="1"/>
      </rPr>
      <t xml:space="preserve">0.6→0.4</t>
    </r>
    <r>
      <rPr>
        <sz val="10"/>
        <rFont val="WenQuanYi Zen Hei"/>
        <family val="2"/>
      </rPr>
      <t xml:space="preserve">）。取りこぼしクエリ：</t>
    </r>
    <r>
      <rPr>
        <sz val="10"/>
        <rFont val="Meiryo UI"/>
        <family val="0"/>
        <charset val="1"/>
      </rPr>
      <t xml:space="preserve">linuc level2 </t>
    </r>
    <r>
      <rPr>
        <sz val="10"/>
        <rFont val="WenQuanYi Zen Hei"/>
        <family val="2"/>
      </rPr>
      <t xml:space="preserve">難易度（</t>
    </r>
    <r>
      <rPr>
        <sz val="10"/>
        <rFont val="Meiryo UI"/>
        <family val="0"/>
        <charset val="1"/>
      </rPr>
      <t xml:space="preserve">55</t>
    </r>
    <r>
      <rPr>
        <sz val="10"/>
        <rFont val="WenQuanYi Zen Hei"/>
        <family val="2"/>
      </rPr>
      <t xml:space="preserve">表示・</t>
    </r>
    <r>
      <rPr>
        <sz val="10"/>
        <rFont val="Meiryo UI"/>
        <family val="0"/>
        <charset val="1"/>
      </rPr>
      <t xml:space="preserve">10.0</t>
    </r>
    <r>
      <rPr>
        <sz val="10"/>
        <rFont val="WenQuanYi Zen Hei"/>
        <family val="2"/>
      </rPr>
      <t xml:space="preserve">位）。</t>
    </r>
  </si>
  <si>
    <r>
      <rPr>
        <sz val="10"/>
        <rFont val="WenQuanYi Zen Hei"/>
        <family val="2"/>
      </rPr>
      <t xml:space="preserve">【</t>
    </r>
    <r>
      <rPr>
        <sz val="10"/>
        <rFont val="Meiryo UI"/>
        <family val="0"/>
        <charset val="1"/>
      </rPr>
      <t xml:space="preserve">Linux</t>
    </r>
    <r>
      <rPr>
        <sz val="10"/>
        <rFont val="WenQuanYi Zen Hei"/>
        <family val="2"/>
      </rPr>
      <t xml:space="preserve">資格】競合相手：</t>
    </r>
    <r>
      <rPr>
        <sz val="10"/>
        <rFont val="Meiryo UI"/>
        <family val="0"/>
        <charset val="1"/>
      </rPr>
      <t xml:space="preserve">/linuc-lpic-difference/</t>
    </r>
  </si>
  <si>
    <r>
      <rPr>
        <sz val="10"/>
        <rFont val="WenQuanYi Zen Hei"/>
        <family val="2"/>
      </rPr>
      <t xml:space="preserve">【差別化して残す】担当：レベル</t>
    </r>
    <r>
      <rPr>
        <sz val="10"/>
        <rFont val="Meiryo UI"/>
        <family val="0"/>
        <charset val="1"/>
      </rPr>
      <t xml:space="preserve">2</t>
    </r>
    <r>
      <rPr>
        <sz val="10"/>
        <rFont val="WenQuanYi Zen Hei"/>
        <family val="2"/>
      </rPr>
      <t xml:space="preserve">の難易度・</t>
    </r>
    <r>
      <rPr>
        <sz val="10"/>
        <rFont val="Meiryo UI"/>
        <family val="0"/>
        <charset val="1"/>
      </rPr>
      <t xml:space="preserve">AWS SAA</t>
    </r>
    <r>
      <rPr>
        <sz val="10"/>
        <rFont val="WenQuanYi Zen Hei"/>
        <family val="2"/>
      </rPr>
      <t xml:space="preserve">との比較だけを担当。親記事（</t>
    </r>
    <r>
      <rPr>
        <sz val="10"/>
        <rFont val="Meiryo UI"/>
        <family val="0"/>
        <charset val="1"/>
      </rPr>
      <t xml:space="preserve">/linuc-lpic-difference/</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t>
    </r>
    <r>
      <rPr>
        <sz val="10"/>
        <rFont val="Meiryo UI"/>
        <family val="0"/>
        <charset val="1"/>
      </rPr>
      <t xml:space="preserve">linuc level2 </t>
    </r>
    <r>
      <rPr>
        <sz val="10"/>
        <rFont val="WenQuanYi Zen Hei"/>
        <family val="2"/>
      </rPr>
      <t xml:space="preserve">難易度」向けの見出し追加と導線の設置に留める。</t>
    </r>
  </si>
  <si>
    <r>
      <rPr>
        <sz val="10"/>
        <rFont val="WenQuanYi Zen Hei"/>
        <family val="2"/>
      </rPr>
      <t xml:space="preserve">大きな変更は不要。タイトルに「</t>
    </r>
    <r>
      <rPr>
        <sz val="10"/>
        <rFont val="Meiryo UI"/>
        <family val="0"/>
        <charset val="1"/>
      </rPr>
      <t xml:space="preserve">linuc level2 </t>
    </r>
    <r>
      <rPr>
        <sz val="10"/>
        <rFont val="WenQuanYi Zen Hei"/>
        <family val="2"/>
      </rPr>
      <t xml:space="preserve">難易度」が入っていなければ追加。</t>
    </r>
  </si>
  <si>
    <t xml:space="preserve">/engineer-ai-nakunaru/</t>
  </si>
  <si>
    <r>
      <rPr>
        <sz val="10"/>
        <rFont val="Meiryo UI"/>
        <family val="0"/>
        <charset val="1"/>
      </rPr>
      <t xml:space="preserve">AI</t>
    </r>
    <r>
      <rPr>
        <sz val="10"/>
        <rFont val="WenQuanYi Zen Hei"/>
        <family val="2"/>
      </rPr>
      <t xml:space="preserve">時代のキャリア</t>
    </r>
  </si>
  <si>
    <r>
      <rPr>
        <sz val="10"/>
        <rFont val="WenQuanYi Zen Hei"/>
        <family val="2"/>
      </rPr>
      <t xml:space="preserve">エンジニア 不要（</t>
    </r>
    <r>
      <rPr>
        <sz val="10"/>
        <rFont val="Meiryo UI"/>
        <family val="0"/>
        <charset val="1"/>
      </rPr>
      <t xml:space="preserve">1</t>
    </r>
    <r>
      <rPr>
        <sz val="10"/>
        <rFont val="WenQuanYi Zen Hei"/>
        <family val="2"/>
      </rPr>
      <t xml:space="preserve">表示・</t>
    </r>
    <r>
      <rPr>
        <sz val="10"/>
        <rFont val="Meiryo UI"/>
        <family val="0"/>
        <charset val="1"/>
      </rPr>
      <t xml:space="preserve">3.0</t>
    </r>
    <r>
      <rPr>
        <sz val="10"/>
        <rFont val="WenQuanYi Zen Hei"/>
        <family val="2"/>
      </rPr>
      <t xml:space="preserve">位・</t>
    </r>
    <r>
      <rPr>
        <sz val="10"/>
        <rFont val="Meiryo UI"/>
        <family val="0"/>
        <charset val="1"/>
      </rPr>
      <t xml:space="preserve">CTR100.0%</t>
    </r>
    <r>
      <rPr>
        <sz val="10"/>
        <rFont val="WenQuanYi Zen Hei"/>
        <family val="2"/>
      </rPr>
      <t xml:space="preserve">）</t>
    </r>
  </si>
  <si>
    <r>
      <rPr>
        <sz val="10"/>
        <rFont val="WenQuanYi Zen Hei"/>
        <family val="2"/>
      </rPr>
      <t xml:space="preserve">平均</t>
    </r>
    <r>
      <rPr>
        <sz val="10"/>
        <rFont val="Meiryo UI"/>
        <family val="0"/>
        <charset val="1"/>
      </rPr>
      <t xml:space="preserve">11.4</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</si>
  <si>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r>
      <rPr>
        <sz val="10"/>
        <rFont val="WenQuanYi Zen Hei"/>
        <family val="2"/>
      </rPr>
      <t xml:space="preserve">【</t>
    </r>
    <r>
      <rPr>
        <sz val="10"/>
        <rFont val="Meiryo UI"/>
        <family val="0"/>
        <charset val="1"/>
      </rPr>
      <t xml:space="preserve">AI</t>
    </r>
    <r>
      <rPr>
        <sz val="10"/>
        <rFont val="WenQuanYi Zen Hei"/>
        <family val="2"/>
      </rPr>
      <t xml:space="preserve">時代のキャリア】競合相手：</t>
    </r>
    <r>
      <rPr>
        <sz val="10"/>
        <rFont val="Meiryo UI"/>
        <family val="0"/>
        <charset val="1"/>
      </rPr>
      <t xml:space="preserve">/ai-jidai-engineer-skill/</t>
    </r>
    <r>
      <rPr>
        <sz val="10"/>
        <rFont val="WenQuanYi Zen Hei"/>
        <family val="2"/>
      </rPr>
      <t xml:space="preserve">、</t>
    </r>
    <r>
      <rPr>
        <sz val="10"/>
        <rFont val="Meiryo UI"/>
        <family val="0"/>
        <charset val="1"/>
      </rPr>
      <t xml:space="preserve">/engineer-touta-ikinokoru/</t>
    </r>
  </si>
  <si>
    <r>
      <rPr>
        <sz val="10"/>
        <rFont val="WenQuanYi Zen Hei"/>
        <family val="2"/>
      </rPr>
      <t xml:space="preserve">【親記事（統合先）】担当：エンジニアは</t>
    </r>
    <r>
      <rPr>
        <sz val="10"/>
        <rFont val="Meiryo UI"/>
        <family val="0"/>
        <charset val="1"/>
      </rPr>
      <t xml:space="preserve">AI</t>
    </r>
    <r>
      <rPr>
        <sz val="10"/>
        <rFont val="WenQuanYi Zen Hei"/>
        <family val="2"/>
      </rPr>
      <t xml:space="preserve">でなくなる？（</t>
    </r>
    <r>
      <rPr>
        <sz val="10"/>
        <rFont val="Meiryo UI"/>
        <family val="0"/>
        <charset val="1"/>
      </rPr>
      <t xml:space="preserve">AI</t>
    </r>
    <r>
      <rPr>
        <sz val="10"/>
        <rFont val="WenQuanYi Zen Hei"/>
        <family val="2"/>
      </rPr>
      <t xml:space="preserve">時代のキャリアの親記事）。統合する子記事の固有情報を取り込み、同グループの記事から内部リンクを集める。
</t>
    </r>
    <r>
      <rPr>
        <sz val="10"/>
        <rFont val="Meiryo UI"/>
        <family val="0"/>
        <charset val="1"/>
      </rPr>
      <t xml:space="preserve">1</t>
    </r>
    <r>
      <rPr>
        <sz val="10"/>
        <rFont val="WenQuanYi Zen Hei"/>
        <family val="2"/>
      </rPr>
      <t xml:space="preserve">ページ目の手前。「エンジニア 不要」を含む見出しを追加して網羅性を補強し、同テーマの上位記事から内部リンクを追加して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</si>
  <si>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順位の改善が先。タイトルは「エンジニア 不要」を含む形に整える程度に。</t>
  </si>
  <si>
    <r>
      <rPr>
        <sz val="10"/>
        <rFont val="WenQuanYi Zen Hei"/>
        <family val="2"/>
      </rPr>
      <t xml:space="preserve">記事末に「まず自分の市場価値を確認」としてレバテックダイレクト</t>
    </r>
    <r>
      <rPr>
        <sz val="10"/>
        <rFont val="Meiryo UI"/>
        <family val="0"/>
        <charset val="1"/>
      </rPr>
      <t xml:space="preserve">(A8)</t>
    </r>
    <r>
      <rPr>
        <sz val="10"/>
        <rFont val="WenQuanYi Zen Hei"/>
        <family val="2"/>
      </rPr>
      <t xml:space="preserve">を紹介。本文中の広告は控える。</t>
    </r>
  </si>
  <si>
    <t xml:space="preserve">/embedded-specialist-haishi/</t>
  </si>
  <si>
    <r>
      <rPr>
        <sz val="10"/>
        <rFont val="WenQuanYi Zen Hei"/>
        <family val="2"/>
      </rPr>
      <t xml:space="preserve">エンベデッドシステムスペシャリスト 転職（</t>
    </r>
    <r>
      <rPr>
        <sz val="10"/>
        <rFont val="Meiryo UI"/>
        <family val="0"/>
        <charset val="1"/>
      </rPr>
      <t xml:space="preserve">121</t>
    </r>
    <r>
      <rPr>
        <sz val="10"/>
        <rFont val="WenQuanYi Zen Hei"/>
        <family val="2"/>
      </rPr>
      <t xml:space="preserve">表示・</t>
    </r>
    <r>
      <rPr>
        <sz val="10"/>
        <rFont val="Meiryo UI"/>
        <family val="0"/>
        <charset val="1"/>
      </rPr>
      <t xml:space="preserve">25.3</t>
    </r>
    <r>
      <rPr>
        <sz val="10"/>
        <rFont val="WenQuanYi Zen Hei"/>
        <family val="2"/>
      </rPr>
      <t xml:space="preserve">位・</t>
    </r>
    <r>
      <rPr>
        <sz val="10"/>
        <rFont val="Meiryo UI"/>
        <family val="0"/>
        <charset val="1"/>
      </rPr>
      <t xml:space="preserve">CTR0.8%</t>
    </r>
    <r>
      <rPr>
        <sz val="10"/>
        <rFont val="WenQuanYi Zen Hei"/>
        <family val="2"/>
      </rPr>
      <t xml:space="preserve">） </t>
    </r>
    <r>
      <rPr>
        <sz val="10"/>
        <rFont val="Meiryo UI"/>
        <family val="0"/>
        <charset val="1"/>
      </rPr>
      <t xml:space="preserve">/ </t>
    </r>
    <r>
      <rPr>
        <sz val="10"/>
        <rFont val="WenQuanYi Zen Hei"/>
        <family val="2"/>
      </rPr>
      <t xml:space="preserve">エンベデッドシステムスペシャリスト 廃止（</t>
    </r>
    <r>
      <rPr>
        <sz val="10"/>
        <rFont val="Meiryo UI"/>
        <family val="0"/>
        <charset val="1"/>
      </rPr>
      <t xml:space="preserve">94</t>
    </r>
    <r>
      <rPr>
        <sz val="10"/>
        <rFont val="WenQuanYi Zen Hei"/>
        <family val="2"/>
      </rPr>
      <t xml:space="preserve">表示・</t>
    </r>
    <r>
      <rPr>
        <sz val="10"/>
        <rFont val="Meiryo UI"/>
        <family val="0"/>
        <charset val="1"/>
      </rPr>
      <t xml:space="preserve">2.2</t>
    </r>
    <r>
      <rPr>
        <sz val="10"/>
        <rFont val="WenQuanYi Zen Hei"/>
        <family val="2"/>
      </rPr>
      <t xml:space="preserve">位・</t>
    </r>
    <r>
      <rPr>
        <sz val="10"/>
        <rFont val="Meiryo UI"/>
        <family val="0"/>
        <charset val="1"/>
      </rPr>
      <t xml:space="preserve">CTR22.3%</t>
    </r>
    <r>
      <rPr>
        <sz val="10"/>
        <rFont val="WenQuanYi Zen Hei"/>
        <family val="2"/>
      </rPr>
      <t xml:space="preserve">） </t>
    </r>
    <r>
      <rPr>
        <sz val="10"/>
        <rFont val="Meiryo UI"/>
        <family val="0"/>
        <charset val="1"/>
      </rPr>
      <t xml:space="preserve">/ </t>
    </r>
    <r>
      <rPr>
        <sz val="10"/>
        <rFont val="WenQuanYi Zen Hei"/>
        <family val="2"/>
      </rPr>
      <t xml:space="preserve">エンベデッドシステムスペシャリスト 意味 ない（</t>
    </r>
    <r>
      <rPr>
        <sz val="10"/>
        <rFont val="Meiryo UI"/>
        <family val="0"/>
        <charset val="1"/>
      </rPr>
      <t xml:space="preserve">60</t>
    </r>
    <r>
      <rPr>
        <sz val="10"/>
        <rFont val="WenQuanYi Zen Hei"/>
        <family val="2"/>
      </rPr>
      <t xml:space="preserve">表示・</t>
    </r>
    <r>
      <rPr>
        <sz val="10"/>
        <rFont val="Meiryo UI"/>
        <family val="0"/>
        <charset val="1"/>
      </rPr>
      <t xml:space="preserve">7.4</t>
    </r>
    <r>
      <rPr>
        <sz val="10"/>
        <rFont val="WenQuanYi Zen Hei"/>
        <family val="2"/>
      </rPr>
      <t xml:space="preserve">位・</t>
    </r>
    <r>
      <rPr>
        <sz val="10"/>
        <rFont val="Meiryo UI"/>
        <family val="0"/>
        <charset val="1"/>
      </rPr>
      <t xml:space="preserve">CTR8.3%</t>
    </r>
    <r>
      <rPr>
        <sz val="10"/>
        <rFont val="WenQuanYi Zen Hei"/>
        <family val="2"/>
      </rPr>
      <t xml:space="preserve">）</t>
    </r>
  </si>
  <si>
    <r>
      <rPr>
        <sz val="10"/>
        <rFont val="WenQuanYi Zen Hei"/>
        <family val="2"/>
      </rPr>
      <t xml:space="preserve">平均</t>
    </r>
    <r>
      <rPr>
        <sz val="10"/>
        <rFont val="Meiryo UI"/>
        <family val="0"/>
        <charset val="1"/>
      </rPr>
      <t xml:space="preserve">12.7</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ページ目の手前（あと一歩）。取りこぼしクエリ：エンベデッドシステムスペシャリスト 転職（</t>
    </r>
    <r>
      <rPr>
        <sz val="10"/>
        <rFont val="Meiryo UI"/>
        <family val="0"/>
        <charset val="1"/>
      </rPr>
      <t xml:space="preserve">121</t>
    </r>
    <r>
      <rPr>
        <sz val="10"/>
        <rFont val="WenQuanYi Zen Hei"/>
        <family val="2"/>
      </rPr>
      <t xml:space="preserve">表示・</t>
    </r>
    <r>
      <rPr>
        <sz val="10"/>
        <rFont val="Meiryo UI"/>
        <family val="0"/>
        <charset val="1"/>
      </rPr>
      <t xml:space="preserve">25.3</t>
    </r>
    <r>
      <rPr>
        <sz val="10"/>
        <rFont val="WenQuanYi Zen Hei"/>
        <family val="2"/>
      </rPr>
      <t xml:space="preserve">位）。</t>
    </r>
  </si>
  <si>
    <r>
      <rPr>
        <sz val="10"/>
        <rFont val="Meiryo UI"/>
        <family val="0"/>
        <charset val="1"/>
      </rPr>
      <t xml:space="preserve">1</t>
    </r>
    <r>
      <rPr>
        <sz val="10"/>
        <rFont val="WenQuanYi Zen Hei"/>
        <family val="2"/>
      </rPr>
      <t xml:space="preserve">ページ目の手前。「エンベデッドシステムスペシャリスト 転職」を含む見出しを追加して網羅性を補強し、同テーマの上位記事から内部リンクを追加して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</si>
  <si>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順位の改善が先。タイトルは「エンベデッドシステムスペシャリスト 転職」を含む形に整える程度に。</t>
  </si>
  <si>
    <t xml:space="preserve">/tensyoku-agent-misuterareru/</t>
  </si>
  <si>
    <t xml:space="preserve">エージェント使い方</t>
  </si>
  <si>
    <r>
      <rPr>
        <sz val="10"/>
        <rFont val="WenQuanYi Zen Hei"/>
        <family val="2"/>
      </rPr>
      <t xml:space="preserve">転職エージェント 見捨てられる（</t>
    </r>
    <r>
      <rPr>
        <sz val="10"/>
        <rFont val="Meiryo UI"/>
        <family val="0"/>
        <charset val="1"/>
      </rPr>
      <t xml:space="preserve">574</t>
    </r>
    <r>
      <rPr>
        <sz val="10"/>
        <rFont val="WenQuanYi Zen Hei"/>
        <family val="2"/>
      </rPr>
      <t xml:space="preserve">表示・</t>
    </r>
    <r>
      <rPr>
        <sz val="10"/>
        <rFont val="Meiryo UI"/>
        <family val="0"/>
        <charset val="1"/>
      </rPr>
      <t xml:space="preserve">14.8</t>
    </r>
    <r>
      <rPr>
        <sz val="10"/>
        <rFont val="WenQuanYi Zen Hei"/>
        <family val="2"/>
      </rPr>
      <t xml:space="preserve">位・</t>
    </r>
    <r>
      <rPr>
        <sz val="10"/>
        <rFont val="Meiryo UI"/>
        <family val="0"/>
        <charset val="1"/>
      </rPr>
      <t xml:space="preserve">CTR0.2%</t>
    </r>
    <r>
      <rPr>
        <sz val="10"/>
        <rFont val="WenQuanYi Zen Hei"/>
        <family val="2"/>
      </rPr>
      <t xml:space="preserve">） </t>
    </r>
    <r>
      <rPr>
        <sz val="10"/>
        <rFont val="Meiryo UI"/>
        <family val="0"/>
        <charset val="1"/>
      </rPr>
      <t xml:space="preserve">/ </t>
    </r>
    <r>
      <rPr>
        <sz val="10"/>
        <rFont val="WenQuanYi Zen Hei"/>
        <family val="2"/>
      </rPr>
      <t xml:space="preserve">見捨てられる人 特徴（</t>
    </r>
    <r>
      <rPr>
        <sz val="10"/>
        <rFont val="Meiryo UI"/>
        <family val="0"/>
        <charset val="1"/>
      </rPr>
      <t xml:space="preserve">53</t>
    </r>
    <r>
      <rPr>
        <sz val="10"/>
        <rFont val="WenQuanYi Zen Hei"/>
        <family val="2"/>
      </rPr>
      <t xml:space="preserve">表示・</t>
    </r>
    <r>
      <rPr>
        <sz val="10"/>
        <rFont val="Meiryo UI"/>
        <family val="0"/>
        <charset val="1"/>
      </rPr>
      <t xml:space="preserve">9.7</t>
    </r>
    <r>
      <rPr>
        <sz val="10"/>
        <rFont val="WenQuanYi Zen Hei"/>
        <family val="2"/>
      </rPr>
      <t xml:space="preserve">位・</t>
    </r>
    <r>
      <rPr>
        <sz val="10"/>
        <rFont val="Meiryo UI"/>
        <family val="0"/>
        <charset val="1"/>
      </rPr>
      <t xml:space="preserve">CTR1.9%</t>
    </r>
    <r>
      <rPr>
        <sz val="10"/>
        <rFont val="WenQuanYi Zen Hei"/>
        <family val="2"/>
      </rPr>
      <t xml:space="preserve">） </t>
    </r>
    <r>
      <rPr>
        <sz val="10"/>
        <rFont val="Meiryo UI"/>
        <family val="0"/>
        <charset val="1"/>
      </rPr>
      <t xml:space="preserve">/ </t>
    </r>
    <r>
      <rPr>
        <sz val="10"/>
        <rFont val="WenQuanYi Zen Hei"/>
        <family val="2"/>
      </rPr>
      <t xml:space="preserve">見捨てられたサイン（</t>
    </r>
    <r>
      <rPr>
        <sz val="10"/>
        <rFont val="Meiryo UI"/>
        <family val="0"/>
        <charset val="1"/>
      </rPr>
      <t xml:space="preserve">53</t>
    </r>
    <r>
      <rPr>
        <sz val="10"/>
        <rFont val="WenQuanYi Zen Hei"/>
        <family val="2"/>
      </rPr>
      <t xml:space="preserve">表示・</t>
    </r>
    <r>
      <rPr>
        <sz val="10"/>
        <rFont val="Meiryo UI"/>
        <family val="0"/>
        <charset val="1"/>
      </rPr>
      <t xml:space="preserve">8.6</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</si>
  <si>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13.2→10.7</t>
    </r>
    <r>
      <rPr>
        <sz val="10"/>
        <rFont val="WenQuanYi Zen Hei"/>
        <family val="2"/>
      </rPr>
      <t xml:space="preserve">位。「転職エージェント 見捨てられる」</t>
    </r>
    <r>
      <rPr>
        <sz val="10"/>
        <rFont val="Meiryo UI"/>
        <family val="0"/>
        <charset val="1"/>
      </rPr>
      <t xml:space="preserve">574</t>
    </r>
    <r>
      <rPr>
        <sz val="10"/>
        <rFont val="WenQuanYi Zen Hei"/>
        <family val="2"/>
      </rPr>
      <t xml:space="preserve">表示</t>
    </r>
    <r>
      <rPr>
        <sz val="10"/>
        <rFont val="Meiryo UI"/>
        <family val="0"/>
        <charset val="1"/>
      </rPr>
      <t xml:space="preserve">14.8</t>
    </r>
    <r>
      <rPr>
        <sz val="10"/>
        <rFont val="WenQuanYi Zen Hei"/>
        <family val="2"/>
      </rPr>
      <t xml:space="preserve">位</t>
    </r>
    <r>
      <rPr>
        <sz val="10"/>
        <rFont val="Meiryo UI"/>
        <family val="0"/>
        <charset val="1"/>
      </rPr>
      <t xml:space="preserve">CTR0.2%</t>
    </r>
    <r>
      <rPr>
        <sz val="10"/>
        <rFont val="WenQuanYi Zen Hei"/>
        <family val="2"/>
      </rPr>
      <t xml:space="preserve">。</t>
    </r>
  </si>
  <si>
    <r>
      <rPr>
        <sz val="10"/>
        <rFont val="WenQuanYi Zen Hei"/>
        <family val="2"/>
      </rPr>
      <t xml:space="preserve">【エージェント使い方】競合相手：</t>
    </r>
    <r>
      <rPr>
        <sz val="10"/>
        <rFont val="Meiryo UI"/>
        <family val="0"/>
        <charset val="1"/>
      </rPr>
      <t xml:space="preserve">/tenshoku-agent-kashikoi-tsukaikata/</t>
    </r>
    <r>
      <rPr>
        <sz val="10"/>
        <rFont val="WenQuanYi Zen Hei"/>
        <family val="2"/>
      </rPr>
      <t xml:space="preserve">、</t>
    </r>
    <r>
      <rPr>
        <sz val="10"/>
        <rFont val="Meiryo UI"/>
        <family val="0"/>
        <charset val="1"/>
      </rPr>
      <t xml:space="preserve">/40s-tenshoku-agent-katsuyo/</t>
    </r>
  </si>
  <si>
    <r>
      <rPr>
        <sz val="10"/>
        <rFont val="WenQuanYi Zen Hei"/>
        <family val="2"/>
      </rPr>
      <t xml:space="preserve">「見捨てられる人の特徴」「見捨てられたサイン」（各</t>
    </r>
    <r>
      <rPr>
        <sz val="10"/>
        <rFont val="Meiryo UI"/>
        <family val="0"/>
        <charset val="1"/>
      </rPr>
      <t xml:space="preserve">53</t>
    </r>
    <r>
      <rPr>
        <sz val="10"/>
        <rFont val="WenQuanYi Zen Hei"/>
        <family val="2"/>
      </rPr>
      <t xml:space="preserve">表示・</t>
    </r>
    <r>
      <rPr>
        <sz val="10"/>
        <rFont val="Meiryo UI"/>
        <family val="0"/>
        <charset val="1"/>
      </rPr>
      <t xml:space="preserve">8</t>
    </r>
    <r>
      <rPr>
        <sz val="10"/>
        <rFont val="WenQuanYi Zen Hei"/>
        <family val="2"/>
      </rPr>
      <t xml:space="preserve">〜</t>
    </r>
    <r>
      <rPr>
        <sz val="10"/>
        <rFont val="Meiryo UI"/>
        <family val="0"/>
        <charset val="1"/>
      </rPr>
      <t xml:space="preserve">10</t>
    </r>
    <r>
      <rPr>
        <sz val="10"/>
        <rFont val="WenQuanYi Zen Hei"/>
        <family val="2"/>
      </rPr>
      <t xml:space="preserve">位）を冒頭の見出しに。</t>
    </r>
  </si>
  <si>
    <t xml:space="preserve">【案】転職エージェントに見捨てられる人の特徴｜人事が教える「放置」された時の対処法</t>
  </si>
  <si>
    <r>
      <rPr>
        <sz val="10"/>
        <rFont val="WenQuanYi Zen Hei"/>
        <family val="2"/>
      </rPr>
      <t xml:space="preserve">対処法の見出し：「</t>
    </r>
    <r>
      <rPr>
        <sz val="10"/>
        <rFont val="Meiryo UI"/>
        <family val="0"/>
        <charset val="1"/>
      </rPr>
      <t xml:space="preserve">1</t>
    </r>
    <r>
      <rPr>
        <sz val="10"/>
        <rFont val="WenQuanYi Zen Hei"/>
        <family val="2"/>
      </rPr>
      <t xml:space="preserve">社に依存せず</t>
    </r>
    <r>
      <rPr>
        <sz val="10"/>
        <rFont val="Meiryo UI"/>
        <family val="0"/>
        <charset val="1"/>
      </rPr>
      <t xml:space="preserve">2</t>
    </r>
    <r>
      <rPr>
        <sz val="10"/>
        <rFont val="WenQuanYi Zen Hei"/>
        <family val="2"/>
      </rPr>
      <t xml:space="preserve">社併用が基本」→リクルートエージェント／</t>
    </r>
    <r>
      <rPr>
        <sz val="10"/>
        <rFont val="Meiryo UI"/>
        <family val="0"/>
        <charset val="1"/>
      </rPr>
      <t xml:space="preserve">JAC</t>
    </r>
  </si>
  <si>
    <t xml:space="preserve">/scsk-tenshoku-nanido/</t>
  </si>
  <si>
    <r>
      <rPr>
        <sz val="10"/>
        <rFont val="Meiryo UI"/>
        <family val="0"/>
        <charset val="1"/>
      </rPr>
      <t xml:space="preserve">scsk </t>
    </r>
    <r>
      <rPr>
        <sz val="10"/>
        <rFont val="WenQuanYi Zen Hei"/>
        <family val="2"/>
      </rPr>
      <t xml:space="preserve">転職 後悔（</t>
    </r>
    <r>
      <rPr>
        <sz val="10"/>
        <rFont val="Meiryo UI"/>
        <family val="0"/>
        <charset val="1"/>
      </rPr>
      <t xml:space="preserve">85</t>
    </r>
    <r>
      <rPr>
        <sz val="10"/>
        <rFont val="WenQuanYi Zen Hei"/>
        <family val="2"/>
      </rPr>
      <t xml:space="preserve">表示・</t>
    </r>
    <r>
      <rPr>
        <sz val="10"/>
        <rFont val="Meiryo UI"/>
        <family val="0"/>
        <charset val="1"/>
      </rPr>
      <t xml:space="preserve">7.4</t>
    </r>
    <r>
      <rPr>
        <sz val="10"/>
        <rFont val="WenQuanYi Zen Hei"/>
        <family val="2"/>
      </rPr>
      <t xml:space="preserve">位・</t>
    </r>
    <r>
      <rPr>
        <sz val="10"/>
        <rFont val="Meiryo UI"/>
        <family val="0"/>
        <charset val="1"/>
      </rPr>
      <t xml:space="preserve">CTR1.2%</t>
    </r>
    <r>
      <rPr>
        <sz val="10"/>
        <rFont val="WenQuanYi Zen Hei"/>
        <family val="2"/>
      </rPr>
      <t xml:space="preserve">） </t>
    </r>
    <r>
      <rPr>
        <sz val="10"/>
        <rFont val="Meiryo UI"/>
        <family val="0"/>
        <charset val="1"/>
      </rPr>
      <t xml:space="preserve">/ scsk </t>
    </r>
    <r>
      <rPr>
        <sz val="10"/>
        <rFont val="WenQuanYi Zen Hei"/>
        <family val="2"/>
      </rPr>
      <t xml:space="preserve">中途 難易度（</t>
    </r>
    <r>
      <rPr>
        <sz val="10"/>
        <rFont val="Meiryo UI"/>
        <family val="0"/>
        <charset val="1"/>
      </rPr>
      <t xml:space="preserve">37</t>
    </r>
    <r>
      <rPr>
        <sz val="10"/>
        <rFont val="WenQuanYi Zen Hei"/>
        <family val="2"/>
      </rPr>
      <t xml:space="preserve">表示・</t>
    </r>
    <r>
      <rPr>
        <sz val="10"/>
        <rFont val="Meiryo UI"/>
        <family val="0"/>
        <charset val="1"/>
      </rPr>
      <t xml:space="preserve">8.7</t>
    </r>
    <r>
      <rPr>
        <sz val="10"/>
        <rFont val="WenQuanYi Zen Hei"/>
        <family val="2"/>
      </rPr>
      <t xml:space="preserve">位・</t>
    </r>
    <r>
      <rPr>
        <sz val="10"/>
        <rFont val="Meiryo UI"/>
        <family val="0"/>
        <charset val="1"/>
      </rPr>
      <t xml:space="preserve">CTR2.7%</t>
    </r>
    <r>
      <rPr>
        <sz val="10"/>
        <rFont val="WenQuanYi Zen Hei"/>
        <family val="2"/>
      </rPr>
      <t xml:space="preserve">） </t>
    </r>
    <r>
      <rPr>
        <sz val="10"/>
        <rFont val="Meiryo UI"/>
        <family val="0"/>
        <charset val="1"/>
      </rPr>
      <t xml:space="preserve">/ scsk </t>
    </r>
    <r>
      <rPr>
        <sz val="10"/>
        <rFont val="WenQuanYi Zen Hei"/>
        <family val="2"/>
      </rPr>
      <t xml:space="preserve">転職 難易度（</t>
    </r>
    <r>
      <rPr>
        <sz val="10"/>
        <rFont val="Meiryo UI"/>
        <family val="0"/>
        <charset val="1"/>
      </rPr>
      <t xml:space="preserve">19</t>
    </r>
    <r>
      <rPr>
        <sz val="10"/>
        <rFont val="WenQuanYi Zen Hei"/>
        <family val="2"/>
      </rPr>
      <t xml:space="preserve">表示・</t>
    </r>
    <r>
      <rPr>
        <sz val="10"/>
        <rFont val="Meiryo UI"/>
        <family val="0"/>
        <charset val="1"/>
      </rPr>
      <t xml:space="preserve">9.3</t>
    </r>
    <r>
      <rPr>
        <sz val="10"/>
        <rFont val="WenQuanYi Zen Hei"/>
        <family val="2"/>
      </rPr>
      <t xml:space="preserve">位・</t>
    </r>
    <r>
      <rPr>
        <sz val="10"/>
        <rFont val="Meiryo UI"/>
        <family val="0"/>
        <charset val="1"/>
      </rPr>
      <t xml:space="preserve">CTR5.3%</t>
    </r>
    <r>
      <rPr>
        <sz val="10"/>
        <rFont val="WenQuanYi Zen Hei"/>
        <family val="2"/>
      </rPr>
      <t xml:space="preserve">）</t>
    </r>
  </si>
  <si>
    <r>
      <rPr>
        <sz val="10"/>
        <rFont val="Meiryo UI"/>
        <family val="0"/>
        <charset val="1"/>
      </rPr>
      <t xml:space="preserve">9.6</t>
    </r>
    <r>
      <rPr>
        <sz val="10"/>
        <rFont val="WenQuanYi Zen Hei"/>
        <family val="2"/>
      </rPr>
      <t xml:space="preserve">位・</t>
    </r>
    <r>
      <rPr>
        <sz val="10"/>
        <rFont val="Meiryo UI"/>
        <family val="0"/>
        <charset val="1"/>
      </rPr>
      <t xml:space="preserve">CTR3.4%</t>
    </r>
    <r>
      <rPr>
        <sz val="10"/>
        <rFont val="WenQuanYi Zen Hei"/>
        <family val="2"/>
      </rPr>
      <t xml:space="preserve">で水準並み以上。直近</t>
    </r>
    <r>
      <rPr>
        <sz val="10"/>
        <rFont val="Meiryo UI"/>
        <family val="0"/>
        <charset val="1"/>
      </rPr>
      <t xml:space="preserve">28</t>
    </r>
    <r>
      <rPr>
        <sz val="10"/>
        <rFont val="WenQuanYi Zen Hei"/>
        <family val="2"/>
      </rPr>
      <t xml:space="preserve">日で表示急伸（クリック</t>
    </r>
    <r>
      <rPr>
        <sz val="10"/>
        <rFont val="Meiryo UI"/>
        <family val="0"/>
        <charset val="1"/>
      </rPr>
      <t xml:space="preserve">/</t>
    </r>
    <r>
      <rPr>
        <sz val="10"/>
        <rFont val="WenQuanYi Zen Hei"/>
        <family val="2"/>
      </rPr>
      <t xml:space="preserve">日 </t>
    </r>
    <r>
      <rPr>
        <sz val="10"/>
        <rFont val="Meiryo UI"/>
        <family val="0"/>
        <charset val="1"/>
      </rPr>
      <t xml:space="preserve">0.1→0.5</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5→10</t>
    </r>
    <r>
      <rPr>
        <sz val="10"/>
        <rFont val="WenQuanYi Zen Hei"/>
        <family val="2"/>
      </rPr>
      <t xml:space="preserve">）。取りこぼしクエリ：</t>
    </r>
    <r>
      <rPr>
        <sz val="10"/>
        <rFont val="Meiryo UI"/>
        <family val="0"/>
        <charset val="1"/>
      </rPr>
      <t xml:space="preserve">scsk </t>
    </r>
    <r>
      <rPr>
        <sz val="10"/>
        <rFont val="WenQuanYi Zen Hei"/>
        <family val="2"/>
      </rPr>
      <t xml:space="preserve">転職 後悔（</t>
    </r>
    <r>
      <rPr>
        <sz val="10"/>
        <rFont val="Meiryo UI"/>
        <family val="0"/>
        <charset val="1"/>
      </rPr>
      <t xml:space="preserve">85</t>
    </r>
    <r>
      <rPr>
        <sz val="10"/>
        <rFont val="WenQuanYi Zen Hei"/>
        <family val="2"/>
      </rPr>
      <t xml:space="preserve">表示・</t>
    </r>
    <r>
      <rPr>
        <sz val="10"/>
        <rFont val="Meiryo UI"/>
        <family val="0"/>
        <charset val="1"/>
      </rPr>
      <t xml:space="preserve">7.4</t>
    </r>
    <r>
      <rPr>
        <sz val="10"/>
        <rFont val="WenQuanYi Zen Hei"/>
        <family val="2"/>
      </rPr>
      <t xml:space="preserve">位）。</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</si>
  <si>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t>
    </r>
    <r>
      <rPr>
        <sz val="10"/>
        <rFont val="Meiryo UI"/>
        <family val="0"/>
        <charset val="1"/>
      </rPr>
      <t xml:space="preserve">scsk </t>
    </r>
    <r>
      <rPr>
        <sz val="10"/>
        <rFont val="WenQuanYi Zen Hei"/>
        <family val="2"/>
      </rPr>
      <t xml:space="preserve">転職 後悔」向けの見出し追加と導線の設置に留める。</t>
    </r>
  </si>
  <si>
    <r>
      <rPr>
        <sz val="10"/>
        <rFont val="WenQuanYi Zen Hei"/>
        <family val="2"/>
      </rPr>
      <t xml:space="preserve">大きな変更は不要。タイトルに「</t>
    </r>
    <r>
      <rPr>
        <sz val="10"/>
        <rFont val="Meiryo UI"/>
        <family val="0"/>
        <charset val="1"/>
      </rPr>
      <t xml:space="preserve">scsk </t>
    </r>
    <r>
      <rPr>
        <sz val="10"/>
        <rFont val="WenQuanYi Zen Hei"/>
        <family val="2"/>
      </rPr>
      <t xml:space="preserve">転職 後悔」が入っていなければ追加。</t>
    </r>
  </si>
  <si>
    <t xml:space="preserve">/it-passport-iminai/</t>
  </si>
  <si>
    <r>
      <rPr>
        <sz val="10"/>
        <rFont val="Meiryo UI"/>
        <family val="0"/>
        <charset val="1"/>
      </rPr>
      <t xml:space="preserve">it</t>
    </r>
    <r>
      <rPr>
        <sz val="10"/>
        <rFont val="WenQuanYi Zen Hei"/>
        <family val="2"/>
      </rPr>
      <t xml:space="preserve">パスポート 履歴書 書かない（</t>
    </r>
    <r>
      <rPr>
        <sz val="10"/>
        <rFont val="Meiryo UI"/>
        <family val="0"/>
        <charset val="1"/>
      </rPr>
      <t xml:space="preserve">196</t>
    </r>
    <r>
      <rPr>
        <sz val="10"/>
        <rFont val="WenQuanYi Zen Hei"/>
        <family val="2"/>
      </rPr>
      <t xml:space="preserve">表示・</t>
    </r>
    <r>
      <rPr>
        <sz val="10"/>
        <rFont val="Meiryo UI"/>
        <family val="0"/>
        <charset val="1"/>
      </rPr>
      <t xml:space="preserve">9.7</t>
    </r>
    <r>
      <rPr>
        <sz val="10"/>
        <rFont val="WenQuanYi Zen Hei"/>
        <family val="2"/>
      </rPr>
      <t xml:space="preserve">位・</t>
    </r>
    <r>
      <rPr>
        <sz val="10"/>
        <rFont val="Meiryo UI"/>
        <family val="0"/>
        <charset val="1"/>
      </rPr>
      <t xml:space="preserve">CTR1.5%</t>
    </r>
    <r>
      <rPr>
        <sz val="10"/>
        <rFont val="WenQuanYi Zen Hei"/>
        <family val="2"/>
      </rPr>
      <t xml:space="preserve">） </t>
    </r>
    <r>
      <rPr>
        <sz val="10"/>
        <rFont val="Meiryo UI"/>
        <family val="0"/>
        <charset val="1"/>
      </rPr>
      <t xml:space="preserve">/ it</t>
    </r>
    <r>
      <rPr>
        <sz val="10"/>
        <rFont val="WenQuanYi Zen Hei"/>
        <family val="2"/>
      </rPr>
      <t xml:space="preserve">パスポート 履歴書（</t>
    </r>
    <r>
      <rPr>
        <sz val="10"/>
        <rFont val="Meiryo UI"/>
        <family val="0"/>
        <charset val="1"/>
      </rPr>
      <t xml:space="preserve">87</t>
    </r>
    <r>
      <rPr>
        <sz val="10"/>
        <rFont val="WenQuanYi Zen Hei"/>
        <family val="2"/>
      </rPr>
      <t xml:space="preserve">表示・</t>
    </r>
    <r>
      <rPr>
        <sz val="10"/>
        <rFont val="Meiryo UI"/>
        <family val="0"/>
        <charset val="1"/>
      </rPr>
      <t xml:space="preserve">36.2</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it</t>
    </r>
    <r>
      <rPr>
        <sz val="10"/>
        <rFont val="WenQuanYi Zen Hei"/>
        <family val="2"/>
      </rPr>
      <t xml:space="preserve">パスポート履歴書（</t>
    </r>
    <r>
      <rPr>
        <sz val="10"/>
        <rFont val="Meiryo UI"/>
        <family val="0"/>
        <charset val="1"/>
      </rPr>
      <t xml:space="preserve">76</t>
    </r>
    <r>
      <rPr>
        <sz val="10"/>
        <rFont val="WenQuanYi Zen Hei"/>
        <family val="2"/>
      </rPr>
      <t xml:space="preserve">表示・</t>
    </r>
    <r>
      <rPr>
        <sz val="10"/>
        <rFont val="Meiryo UI"/>
        <family val="0"/>
        <charset val="1"/>
      </rPr>
      <t xml:space="preserve">39.9</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</si>
  <si>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18.4</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t>
    </r>
    <r>
      <rPr>
        <sz val="10"/>
        <rFont val="Meiryo UI"/>
        <family val="0"/>
        <charset val="1"/>
      </rPr>
      <t xml:space="preserve">it</t>
    </r>
    <r>
      <rPr>
        <sz val="10"/>
        <rFont val="WenQuanYi Zen Hei"/>
        <family val="2"/>
      </rPr>
      <t xml:space="preserve">パスポート 履歴書 書かない（</t>
    </r>
    <r>
      <rPr>
        <sz val="10"/>
        <rFont val="Meiryo UI"/>
        <family val="0"/>
        <charset val="1"/>
      </rPr>
      <t xml:space="preserve">196</t>
    </r>
    <r>
      <rPr>
        <sz val="10"/>
        <rFont val="WenQuanYi Zen Hei"/>
        <family val="2"/>
      </rPr>
      <t xml:space="preserve">表示・</t>
    </r>
    <r>
      <rPr>
        <sz val="10"/>
        <rFont val="Meiryo UI"/>
        <family val="0"/>
        <charset val="1"/>
      </rPr>
      <t xml:space="preserve">9.7</t>
    </r>
    <r>
      <rPr>
        <sz val="10"/>
        <rFont val="WenQuanYi Zen Hei"/>
        <family val="2"/>
      </rPr>
      <t xml:space="preserve">位）。</t>
    </r>
  </si>
  <si>
    <r>
      <rPr>
        <sz val="10"/>
        <rFont val="WenQuanYi Zen Hei"/>
        <family val="2"/>
      </rPr>
      <t xml:space="preserve">【</t>
    </r>
    <r>
      <rPr>
        <sz val="10"/>
        <rFont val="Meiryo UI"/>
        <family val="0"/>
        <charset val="1"/>
      </rPr>
      <t xml:space="preserve">IT</t>
    </r>
    <r>
      <rPr>
        <sz val="10"/>
        <rFont val="WenQuanYi Zen Hei"/>
        <family val="2"/>
      </rPr>
      <t xml:space="preserve">パスポート・基本情報】競合相手：</t>
    </r>
    <r>
      <rPr>
        <sz val="10"/>
        <rFont val="Meiryo UI"/>
        <family val="0"/>
        <charset val="1"/>
      </rPr>
      <t xml:space="preserve">/itpassport-kihonjoho-2027-henkou/</t>
    </r>
    <r>
      <rPr>
        <sz val="10"/>
        <rFont val="WenQuanYi Zen Hei"/>
        <family val="2"/>
      </rPr>
      <t xml:space="preserve">、</t>
    </r>
    <r>
      <rPr>
        <sz val="10"/>
        <rFont val="Meiryo UI"/>
        <family val="0"/>
        <charset val="1"/>
      </rPr>
      <t xml:space="preserve">/it-passport-kihonjoho-ukaranai/</t>
    </r>
    <r>
      <rPr>
        <sz val="10"/>
        <rFont val="WenQuanYi Zen Hei"/>
        <family val="2"/>
      </rPr>
      <t xml:space="preserve">、</t>
    </r>
    <r>
      <rPr>
        <sz val="10"/>
        <rFont val="Meiryo UI"/>
        <family val="0"/>
        <charset val="1"/>
      </rPr>
      <t xml:space="preserve">/it-passport-kihonjoho-ikashikata/</t>
    </r>
  </si>
  <si>
    <r>
      <rPr>
        <sz val="10"/>
        <rFont val="WenQuanYi Zen Hei"/>
        <family val="2"/>
      </rPr>
      <t xml:space="preserve">【親記事（統合先）】担当：</t>
    </r>
    <r>
      <rPr>
        <sz val="10"/>
        <rFont val="Meiryo UI"/>
        <family val="0"/>
        <charset val="1"/>
      </rPr>
      <t xml:space="preserve">IT</t>
    </r>
    <r>
      <rPr>
        <sz val="10"/>
        <rFont val="WenQuanYi Zen Hei"/>
        <family val="2"/>
      </rPr>
      <t xml:space="preserve">パスポートは意味ない？履歴書に書くべきか。統合する子記事の固有情報を取り込み、同グループの記事から内部リンクを集める。
</t>
    </r>
    <r>
      <rPr>
        <sz val="10"/>
        <rFont val="Meiryo UI"/>
        <family val="0"/>
        <charset val="1"/>
      </rPr>
      <t xml:space="preserve">1</t>
    </r>
    <r>
      <rPr>
        <sz val="10"/>
        <rFont val="WenQuanYi Zen Hei"/>
        <family val="2"/>
      </rPr>
      <t xml:space="preserve">ページ目の手前。「</t>
    </r>
    <r>
      <rPr>
        <sz val="10"/>
        <rFont val="Meiryo UI"/>
        <family val="0"/>
        <charset val="1"/>
      </rPr>
      <t xml:space="preserve">it</t>
    </r>
    <r>
      <rPr>
        <sz val="10"/>
        <rFont val="WenQuanYi Zen Hei"/>
        <family val="2"/>
      </rPr>
      <t xml:space="preserve">パスポート 履歴書 書かない」を含む見出しを追加して網羅性を補強し、同テーマの上位記事から内部リンクを追加して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</si>
  <si>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順位の改善が先。タイトルは「</t>
    </r>
    <r>
      <rPr>
        <sz val="10"/>
        <rFont val="Meiryo UI"/>
        <family val="0"/>
        <charset val="1"/>
      </rPr>
      <t xml:space="preserve">it</t>
    </r>
    <r>
      <rPr>
        <sz val="10"/>
        <rFont val="WenQuanYi Zen Hei"/>
        <family val="2"/>
      </rPr>
      <t xml:space="preserve">パスポート 履歴書 書かない」を含む形に整える程度に。</t>
    </r>
  </si>
  <si>
    <t xml:space="preserve">/it-passport-kihonjoho-ukaranai/</t>
  </si>
  <si>
    <r>
      <rPr>
        <sz val="10"/>
        <rFont val="WenQuanYi Zen Hei"/>
        <family val="2"/>
      </rPr>
      <t xml:space="preserve">基本情報 受からない（</t>
    </r>
    <r>
      <rPr>
        <sz val="10"/>
        <rFont val="Meiryo UI"/>
        <family val="0"/>
        <charset val="1"/>
      </rPr>
      <t xml:space="preserve">24</t>
    </r>
    <r>
      <rPr>
        <sz val="10"/>
        <rFont val="WenQuanYi Zen Hei"/>
        <family val="2"/>
      </rPr>
      <t xml:space="preserve">表示・</t>
    </r>
    <r>
      <rPr>
        <sz val="10"/>
        <rFont val="Meiryo UI"/>
        <family val="0"/>
        <charset val="1"/>
      </rPr>
      <t xml:space="preserve">11.5</t>
    </r>
    <r>
      <rPr>
        <sz val="10"/>
        <rFont val="WenQuanYi Zen Hei"/>
        <family val="2"/>
      </rPr>
      <t xml:space="preserve">位・</t>
    </r>
    <r>
      <rPr>
        <sz val="10"/>
        <rFont val="Meiryo UI"/>
        <family val="0"/>
        <charset val="1"/>
      </rPr>
      <t xml:space="preserve">CTR4.2%</t>
    </r>
    <r>
      <rPr>
        <sz val="10"/>
        <rFont val="WenQuanYi Zen Hei"/>
        <family val="2"/>
      </rPr>
      <t xml:space="preserve">） </t>
    </r>
    <r>
      <rPr>
        <sz val="10"/>
        <rFont val="Meiryo UI"/>
        <family val="0"/>
        <charset val="1"/>
      </rPr>
      <t xml:space="preserve">/ it</t>
    </r>
    <r>
      <rPr>
        <sz val="10"/>
        <rFont val="WenQuanYi Zen Hei"/>
        <family val="2"/>
      </rPr>
      <t xml:space="preserve">パスポート 落ちた（</t>
    </r>
    <r>
      <rPr>
        <sz val="10"/>
        <rFont val="Meiryo UI"/>
        <family val="0"/>
        <charset val="1"/>
      </rPr>
      <t xml:space="preserve">1</t>
    </r>
    <r>
      <rPr>
        <sz val="10"/>
        <rFont val="WenQuanYi Zen Hei"/>
        <family val="2"/>
      </rPr>
      <t xml:space="preserve">表示・</t>
    </r>
    <r>
      <rPr>
        <sz val="10"/>
        <rFont val="Meiryo UI"/>
        <family val="0"/>
        <charset val="1"/>
      </rPr>
      <t xml:space="preserve">47.0</t>
    </r>
    <r>
      <rPr>
        <sz val="10"/>
        <rFont val="WenQuanYi Zen Hei"/>
        <family val="2"/>
      </rPr>
      <t xml:space="preserve">位・</t>
    </r>
    <r>
      <rPr>
        <sz val="10"/>
        <rFont val="Meiryo UI"/>
        <family val="0"/>
        <charset val="1"/>
      </rPr>
      <t xml:space="preserve">CTR100.0%</t>
    </r>
    <r>
      <rPr>
        <sz val="10"/>
        <rFont val="WenQuanYi Zen Hei"/>
        <family val="2"/>
      </rPr>
      <t xml:space="preserve">）</t>
    </r>
  </si>
  <si>
    <r>
      <rPr>
        <sz val="10"/>
        <rFont val="WenQuanYi Zen Hei"/>
        <family val="2"/>
      </rPr>
      <t xml:space="preserve">平均</t>
    </r>
    <r>
      <rPr>
        <sz val="10"/>
        <rFont val="Meiryo UI"/>
        <family val="0"/>
        <charset val="1"/>
      </rPr>
      <t xml:space="preserve">11.1</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ページ目の手前（あと一歩）。取りこぼしクエリ：基本情報 受からない（</t>
    </r>
    <r>
      <rPr>
        <sz val="10"/>
        <rFont val="Meiryo UI"/>
        <family val="0"/>
        <charset val="1"/>
      </rPr>
      <t xml:space="preserve">24</t>
    </r>
    <r>
      <rPr>
        <sz val="10"/>
        <rFont val="WenQuanYi Zen Hei"/>
        <family val="2"/>
      </rPr>
      <t xml:space="preserve">表示・</t>
    </r>
    <r>
      <rPr>
        <sz val="10"/>
        <rFont val="Meiryo UI"/>
        <family val="0"/>
        <charset val="1"/>
      </rPr>
      <t xml:space="preserve">11.5</t>
    </r>
    <r>
      <rPr>
        <sz val="10"/>
        <rFont val="WenQuanYi Zen Hei"/>
        <family val="2"/>
      </rPr>
      <t xml:space="preserve">位）。</t>
    </r>
  </si>
  <si>
    <r>
      <rPr>
        <sz val="10"/>
        <rFont val="WenQuanYi Zen Hei"/>
        <family val="2"/>
      </rPr>
      <t xml:space="preserve">【</t>
    </r>
    <r>
      <rPr>
        <sz val="10"/>
        <rFont val="Meiryo UI"/>
        <family val="0"/>
        <charset val="1"/>
      </rPr>
      <t xml:space="preserve">IT</t>
    </r>
    <r>
      <rPr>
        <sz val="10"/>
        <rFont val="WenQuanYi Zen Hei"/>
        <family val="2"/>
      </rPr>
      <t xml:space="preserve">パスポート・基本情報】競合相手：</t>
    </r>
    <r>
      <rPr>
        <sz val="10"/>
        <rFont val="Meiryo UI"/>
        <family val="0"/>
        <charset val="1"/>
      </rPr>
      <t xml:space="preserve">/itpassport-kihonjoho-2027-henkou/</t>
    </r>
    <r>
      <rPr>
        <sz val="10"/>
        <rFont val="WenQuanYi Zen Hei"/>
        <family val="2"/>
      </rPr>
      <t xml:space="preserve">、</t>
    </r>
    <r>
      <rPr>
        <sz val="10"/>
        <rFont val="Meiryo UI"/>
        <family val="0"/>
        <charset val="1"/>
      </rPr>
      <t xml:space="preserve">/it-passport-iminai/</t>
    </r>
    <r>
      <rPr>
        <sz val="10"/>
        <rFont val="WenQuanYi Zen Hei"/>
        <family val="2"/>
      </rPr>
      <t xml:space="preserve">、</t>
    </r>
    <r>
      <rPr>
        <sz val="10"/>
        <rFont val="Meiryo UI"/>
        <family val="0"/>
        <charset val="1"/>
      </rPr>
      <t xml:space="preserve">/it-passport-kihonjoho-ikashikata/</t>
    </r>
  </si>
  <si>
    <r>
      <rPr>
        <sz val="10"/>
        <rFont val="WenQuanYi Zen Hei"/>
        <family val="2"/>
      </rPr>
      <t xml:space="preserve">【差別化して残す】担当：受からない人の勉強法だけを担当。親記事（</t>
    </r>
    <r>
      <rPr>
        <sz val="10"/>
        <rFont val="Meiryo UI"/>
        <family val="0"/>
        <charset val="1"/>
      </rPr>
      <t xml:space="preserve">/it-passport-iminai/</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1</t>
    </r>
    <r>
      <rPr>
        <sz val="10"/>
        <rFont val="WenQuanYi Zen Hei"/>
        <family val="2"/>
      </rPr>
      <t xml:space="preserve">ページ目の手前。「基本情報 受からない」を含む見出しを追加して網羅性を補強し、同テーマの上位記事から内部リンクを追加して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</si>
  <si>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順位の改善が先。タイトルは「基本情報 受からない」を含む形に整える程度に。</t>
  </si>
  <si>
    <t xml:space="preserve">/independent-sier/</t>
  </si>
  <si>
    <r>
      <rPr>
        <sz val="10"/>
        <rFont val="Meiryo UI"/>
        <family val="0"/>
        <charset val="1"/>
      </rPr>
      <t xml:space="preserve">9.8</t>
    </r>
    <r>
      <rPr>
        <sz val="10"/>
        <rFont val="WenQuanYi Zen Hei"/>
        <family val="2"/>
      </rPr>
      <t xml:space="preserve">位・</t>
    </r>
    <r>
      <rPr>
        <sz val="10"/>
        <rFont val="Meiryo UI"/>
        <family val="0"/>
        <charset val="1"/>
      </rPr>
      <t xml:space="preserve">CTR4.2%</t>
    </r>
    <r>
      <rPr>
        <sz val="10"/>
        <rFont val="WenQuanYi Zen Hei"/>
        <family val="2"/>
      </rPr>
      <t xml:space="preserve">で水準並み以上。</t>
    </r>
  </si>
  <si>
    <r>
      <rPr>
        <sz val="10"/>
        <rFont val="WenQuanYi Zen Hei"/>
        <family val="2"/>
      </rPr>
      <t xml:space="preserve">【独立系</t>
    </r>
    <r>
      <rPr>
        <sz val="10"/>
        <rFont val="Meiryo UI"/>
        <family val="0"/>
        <charset val="1"/>
      </rPr>
      <t xml:space="preserve">SIer</t>
    </r>
    <r>
      <rPr>
        <sz val="10"/>
        <rFont val="WenQuanYi Zen Hei"/>
        <family val="2"/>
      </rPr>
      <t xml:space="preserve">】競合相手：</t>
    </r>
    <r>
      <rPr>
        <sz val="10"/>
        <rFont val="Meiryo UI"/>
        <family val="0"/>
        <charset val="1"/>
      </rPr>
      <t xml:space="preserve">/independent-sier-tier/</t>
    </r>
    <r>
      <rPr>
        <sz val="10"/>
        <rFont val="WenQuanYi Zen Hei"/>
        <family val="2"/>
      </rPr>
      <t xml:space="preserve">、</t>
    </r>
    <r>
      <rPr>
        <sz val="10"/>
        <rFont val="Meiryo UI"/>
        <family val="0"/>
        <charset val="1"/>
      </rPr>
      <t xml:space="preserve">/independent-sier-delisting/</t>
    </r>
  </si>
  <si>
    <r>
      <rPr>
        <sz val="10"/>
        <rFont val="WenQuanYi Zen Hei"/>
        <family val="2"/>
      </rPr>
      <t xml:space="preserve">【統合対象】</t>
    </r>
    <r>
      <rPr>
        <sz val="10"/>
        <rFont val="Meiryo UI"/>
        <family val="0"/>
        <charset val="1"/>
      </rPr>
      <t xml:space="preserve">/independent-sier-tier/</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independent-sier</t>
    </r>
    <r>
      <rPr>
        <sz val="10"/>
        <rFont val="WenQuanYi Zen Hei"/>
        <family val="2"/>
      </rPr>
      <t xml:space="preserve">を</t>
    </r>
    <r>
      <rPr>
        <sz val="10"/>
        <rFont val="Meiryo UI"/>
        <family val="0"/>
        <charset val="1"/>
      </rPr>
      <t xml:space="preserve">independent-sier-tier</t>
    </r>
    <r>
      <rPr>
        <sz val="10"/>
        <rFont val="WenQuanYi Zen Hei"/>
        <family val="2"/>
      </rPr>
      <t xml:space="preserve">へ統合（</t>
    </r>
    <r>
      <rPr>
        <sz val="10"/>
        <rFont val="Meiryo UI"/>
        <family val="0"/>
        <charset val="1"/>
      </rPr>
      <t xml:space="preserve">301</t>
    </r>
    <r>
      <rPr>
        <sz val="10"/>
        <rFont val="WenQuanYi Zen Hei"/>
        <family val="2"/>
      </rPr>
      <t xml:space="preserve">）。上場廃止記事は別意図なので維持。）</t>
    </r>
  </si>
  <si>
    <t xml:space="preserve">C</t>
  </si>
  <si>
    <r>
      <rPr>
        <sz val="10"/>
        <rFont val="Meiryo UI"/>
        <family val="0"/>
        <charset val="1"/>
      </rPr>
      <t xml:space="preserve">3</t>
    </r>
    <r>
      <rPr>
        <sz val="10"/>
        <rFont val="WenQuanYi Zen Hei"/>
        <family val="2"/>
      </rPr>
      <t xml:space="preserve">か月以内（統合・整理）</t>
    </r>
  </si>
  <si>
    <t xml:space="preserve">/rikunabi-next-hyoban/</t>
  </si>
  <si>
    <r>
      <rPr>
        <sz val="10"/>
        <rFont val="WenQuanYi Zen Hei"/>
        <family val="2"/>
      </rPr>
      <t xml:space="preserve">リクナビ</t>
    </r>
    <r>
      <rPr>
        <sz val="10"/>
        <rFont val="Meiryo UI"/>
        <family val="0"/>
        <charset val="1"/>
      </rPr>
      <t xml:space="preserve">NEXT</t>
    </r>
  </si>
  <si>
    <r>
      <rPr>
        <sz val="10"/>
        <rFont val="Meiryo UI"/>
        <family val="0"/>
        <charset val="1"/>
      </rPr>
      <t xml:space="preserve">57</t>
    </r>
    <r>
      <rPr>
        <sz val="10"/>
        <rFont val="WenQuanYi Zen Hei"/>
        <family val="2"/>
      </rPr>
      <t xml:space="preserve">表示と小さいが、</t>
    </r>
    <r>
      <rPr>
        <sz val="10"/>
        <rFont val="Meiryo UI"/>
        <family val="0"/>
        <charset val="1"/>
      </rPr>
      <t xml:space="preserve">VC</t>
    </r>
    <r>
      <rPr>
        <sz val="10"/>
        <rFont val="WenQuanYi Zen Hei"/>
        <family val="2"/>
      </rPr>
      <t xml:space="preserve">でリクナビ</t>
    </r>
    <r>
      <rPr>
        <sz val="10"/>
        <rFont val="Meiryo UI"/>
        <family val="0"/>
        <charset val="1"/>
      </rPr>
      <t xml:space="preserve">NEXT</t>
    </r>
    <r>
      <rPr>
        <sz val="10"/>
        <rFont val="WenQuanYi Zen Hei"/>
        <family val="2"/>
      </rPr>
      <t xml:space="preserve">提携済み（</t>
    </r>
    <r>
      <rPr>
        <sz val="10"/>
        <rFont val="Meiryo UI"/>
        <family val="0"/>
        <charset val="1"/>
      </rPr>
      <t xml:space="preserve">30</t>
    </r>
    <r>
      <rPr>
        <sz val="10"/>
        <rFont val="WenQuanYi Zen Hei"/>
        <family val="2"/>
      </rPr>
      <t xml:space="preserve">日でクリック</t>
    </r>
    <r>
      <rPr>
        <sz val="10"/>
        <rFont val="Meiryo UI"/>
        <family val="0"/>
        <charset val="1"/>
      </rPr>
      <t xml:space="preserve">13</t>
    </r>
    <r>
      <rPr>
        <sz val="10"/>
        <rFont val="WenQuanYi Zen Hei"/>
        <family val="2"/>
      </rPr>
      <t xml:space="preserve">）でテキストリンクでもクリックされている案件。</t>
    </r>
  </si>
  <si>
    <t xml:space="preserve">直接応募型サービスの評判記事として強化し、応募経路比較記事からリンク。</t>
  </si>
  <si>
    <r>
      <rPr>
        <sz val="10"/>
        <rFont val="WenQuanYi Zen Hei"/>
        <family val="2"/>
      </rPr>
      <t xml:space="preserve">【案】リクナビ</t>
    </r>
    <r>
      <rPr>
        <sz val="10"/>
        <rFont val="Meiryo UI"/>
        <family val="0"/>
        <charset val="1"/>
      </rPr>
      <t xml:space="preserve">NEXT</t>
    </r>
    <r>
      <rPr>
        <sz val="10"/>
        <rFont val="WenQuanYi Zen Hei"/>
        <family val="2"/>
      </rPr>
      <t xml:space="preserve">の評判は？企業側の人事が見た「スカウトが来る人・来ない人」</t>
    </r>
  </si>
  <si>
    <r>
      <rPr>
        <sz val="10"/>
        <rFont val="WenQuanYi Zen Hei"/>
        <family val="2"/>
      </rPr>
      <t xml:space="preserve">冒頭の結論ボックス→リクナビ</t>
    </r>
    <r>
      <rPr>
        <sz val="10"/>
        <rFont val="Meiryo UI"/>
        <family val="0"/>
        <charset val="1"/>
      </rPr>
      <t xml:space="preserve">NEXT</t>
    </r>
    <r>
      <rPr>
        <sz val="10"/>
        <rFont val="WenQuanYi Zen Hei"/>
        <family val="2"/>
      </rPr>
      <t xml:space="preserve">ボタン</t>
    </r>
  </si>
  <si>
    <r>
      <rPr>
        <sz val="10"/>
        <rFont val="WenQuanYi Zen Hei"/>
        <family val="2"/>
      </rPr>
      <t xml:space="preserve">リクナビ</t>
    </r>
    <r>
      <rPr>
        <sz val="10"/>
        <rFont val="Meiryo UI"/>
        <family val="0"/>
        <charset val="1"/>
      </rPr>
      <t xml:space="preserve">NEXT(VC)</t>
    </r>
  </si>
  <si>
    <t xml:space="preserve">/data-management-exam/</t>
  </si>
  <si>
    <r>
      <rPr>
        <sz val="10"/>
        <rFont val="WenQuanYi Zen Hei"/>
        <family val="2"/>
      </rPr>
      <t xml:space="preserve">データマネジメント試験（</t>
    </r>
    <r>
      <rPr>
        <sz val="10"/>
        <rFont val="Meiryo UI"/>
        <family val="0"/>
        <charset val="1"/>
      </rPr>
      <t xml:space="preserve">83</t>
    </r>
    <r>
      <rPr>
        <sz val="10"/>
        <rFont val="WenQuanYi Zen Hei"/>
        <family val="2"/>
      </rPr>
      <t xml:space="preserve">表示・</t>
    </r>
    <r>
      <rPr>
        <sz val="10"/>
        <rFont val="Meiryo UI"/>
        <family val="0"/>
        <charset val="1"/>
      </rPr>
      <t xml:space="preserve">8.1</t>
    </r>
    <r>
      <rPr>
        <sz val="10"/>
        <rFont val="WenQuanYi Zen Hei"/>
        <family val="2"/>
      </rPr>
      <t xml:space="preserve">位・</t>
    </r>
    <r>
      <rPr>
        <sz val="10"/>
        <rFont val="Meiryo UI"/>
        <family val="0"/>
        <charset val="1"/>
      </rPr>
      <t xml:space="preserve">CTR3.6%</t>
    </r>
    <r>
      <rPr>
        <sz val="10"/>
        <rFont val="WenQuanYi Zen Hei"/>
        <family val="2"/>
      </rPr>
      <t xml:space="preserve">）</t>
    </r>
  </si>
  <si>
    <r>
      <rPr>
        <sz val="10"/>
        <rFont val="Meiryo UI"/>
        <family val="0"/>
        <charset val="1"/>
      </rPr>
      <t xml:space="preserve">8.6</t>
    </r>
    <r>
      <rPr>
        <sz val="10"/>
        <rFont val="WenQuanYi Zen Hei"/>
        <family val="2"/>
      </rPr>
      <t xml:space="preserve">位・</t>
    </r>
    <r>
      <rPr>
        <sz val="10"/>
        <rFont val="Meiryo UI"/>
        <family val="0"/>
        <charset val="1"/>
      </rPr>
      <t xml:space="preserve">CTR3.3%</t>
    </r>
    <r>
      <rPr>
        <sz val="10"/>
        <rFont val="WenQuanYi Zen Hei"/>
        <family val="2"/>
      </rPr>
      <t xml:space="preserve">で水準並み以上。取りこぼしクエリ：データマネジメント試験（</t>
    </r>
    <r>
      <rPr>
        <sz val="10"/>
        <rFont val="Meiryo UI"/>
        <family val="0"/>
        <charset val="1"/>
      </rPr>
      <t xml:space="preserve">83</t>
    </r>
    <r>
      <rPr>
        <sz val="10"/>
        <rFont val="WenQuanYi Zen Hei"/>
        <family val="2"/>
      </rPr>
      <t xml:space="preserve">表示・</t>
    </r>
    <r>
      <rPr>
        <sz val="10"/>
        <rFont val="Meiryo UI"/>
        <family val="0"/>
        <charset val="1"/>
      </rPr>
      <t xml:space="preserve">8.1</t>
    </r>
    <r>
      <rPr>
        <sz val="10"/>
        <rFont val="WenQuanYi Zen Hei"/>
        <family val="2"/>
      </rPr>
      <t xml:space="preserve">位）。</t>
    </r>
  </si>
  <si>
    <r>
      <rPr>
        <sz val="10"/>
        <rFont val="WenQuanYi Zen Hei"/>
        <family val="2"/>
      </rPr>
      <t xml:space="preserve">【</t>
    </r>
    <r>
      <rPr>
        <sz val="10"/>
        <rFont val="Meiryo UI"/>
        <family val="0"/>
        <charset val="1"/>
      </rPr>
      <t xml:space="preserve">IPA</t>
    </r>
    <r>
      <rPr>
        <sz val="10"/>
        <rFont val="WenQuanYi Zen Hei"/>
        <family val="2"/>
      </rPr>
      <t xml:space="preserve">改編】競合相手：</t>
    </r>
    <r>
      <rPr>
        <sz val="10"/>
        <rFont val="Meiryo UI"/>
        <family val="0"/>
        <charset val="1"/>
      </rPr>
      <t xml:space="preserve">/ipa-exam-reform-2027/</t>
    </r>
    <r>
      <rPr>
        <sz val="10"/>
        <rFont val="WenQuanYi Zen Hei"/>
        <family val="2"/>
      </rPr>
      <t xml:space="preserve">、</t>
    </r>
    <r>
      <rPr>
        <sz val="10"/>
        <rFont val="Meiryo UI"/>
        <family val="0"/>
        <charset val="1"/>
      </rPr>
      <t xml:space="preserve">/ipa-exam-reform-career-impact/</t>
    </r>
    <r>
      <rPr>
        <sz val="10"/>
        <rFont val="WenQuanYi Zen Hei"/>
        <family val="2"/>
      </rPr>
      <t xml:space="preserve">、</t>
    </r>
    <r>
      <rPr>
        <sz val="10"/>
        <rFont val="Meiryo UI"/>
        <family val="0"/>
        <charset val="1"/>
      </rPr>
      <t xml:space="preserve">/professional-digital-skill-exam/</t>
    </r>
  </si>
  <si>
    <r>
      <rPr>
        <sz val="10"/>
        <rFont val="WenQuanYi Zen Hei"/>
        <family val="2"/>
      </rPr>
      <t xml:space="preserve">【差別化して残す】担当：新試験（データマネジメント試験）の解説。親記事（</t>
    </r>
    <r>
      <rPr>
        <sz val="10"/>
        <rFont val="Meiryo UI"/>
        <family val="0"/>
        <charset val="1"/>
      </rPr>
      <t xml:space="preserve">/ipa-exam-reform-2027/</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ページ目。本文は大きく変えず、「データマネジメント試験」向けの見出し追加と導線の設置に留める。</t>
    </r>
  </si>
  <si>
    <t xml:space="preserve">大きな変更は不要。タイトルに「データマネジメント試験」が入っていなければ追加。</t>
  </si>
  <si>
    <t xml:space="preserve">/kuroji-restructuring-taishosha/</t>
  </si>
  <si>
    <t xml:space="preserve">黒字リストラ</t>
  </si>
  <si>
    <r>
      <rPr>
        <sz val="10"/>
        <rFont val="Meiryo UI"/>
        <family val="0"/>
        <charset val="1"/>
      </rPr>
      <t xml:space="preserve">8.7</t>
    </r>
    <r>
      <rPr>
        <sz val="10"/>
        <rFont val="WenQuanYi Zen Hei"/>
        <family val="2"/>
      </rPr>
      <t xml:space="preserve">位・</t>
    </r>
    <r>
      <rPr>
        <sz val="10"/>
        <rFont val="Meiryo UI"/>
        <family val="0"/>
        <charset val="1"/>
      </rPr>
      <t xml:space="preserve">CTR4.7%</t>
    </r>
    <r>
      <rPr>
        <sz val="10"/>
        <rFont val="WenQuanYi Zen Hei"/>
        <family val="2"/>
      </rPr>
      <t xml:space="preserve">で水準並み以上。</t>
    </r>
  </si>
  <si>
    <r>
      <rPr>
        <sz val="10"/>
        <rFont val="WenQuanYi Zen Hei"/>
        <family val="2"/>
      </rPr>
      <t xml:space="preserve">【黒字リストラ】競合相手：</t>
    </r>
    <r>
      <rPr>
        <sz val="10"/>
        <rFont val="Meiryo UI"/>
        <family val="0"/>
        <charset val="1"/>
      </rPr>
      <t xml:space="preserve">/kuroji-restructuring-40s-career-defense/</t>
    </r>
  </si>
  <si>
    <r>
      <rPr>
        <sz val="10"/>
        <rFont val="WenQuanYi Zen Hei"/>
        <family val="2"/>
      </rPr>
      <t xml:space="preserve">【親記事（統合先）】担当：黒字リストラの対象者。統合する子記事の固有情報を取り込み、同グループの記事から内部リンクを集める。
順位は</t>
    </r>
    <r>
      <rPr>
        <sz val="10"/>
        <rFont val="Meiryo UI"/>
        <family val="0"/>
        <charset val="1"/>
      </rPr>
      <t xml:space="preserve">1</t>
    </r>
    <r>
      <rPr>
        <sz val="10"/>
        <rFont val="WenQuanYi Zen Hei"/>
        <family val="2"/>
      </rPr>
      <t xml:space="preserve">ページ目。本文は大きく変えず、導線の設置を優先。</t>
    </r>
  </si>
  <si>
    <r>
      <rPr>
        <sz val="10"/>
        <rFont val="WenQuanYi Zen Hei"/>
        <family val="2"/>
      </rPr>
      <t xml:space="preserve">記事末に「まず自分の市場価値を確認」として</t>
    </r>
    <r>
      <rPr>
        <sz val="10"/>
        <rFont val="Meiryo UI"/>
        <family val="0"/>
        <charset val="1"/>
      </rPr>
      <t xml:space="preserve">JAC Recruitment(VC)</t>
    </r>
    <r>
      <rPr>
        <sz val="10"/>
        <rFont val="WenQuanYi Zen Hei"/>
        <family val="2"/>
      </rPr>
      <t xml:space="preserve">を紹介。本文中の広告は控える。</t>
    </r>
  </si>
  <si>
    <t xml:space="preserve">/it-tensyoku-mikeiken-1ji-mensetsu/</t>
  </si>
  <si>
    <t xml:space="preserve">面接対策</t>
  </si>
  <si>
    <r>
      <rPr>
        <sz val="10"/>
        <rFont val="WenQuanYi Zen Hei"/>
        <family val="2"/>
      </rPr>
      <t xml:space="preserve">一次 面接 社長 ブラック（</t>
    </r>
    <r>
      <rPr>
        <sz val="10"/>
        <rFont val="Meiryo UI"/>
        <family val="0"/>
        <charset val="1"/>
      </rPr>
      <t xml:space="preserve">44</t>
    </r>
    <r>
      <rPr>
        <sz val="10"/>
        <rFont val="WenQuanYi Zen Hei"/>
        <family val="2"/>
      </rPr>
      <t xml:space="preserve">表示・</t>
    </r>
    <r>
      <rPr>
        <sz val="10"/>
        <rFont val="Meiryo UI"/>
        <family val="0"/>
        <charset val="1"/>
      </rPr>
      <t xml:space="preserve">9.6</t>
    </r>
    <r>
      <rPr>
        <sz val="10"/>
        <rFont val="WenQuanYi Zen Hei"/>
        <family val="2"/>
      </rPr>
      <t xml:space="preserve">位・</t>
    </r>
    <r>
      <rPr>
        <sz val="10"/>
        <rFont val="Meiryo UI"/>
        <family val="0"/>
        <charset val="1"/>
      </rPr>
      <t xml:space="preserve">CTR6.8%</t>
    </r>
    <r>
      <rPr>
        <sz val="10"/>
        <rFont val="WenQuanYi Zen Hei"/>
        <family val="2"/>
      </rPr>
      <t xml:space="preserve">） </t>
    </r>
    <r>
      <rPr>
        <sz val="10"/>
        <rFont val="Meiryo UI"/>
        <family val="0"/>
        <charset val="1"/>
      </rPr>
      <t xml:space="preserve">/ </t>
    </r>
    <r>
      <rPr>
        <sz val="10"/>
        <rFont val="WenQuanYi Zen Hei"/>
        <family val="2"/>
      </rPr>
      <t xml:space="preserve">一次面接で内定（</t>
    </r>
    <r>
      <rPr>
        <sz val="10"/>
        <rFont val="Meiryo UI"/>
        <family val="0"/>
        <charset val="1"/>
      </rPr>
      <t xml:space="preserve">17</t>
    </r>
    <r>
      <rPr>
        <sz val="10"/>
        <rFont val="WenQuanYi Zen Hei"/>
        <family val="2"/>
      </rPr>
      <t xml:space="preserve">表示・</t>
    </r>
    <r>
      <rPr>
        <sz val="10"/>
        <rFont val="Meiryo UI"/>
        <family val="0"/>
        <charset val="1"/>
      </rPr>
      <t xml:space="preserve">5.9</t>
    </r>
    <r>
      <rPr>
        <sz val="10"/>
        <rFont val="WenQuanYi Zen Hei"/>
        <family val="2"/>
      </rPr>
      <t xml:space="preserve">位・</t>
    </r>
    <r>
      <rPr>
        <sz val="10"/>
        <rFont val="Meiryo UI"/>
        <family val="0"/>
        <charset val="1"/>
      </rPr>
      <t xml:space="preserve">CTR5.9%</t>
    </r>
    <r>
      <rPr>
        <sz val="10"/>
        <rFont val="WenQuanYi Zen Hei"/>
        <family val="2"/>
      </rPr>
      <t xml:space="preserve">）</t>
    </r>
  </si>
  <si>
    <r>
      <rPr>
        <sz val="10"/>
        <rFont val="WenQuanYi Zen Hei"/>
        <family val="2"/>
      </rPr>
      <t xml:space="preserve">平均</t>
    </r>
    <r>
      <rPr>
        <sz val="10"/>
        <rFont val="Meiryo UI"/>
        <family val="0"/>
        <charset val="1"/>
      </rPr>
      <t xml:space="preserve">10.3</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ページ目の手前（あと一歩）。取りこぼしクエリ：一次面接で内定（</t>
    </r>
    <r>
      <rPr>
        <sz val="10"/>
        <rFont val="Meiryo UI"/>
        <family val="0"/>
        <charset val="1"/>
      </rPr>
      <t xml:space="preserve">17</t>
    </r>
    <r>
      <rPr>
        <sz val="10"/>
        <rFont val="WenQuanYi Zen Hei"/>
        <family val="2"/>
      </rPr>
      <t xml:space="preserve">表示・</t>
    </r>
    <r>
      <rPr>
        <sz val="10"/>
        <rFont val="Meiryo UI"/>
        <family val="0"/>
        <charset val="1"/>
      </rPr>
      <t xml:space="preserve">5.9</t>
    </r>
    <r>
      <rPr>
        <sz val="10"/>
        <rFont val="WenQuanYi Zen Hei"/>
        <family val="2"/>
      </rPr>
      <t xml:space="preserve">位）。</t>
    </r>
  </si>
  <si>
    <r>
      <rPr>
        <sz val="10"/>
        <rFont val="WenQuanYi Zen Hei"/>
        <family val="2"/>
      </rPr>
      <t xml:space="preserve">【面接対策】競合相手：</t>
    </r>
    <r>
      <rPr>
        <sz val="10"/>
        <rFont val="Meiryo UI"/>
        <family val="0"/>
        <charset val="1"/>
      </rPr>
      <t xml:space="preserve">/2ji-mensetsu-taisaku-tensyoku-mikeiken/</t>
    </r>
    <r>
      <rPr>
        <sz val="10"/>
        <rFont val="WenQuanYi Zen Hei"/>
        <family val="2"/>
      </rPr>
      <t xml:space="preserve">、</t>
    </r>
    <r>
      <rPr>
        <sz val="10"/>
        <rFont val="Meiryo UI"/>
        <family val="0"/>
        <charset val="1"/>
      </rPr>
      <t xml:space="preserve">/it-tensyoku-saishu-mensetsu-taisaku/</t>
    </r>
    <r>
      <rPr>
        <sz val="10"/>
        <rFont val="WenQuanYi Zen Hei"/>
        <family val="2"/>
      </rPr>
      <t xml:space="preserve">、</t>
    </r>
    <r>
      <rPr>
        <sz val="10"/>
        <rFont val="Meiryo UI"/>
        <family val="0"/>
        <charset val="1"/>
      </rPr>
      <t xml:space="preserve">/it-interview-points/</t>
    </r>
    <r>
      <rPr>
        <sz val="10"/>
        <rFont val="WenQuanYi Zen Hei"/>
        <family val="2"/>
      </rPr>
      <t xml:space="preserve">、</t>
    </r>
    <r>
      <rPr>
        <sz val="10"/>
        <rFont val="Meiryo UI"/>
        <family val="0"/>
        <charset val="1"/>
      </rPr>
      <t xml:space="preserve">/online-interview-tips-from-it-hr/</t>
    </r>
    <r>
      <rPr>
        <sz val="10"/>
        <rFont val="WenQuanYi Zen Hei"/>
        <family val="2"/>
      </rPr>
      <t xml:space="preserve">、</t>
    </r>
    <r>
      <rPr>
        <sz val="10"/>
        <rFont val="Meiryo UI"/>
        <family val="0"/>
        <charset val="1"/>
      </rPr>
      <t xml:space="preserve">/tensyoku-mensetsu-gyakushitsumon/</t>
    </r>
  </si>
  <si>
    <r>
      <rPr>
        <sz val="10"/>
        <rFont val="WenQuanYi Zen Hei"/>
        <family val="2"/>
      </rPr>
      <t xml:space="preserve">【差別化して残す】担当：一次面接の対策として残し、ハブと相互リンク。親記事（</t>
    </r>
    <r>
      <rPr>
        <sz val="10"/>
        <rFont val="Meiryo UI"/>
        <family val="0"/>
        <charset val="1"/>
      </rPr>
      <t xml:space="preserve">/2ji-mensetsu-taisaku-tensyoku-mikeiken/</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1</t>
    </r>
    <r>
      <rPr>
        <sz val="10"/>
        <rFont val="WenQuanYi Zen Hei"/>
        <family val="2"/>
      </rPr>
      <t xml:space="preserve">ページ目の手前。「一次面接で内定」を含む見出しを追加して網羅性を補強し、同テーマの上位記事から内部リンクを追加して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</si>
  <si>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順位の改善が先。タイトルは「一次 面接 社長 ブラック」を含む形に整える程度に。</t>
  </si>
  <si>
    <r>
      <rPr>
        <sz val="10"/>
        <rFont val="WenQuanYi Zen Hei"/>
        <family val="2"/>
      </rPr>
      <t xml:space="preserve">「自分で直すのが難しい人へ」の見出しで、エージェントの無料書類添削・面接対策を紹介→第二新卒エージェント</t>
    </r>
    <r>
      <rPr>
        <sz val="10"/>
        <rFont val="Meiryo UI"/>
        <family val="0"/>
        <charset val="1"/>
      </rPr>
      <t xml:space="preserve">neo(A8)</t>
    </r>
    <r>
      <rPr>
        <sz val="10"/>
        <rFont val="WenQuanYi Zen Hei"/>
        <family val="2"/>
      </rPr>
      <t xml:space="preserve">。</t>
    </r>
  </si>
  <si>
    <t xml:space="preserve">/kyujinho-mikata-point/</t>
  </si>
  <si>
    <r>
      <rPr>
        <sz val="10"/>
        <rFont val="WenQuanYi Zen Hei"/>
        <family val="2"/>
      </rPr>
      <t xml:space="preserve">求人票 ポイント（</t>
    </r>
    <r>
      <rPr>
        <sz val="10"/>
        <rFont val="Meiryo UI"/>
        <family val="0"/>
        <charset val="1"/>
      </rPr>
      <t xml:space="preserve">140</t>
    </r>
    <r>
      <rPr>
        <sz val="10"/>
        <rFont val="WenQuanYi Zen Hei"/>
        <family val="2"/>
      </rPr>
      <t xml:space="preserve">表示・</t>
    </r>
    <r>
      <rPr>
        <sz val="10"/>
        <rFont val="Meiryo UI"/>
        <family val="0"/>
        <charset val="1"/>
      </rPr>
      <t xml:space="preserve">37.6</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求人票 見方 ポイント（</t>
    </r>
    <r>
      <rPr>
        <sz val="10"/>
        <rFont val="Meiryo UI"/>
        <family val="0"/>
        <charset val="1"/>
      </rPr>
      <t xml:space="preserve">39</t>
    </r>
    <r>
      <rPr>
        <sz val="10"/>
        <rFont val="WenQuanYi Zen Hei"/>
        <family val="2"/>
      </rPr>
      <t xml:space="preserve">表示・</t>
    </r>
    <r>
      <rPr>
        <sz val="10"/>
        <rFont val="Meiryo UI"/>
        <family val="0"/>
        <charset val="1"/>
      </rPr>
      <t xml:space="preserve">27.0</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求人票 離職率 どこ（</t>
    </r>
    <r>
      <rPr>
        <sz val="10"/>
        <rFont val="Meiryo UI"/>
        <family val="0"/>
        <charset val="1"/>
      </rPr>
      <t xml:space="preserve">17</t>
    </r>
    <r>
      <rPr>
        <sz val="10"/>
        <rFont val="WenQuanYi Zen Hei"/>
        <family val="2"/>
      </rPr>
      <t xml:space="preserve">表示・</t>
    </r>
    <r>
      <rPr>
        <sz val="10"/>
        <rFont val="Meiryo UI"/>
        <family val="0"/>
        <charset val="1"/>
      </rPr>
      <t xml:space="preserve">5.6</t>
    </r>
    <r>
      <rPr>
        <sz val="10"/>
        <rFont val="WenQuanYi Zen Hei"/>
        <family val="2"/>
      </rPr>
      <t xml:space="preserve">位・</t>
    </r>
    <r>
      <rPr>
        <sz val="10"/>
        <rFont val="Meiryo UI"/>
        <family val="0"/>
        <charset val="1"/>
      </rPr>
      <t xml:space="preserve">CTR5.9%</t>
    </r>
    <r>
      <rPr>
        <sz val="10"/>
        <rFont val="WenQuanYi Zen Hei"/>
        <family val="2"/>
      </rPr>
      <t xml:space="preserve">）</t>
    </r>
  </si>
  <si>
    <r>
      <rPr>
        <sz val="10"/>
        <rFont val="WenQuanYi Zen Hei"/>
        <family val="2"/>
      </rPr>
      <t xml:space="preserve">平均</t>
    </r>
    <r>
      <rPr>
        <sz val="10"/>
        <rFont val="Meiryo UI"/>
        <family val="0"/>
        <charset val="1"/>
      </rPr>
      <t xml:space="preserve">27.3</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ページ目以降。検索意図とのズレか、内容不足。取りこぼしクエリ：求人票 見方 ポイント（</t>
    </r>
    <r>
      <rPr>
        <sz val="10"/>
        <rFont val="Meiryo UI"/>
        <family val="0"/>
        <charset val="1"/>
      </rPr>
      <t xml:space="preserve">39</t>
    </r>
    <r>
      <rPr>
        <sz val="10"/>
        <rFont val="WenQuanYi Zen Hei"/>
        <family val="2"/>
      </rPr>
      <t xml:space="preserve">表示・</t>
    </r>
    <r>
      <rPr>
        <sz val="10"/>
        <rFont val="Meiryo UI"/>
        <family val="0"/>
        <charset val="1"/>
      </rPr>
      <t xml:space="preserve">27.0</t>
    </r>
    <r>
      <rPr>
        <sz val="10"/>
        <rFont val="WenQuanYi Zen Hei"/>
        <family val="2"/>
      </rPr>
      <t xml:space="preserve">位）。</t>
    </r>
  </si>
  <si>
    <r>
      <rPr>
        <sz val="10"/>
        <rFont val="WenQuanYi Zen Hei"/>
        <family val="2"/>
      </rPr>
      <t xml:space="preserve">【求人票の見方】競合相手：</t>
    </r>
    <r>
      <rPr>
        <sz val="10"/>
        <rFont val="Meiryo UI"/>
        <family val="0"/>
        <charset val="1"/>
      </rPr>
      <t xml:space="preserve">/kyujinhyo-black-kigyo-checklist/</t>
    </r>
  </si>
  <si>
    <r>
      <rPr>
        <sz val="10"/>
        <rFont val="WenQuanYi Zen Hei"/>
        <family val="2"/>
      </rPr>
      <t xml:space="preserve">【統合対象】</t>
    </r>
    <r>
      <rPr>
        <sz val="10"/>
        <rFont val="Meiryo UI"/>
        <family val="0"/>
        <charset val="1"/>
      </rPr>
      <t xml:space="preserve">/kyujinhyo-black-kigyo-checklist/</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mikata-point</t>
    </r>
    <r>
      <rPr>
        <sz val="10"/>
        <rFont val="WenQuanYi Zen Hei"/>
        <family val="2"/>
      </rPr>
      <t xml:space="preserve">を</t>
    </r>
    <r>
      <rPr>
        <sz val="10"/>
        <rFont val="Meiryo UI"/>
        <family val="0"/>
        <charset val="1"/>
      </rPr>
      <t xml:space="preserve">checklist</t>
    </r>
    <r>
      <rPr>
        <sz val="10"/>
        <rFont val="WenQuanYi Zen Hei"/>
        <family val="2"/>
      </rPr>
      <t xml:space="preserve">へ統合し、求人票・ブラック系のハブ記事にする。）</t>
    </r>
  </si>
  <si>
    <t xml:space="preserve">/rikunabi-next-toroku-bareru/</t>
  </si>
  <si>
    <r>
      <rPr>
        <sz val="10"/>
        <rFont val="Meiryo UI"/>
        <family val="0"/>
        <charset val="1"/>
      </rPr>
      <t xml:space="preserve">7.8</t>
    </r>
    <r>
      <rPr>
        <sz val="10"/>
        <rFont val="WenQuanYi Zen Hei"/>
        <family val="2"/>
      </rPr>
      <t xml:space="preserve">位・</t>
    </r>
    <r>
      <rPr>
        <sz val="10"/>
        <rFont val="Meiryo UI"/>
        <family val="0"/>
        <charset val="1"/>
      </rPr>
      <t xml:space="preserve">CTR0.9%</t>
    </r>
    <r>
      <rPr>
        <sz val="10"/>
        <rFont val="WenQuanYi Zen Hei"/>
        <family val="2"/>
      </rPr>
      <t xml:space="preserve">で水準並み以上。直近</t>
    </r>
    <r>
      <rPr>
        <sz val="10"/>
        <rFont val="Meiryo UI"/>
        <family val="0"/>
        <charset val="1"/>
      </rPr>
      <t xml:space="preserve">28</t>
    </r>
    <r>
      <rPr>
        <sz val="10"/>
        <rFont val="WenQuanYi Zen Hei"/>
        <family val="2"/>
      </rPr>
      <t xml:space="preserve">日で新規出現（クリック</t>
    </r>
    <r>
      <rPr>
        <sz val="10"/>
        <rFont val="Meiryo UI"/>
        <family val="0"/>
        <charset val="1"/>
      </rPr>
      <t xml:space="preserve">/</t>
    </r>
    <r>
      <rPr>
        <sz val="10"/>
        <rFont val="WenQuanYi Zen Hei"/>
        <family val="2"/>
      </rPr>
      <t xml:space="preserve">日 </t>
    </r>
    <r>
      <rPr>
        <sz val="10"/>
        <rFont val="Meiryo UI"/>
        <family val="0"/>
        <charset val="1"/>
      </rPr>
      <t xml:space="preserve">0.0→0.1</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0→8</t>
    </r>
    <r>
      <rPr>
        <sz val="10"/>
        <rFont val="WenQuanYi Zen Hei"/>
        <family val="2"/>
      </rPr>
      <t xml:space="preserve">）。</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</si>
  <si>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ページ目。本文は大きく変えず、導線の設置を優先。</t>
    </r>
  </si>
  <si>
    <r>
      <rPr>
        <sz val="10"/>
        <rFont val="Meiryo UI"/>
        <family val="0"/>
        <charset val="1"/>
      </rPr>
      <t xml:space="preserve">CTR</t>
    </r>
    <r>
      <rPr>
        <sz val="10"/>
        <rFont val="WenQuanYi Zen Hei"/>
        <family val="2"/>
      </rPr>
      <t xml:space="preserve">が低い。</t>
    </r>
    <r>
      <rPr>
        <sz val="10"/>
        <rFont val="Meiryo UI"/>
        <family val="0"/>
        <charset val="1"/>
      </rPr>
      <t xml:space="preserve">GSC</t>
    </r>
    <r>
      <rPr>
        <sz val="10"/>
        <rFont val="WenQuanYi Zen Hei"/>
        <family val="2"/>
      </rPr>
      <t xml:space="preserve">で表示クエリを確認し、タイトルで検索意図に即答する形に変更。</t>
    </r>
  </si>
  <si>
    <t xml:space="preserve">冒頭の結論ボックスに当該サービスのボタン（提携済みの場合）。「向いていない人」に代わりのサービスを提示。提携していない場合は提携申請か、提携済みの代替案件へ。</t>
  </si>
  <si>
    <t xml:space="preserve">/tensyoku-riyu-mensetsu-tsutaekata/</t>
  </si>
  <si>
    <t xml:space="preserve">転職理由</t>
  </si>
  <si>
    <r>
      <rPr>
        <sz val="10"/>
        <rFont val="WenQuanYi Zen Hei"/>
        <family val="2"/>
      </rPr>
      <t xml:space="preserve">転職理由 本音（</t>
    </r>
    <r>
      <rPr>
        <sz val="10"/>
        <rFont val="Meiryo UI"/>
        <family val="0"/>
        <charset val="1"/>
      </rPr>
      <t xml:space="preserve">75</t>
    </r>
    <r>
      <rPr>
        <sz val="10"/>
        <rFont val="WenQuanYi Zen Hei"/>
        <family val="2"/>
      </rPr>
      <t xml:space="preserve">表示・</t>
    </r>
    <r>
      <rPr>
        <sz val="10"/>
        <rFont val="Meiryo UI"/>
        <family val="0"/>
        <charset val="1"/>
      </rPr>
      <t xml:space="preserve">24.4</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転職理由 本音 面接（</t>
    </r>
    <r>
      <rPr>
        <sz val="10"/>
        <rFont val="Meiryo UI"/>
        <family val="0"/>
        <charset val="1"/>
      </rPr>
      <t xml:space="preserve">37</t>
    </r>
    <r>
      <rPr>
        <sz val="10"/>
        <rFont val="WenQuanYi Zen Hei"/>
        <family val="2"/>
      </rPr>
      <t xml:space="preserve">表示・</t>
    </r>
    <r>
      <rPr>
        <sz val="10"/>
        <rFont val="Meiryo UI"/>
        <family val="0"/>
        <charset val="1"/>
      </rPr>
      <t xml:space="preserve">34.5</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</si>
  <si>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22.2</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ページ目以降。検索意図とのズレか、内容不足。取りこぼしクエリ：転職理由 本音（</t>
    </r>
    <r>
      <rPr>
        <sz val="10"/>
        <rFont val="Meiryo UI"/>
        <family val="0"/>
        <charset val="1"/>
      </rPr>
      <t xml:space="preserve">75</t>
    </r>
    <r>
      <rPr>
        <sz val="10"/>
        <rFont val="WenQuanYi Zen Hei"/>
        <family val="2"/>
      </rPr>
      <t xml:space="preserve">表示・</t>
    </r>
    <r>
      <rPr>
        <sz val="10"/>
        <rFont val="Meiryo UI"/>
        <family val="0"/>
        <charset val="1"/>
      </rPr>
      <t xml:space="preserve">24.4</t>
    </r>
    <r>
      <rPr>
        <sz val="10"/>
        <rFont val="WenQuanYi Zen Hei"/>
        <family val="2"/>
      </rPr>
      <t xml:space="preserve">位）。</t>
    </r>
  </si>
  <si>
    <r>
      <rPr>
        <sz val="10"/>
        <rFont val="WenQuanYi Zen Hei"/>
        <family val="2"/>
      </rPr>
      <t xml:space="preserve">【転職理由】競合相手：</t>
    </r>
    <r>
      <rPr>
        <sz val="10"/>
        <rFont val="Meiryo UI"/>
        <family val="0"/>
        <charset val="1"/>
      </rPr>
      <t xml:space="preserve">/tensyoku-riyu-negative/</t>
    </r>
  </si>
  <si>
    <r>
      <rPr>
        <sz val="10"/>
        <rFont val="WenQuanYi Zen Hei"/>
        <family val="2"/>
      </rPr>
      <t xml:space="preserve">【親記事（統合先）】担当：転職理由の伝え方（本音・ネガティブ含む）。統合する子記事の固有情報を取り込み、同グループの記事から内部リンクを集める。
</t>
    </r>
    <r>
      <rPr>
        <sz val="10"/>
        <rFont val="Meiryo UI"/>
        <family val="0"/>
        <charset val="1"/>
      </rPr>
      <t xml:space="preserve">2</t>
    </r>
    <r>
      <rPr>
        <sz val="10"/>
        <rFont val="WenQuanYi Zen Hei"/>
        <family val="2"/>
      </rPr>
      <t xml:space="preserve">ページ目以降。上位記事の見出し構成と比べ、「転職理由 本音」への答えを冒頭に追加。網羅性を補っても上がらなければ統合を検討。</t>
    </r>
  </si>
  <si>
    <t xml:space="preserve">順位の改善が先。タイトルは「転職理由 本音」を含む形に整える程度に。</t>
  </si>
  <si>
    <t xml:space="preserve">/job-posting-high-salary-black-company-warning/</t>
  </si>
  <si>
    <r>
      <rPr>
        <sz val="10"/>
        <rFont val="WenQuanYi Zen Hei"/>
        <family val="2"/>
      </rPr>
      <t xml:space="preserve">高給料でブラック企業に逆襲（</t>
    </r>
    <r>
      <rPr>
        <sz val="10"/>
        <rFont val="Meiryo UI"/>
        <family val="0"/>
        <charset val="1"/>
      </rPr>
      <t xml:space="preserve">40</t>
    </r>
    <r>
      <rPr>
        <sz val="10"/>
        <rFont val="WenQuanYi Zen Hei"/>
        <family val="2"/>
      </rPr>
      <t xml:space="preserve">表示・</t>
    </r>
    <r>
      <rPr>
        <sz val="10"/>
        <rFont val="Meiryo UI"/>
        <family val="0"/>
        <charset val="1"/>
      </rPr>
      <t xml:space="preserve">6.0</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</si>
  <si>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7.2</t>
    </r>
    <r>
      <rPr>
        <sz val="10"/>
        <rFont val="WenQuanYi Zen Hei"/>
        <family val="2"/>
      </rPr>
      <t xml:space="preserve">位・</t>
    </r>
    <r>
      <rPr>
        <sz val="10"/>
        <rFont val="Meiryo UI"/>
        <family val="0"/>
        <charset val="1"/>
      </rPr>
      <t xml:space="preserve">CTR2.5%</t>
    </r>
    <r>
      <rPr>
        <sz val="10"/>
        <rFont val="WenQuanYi Zen Hei"/>
        <family val="2"/>
      </rPr>
      <t xml:space="preserve">。関連クエリの大半が上位</t>
    </r>
    <r>
      <rPr>
        <sz val="10"/>
        <rFont val="Meiryo UI"/>
        <family val="0"/>
        <charset val="1"/>
      </rPr>
      <t xml:space="preserve">1,000</t>
    </r>
    <r>
      <rPr>
        <sz val="10"/>
        <rFont val="WenQuanYi Zen Hei"/>
        <family val="2"/>
      </rPr>
      <t xml:space="preserve">件の外（ロングテール）。</t>
    </r>
  </si>
  <si>
    <r>
      <rPr>
        <sz val="10"/>
        <rFont val="WenQuanYi Zen Hei"/>
        <family val="2"/>
      </rPr>
      <t xml:space="preserve">【求人票の危険ワード】競合相手：</t>
    </r>
    <r>
      <rPr>
        <sz val="10"/>
        <rFont val="Meiryo UI"/>
        <family val="0"/>
        <charset val="1"/>
      </rPr>
      <t xml:space="preserve">/athome-kyujin-black-tensyoku/</t>
    </r>
    <r>
      <rPr>
        <sz val="10"/>
        <rFont val="WenQuanYi Zen Hei"/>
        <family val="2"/>
      </rPr>
      <t xml:space="preserve">、</t>
    </r>
    <r>
      <rPr>
        <sz val="10"/>
        <rFont val="Meiryo UI"/>
        <family val="0"/>
        <charset val="1"/>
      </rPr>
      <t xml:space="preserve">/annual-holidays-few-job-posting-warning/</t>
    </r>
    <r>
      <rPr>
        <sz val="10"/>
        <rFont val="WenQuanYi Zen Hei"/>
        <family val="2"/>
      </rPr>
      <t xml:space="preserve">、</t>
    </r>
    <r>
      <rPr>
        <sz val="10"/>
        <rFont val="Meiryo UI"/>
        <family val="0"/>
        <charset val="1"/>
      </rPr>
      <t xml:space="preserve">/tairyo-boshu-kyujin-black-kigyo/</t>
    </r>
    <r>
      <rPr>
        <sz val="10"/>
        <rFont val="WenQuanYi Zen Hei"/>
        <family val="2"/>
      </rPr>
      <t xml:space="preserve">、</t>
    </r>
    <r>
      <rPr>
        <sz val="10"/>
        <rFont val="Meiryo UI"/>
        <family val="0"/>
        <charset val="1"/>
      </rPr>
      <t xml:space="preserve">/kanbu-kouho-kyuujin-black/</t>
    </r>
    <r>
      <rPr>
        <sz val="10"/>
        <rFont val="WenQuanYi Zen Hei"/>
        <family val="2"/>
      </rPr>
      <t xml:space="preserve">、</t>
    </r>
    <r>
      <rPr>
        <sz val="10"/>
        <rFont val="Meiryo UI"/>
        <family val="0"/>
        <charset val="1"/>
      </rPr>
      <t xml:space="preserve">/kyuujinhyou-aimai-hyougen-black/</t>
    </r>
  </si>
  <si>
    <t xml:space="preserve">「給料が高すぎる求人の裏」を冒頭で即答。</t>
  </si>
  <si>
    <t xml:space="preserve">【案】給料が高すぎる求人はブラック？高収入求人の裏側を人事が解説</t>
  </si>
  <si>
    <t xml:space="preserve">→転職会議（実際の年収口コミで確認）</t>
  </si>
  <si>
    <t xml:space="preserve">/linuc-lpic-difference/</t>
  </si>
  <si>
    <r>
      <rPr>
        <sz val="10"/>
        <rFont val="Meiryo UI"/>
        <family val="0"/>
        <charset val="1"/>
      </rPr>
      <t xml:space="preserve">linuc lpic</t>
    </r>
    <r>
      <rPr>
        <sz val="10"/>
        <rFont val="WenQuanYi Zen Hei"/>
        <family val="2"/>
      </rPr>
      <t xml:space="preserve">違い（</t>
    </r>
    <r>
      <rPr>
        <sz val="10"/>
        <rFont val="Meiryo UI"/>
        <family val="0"/>
        <charset val="1"/>
      </rPr>
      <t xml:space="preserve">84</t>
    </r>
    <r>
      <rPr>
        <sz val="10"/>
        <rFont val="WenQuanYi Zen Hei"/>
        <family val="2"/>
      </rPr>
      <t xml:space="preserve">表示・</t>
    </r>
    <r>
      <rPr>
        <sz val="10"/>
        <rFont val="Meiryo UI"/>
        <family val="0"/>
        <charset val="1"/>
      </rPr>
      <t xml:space="preserve">37.0</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lpic</t>
    </r>
    <r>
      <rPr>
        <sz val="10"/>
        <rFont val="WenQuanYi Zen Hei"/>
        <family val="2"/>
      </rPr>
      <t xml:space="preserve">意味ない（</t>
    </r>
    <r>
      <rPr>
        <sz val="10"/>
        <rFont val="Meiryo UI"/>
        <family val="0"/>
        <charset val="1"/>
      </rPr>
      <t xml:space="preserve">72</t>
    </r>
    <r>
      <rPr>
        <sz val="10"/>
        <rFont val="WenQuanYi Zen Hei"/>
        <family val="2"/>
      </rPr>
      <t xml:space="preserve">表示・</t>
    </r>
    <r>
      <rPr>
        <sz val="10"/>
        <rFont val="Meiryo UI"/>
        <family val="0"/>
        <charset val="1"/>
      </rPr>
      <t xml:space="preserve">39.4</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linuc level2 </t>
    </r>
    <r>
      <rPr>
        <sz val="10"/>
        <rFont val="WenQuanYi Zen Hei"/>
        <family val="2"/>
      </rPr>
      <t xml:space="preserve">難易度（</t>
    </r>
    <r>
      <rPr>
        <sz val="10"/>
        <rFont val="Meiryo UI"/>
        <family val="0"/>
        <charset val="1"/>
      </rPr>
      <t xml:space="preserve">55</t>
    </r>
    <r>
      <rPr>
        <sz val="10"/>
        <rFont val="WenQuanYi Zen Hei"/>
        <family val="2"/>
      </rPr>
      <t xml:space="preserve">表示・</t>
    </r>
    <r>
      <rPr>
        <sz val="10"/>
        <rFont val="Meiryo UI"/>
        <family val="0"/>
        <charset val="1"/>
      </rPr>
      <t xml:space="preserve">10.0</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</si>
  <si>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20.1</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t>
    </r>
    <r>
      <rPr>
        <sz val="10"/>
        <rFont val="Meiryo UI"/>
        <family val="0"/>
        <charset val="1"/>
      </rPr>
      <t xml:space="preserve">linuc level2 </t>
    </r>
    <r>
      <rPr>
        <sz val="10"/>
        <rFont val="WenQuanYi Zen Hei"/>
        <family val="2"/>
      </rPr>
      <t xml:space="preserve">難易度（</t>
    </r>
    <r>
      <rPr>
        <sz val="10"/>
        <rFont val="Meiryo UI"/>
        <family val="0"/>
        <charset val="1"/>
      </rPr>
      <t xml:space="preserve">55</t>
    </r>
    <r>
      <rPr>
        <sz val="10"/>
        <rFont val="WenQuanYi Zen Hei"/>
        <family val="2"/>
      </rPr>
      <t xml:space="preserve">表示・</t>
    </r>
    <r>
      <rPr>
        <sz val="10"/>
        <rFont val="Meiryo UI"/>
        <family val="0"/>
        <charset val="1"/>
      </rPr>
      <t xml:space="preserve">10.0</t>
    </r>
    <r>
      <rPr>
        <sz val="10"/>
        <rFont val="WenQuanYi Zen Hei"/>
        <family val="2"/>
      </rPr>
      <t xml:space="preserve">位）。</t>
    </r>
  </si>
  <si>
    <r>
      <rPr>
        <sz val="10"/>
        <rFont val="WenQuanYi Zen Hei"/>
        <family val="2"/>
      </rPr>
      <t xml:space="preserve">【</t>
    </r>
    <r>
      <rPr>
        <sz val="10"/>
        <rFont val="Meiryo UI"/>
        <family val="0"/>
        <charset val="1"/>
      </rPr>
      <t xml:space="preserve">Linux</t>
    </r>
    <r>
      <rPr>
        <sz val="10"/>
        <rFont val="WenQuanYi Zen Hei"/>
        <family val="2"/>
      </rPr>
      <t xml:space="preserve">資格】競合相手：</t>
    </r>
    <r>
      <rPr>
        <sz val="10"/>
        <rFont val="Meiryo UI"/>
        <family val="0"/>
        <charset val="1"/>
      </rPr>
      <t xml:space="preserve">/linuc-lpic-level2-aws-saa-difficulty/</t>
    </r>
  </si>
  <si>
    <r>
      <rPr>
        <sz val="10"/>
        <rFont val="WenQuanYi Zen Hei"/>
        <family val="2"/>
      </rPr>
      <t xml:space="preserve">【親記事（統合先）】担当：</t>
    </r>
    <r>
      <rPr>
        <sz val="10"/>
        <rFont val="Meiryo UI"/>
        <family val="0"/>
        <charset val="1"/>
      </rPr>
      <t xml:space="preserve">LinuC</t>
    </r>
    <r>
      <rPr>
        <sz val="10"/>
        <rFont val="WenQuanYi Zen Hei"/>
        <family val="2"/>
      </rPr>
      <t xml:space="preserve">と</t>
    </r>
    <r>
      <rPr>
        <sz val="10"/>
        <rFont val="Meiryo UI"/>
        <family val="0"/>
        <charset val="1"/>
      </rPr>
      <t xml:space="preserve">LPIC</t>
    </r>
    <r>
      <rPr>
        <sz val="10"/>
        <rFont val="WenQuanYi Zen Hei"/>
        <family val="2"/>
      </rPr>
      <t xml:space="preserve">の違い・どっちを取るべきか。統合する子記事の固有情報を取り込み、同グループの記事から内部リンクを集める。
</t>
    </r>
    <r>
      <rPr>
        <sz val="10"/>
        <rFont val="Meiryo UI"/>
        <family val="0"/>
        <charset val="1"/>
      </rPr>
      <t xml:space="preserve">2</t>
    </r>
    <r>
      <rPr>
        <sz val="10"/>
        <rFont val="WenQuanYi Zen Hei"/>
        <family val="2"/>
      </rPr>
      <t xml:space="preserve">ページ目以降。上位記事の見出し構成と比べ、「</t>
    </r>
    <r>
      <rPr>
        <sz val="10"/>
        <rFont val="Meiryo UI"/>
        <family val="0"/>
        <charset val="1"/>
      </rPr>
      <t xml:space="preserve">linuc level2 </t>
    </r>
    <r>
      <rPr>
        <sz val="10"/>
        <rFont val="WenQuanYi Zen Hei"/>
        <family val="2"/>
      </rPr>
      <t xml:space="preserve">難易度」への答えを冒頭に追加。網羅性を補っても上がらなければ統合を検討。</t>
    </r>
  </si>
  <si>
    <r>
      <rPr>
        <sz val="10"/>
        <rFont val="WenQuanYi Zen Hei"/>
        <family val="2"/>
      </rPr>
      <t xml:space="preserve">順位の改善が先。タイトルは「</t>
    </r>
    <r>
      <rPr>
        <sz val="10"/>
        <rFont val="Meiryo UI"/>
        <family val="0"/>
        <charset val="1"/>
      </rPr>
      <t xml:space="preserve">linuc lpic</t>
    </r>
    <r>
      <rPr>
        <sz val="10"/>
        <rFont val="WenQuanYi Zen Hei"/>
        <family val="2"/>
      </rPr>
      <t xml:space="preserve">違い」を含む形に整える程度に。</t>
    </r>
  </si>
  <si>
    <t xml:space="preserve">/it-passport-kihonjoho-ikashikata/</t>
  </si>
  <si>
    <r>
      <rPr>
        <sz val="10"/>
        <rFont val="WenQuanYi Zen Hei"/>
        <family val="2"/>
      </rPr>
      <t xml:space="preserve">平均</t>
    </r>
    <r>
      <rPr>
        <sz val="10"/>
        <rFont val="Meiryo UI"/>
        <family val="0"/>
        <charset val="1"/>
      </rPr>
      <t xml:space="preserve">23.6</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</si>
  <si>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t>
    </r>
    <r>
      <rPr>
        <sz val="10"/>
        <rFont val="Meiryo UI"/>
        <family val="0"/>
        <charset val="1"/>
      </rPr>
      <t xml:space="preserve">IT</t>
    </r>
    <r>
      <rPr>
        <sz val="10"/>
        <rFont val="WenQuanYi Zen Hei"/>
        <family val="2"/>
      </rPr>
      <t xml:space="preserve">パスポート・基本情報】競合相手：</t>
    </r>
    <r>
      <rPr>
        <sz val="10"/>
        <rFont val="Meiryo UI"/>
        <family val="0"/>
        <charset val="1"/>
      </rPr>
      <t xml:space="preserve">/itpassport-kihonjoho-2027-henkou/</t>
    </r>
    <r>
      <rPr>
        <sz val="10"/>
        <rFont val="WenQuanYi Zen Hei"/>
        <family val="2"/>
      </rPr>
      <t xml:space="preserve">、</t>
    </r>
    <r>
      <rPr>
        <sz val="10"/>
        <rFont val="Meiryo UI"/>
        <family val="0"/>
        <charset val="1"/>
      </rPr>
      <t xml:space="preserve">/it-passport-iminai/</t>
    </r>
    <r>
      <rPr>
        <sz val="10"/>
        <rFont val="WenQuanYi Zen Hei"/>
        <family val="2"/>
      </rPr>
      <t xml:space="preserve">、</t>
    </r>
    <r>
      <rPr>
        <sz val="10"/>
        <rFont val="Meiryo UI"/>
        <family val="0"/>
        <charset val="1"/>
      </rPr>
      <t xml:space="preserve">/it-passport-kihonjoho-ukaranai/</t>
    </r>
  </si>
  <si>
    <r>
      <rPr>
        <sz val="10"/>
        <rFont val="WenQuanYi Zen Hei"/>
        <family val="2"/>
      </rPr>
      <t xml:space="preserve">【統合対象】</t>
    </r>
    <r>
      <rPr>
        <sz val="10"/>
        <rFont val="Meiryo UI"/>
        <family val="0"/>
        <charset val="1"/>
      </rPr>
      <t xml:space="preserve">/it-passport-iminai/</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it-passport-kihonjoho-ikashikata</t>
    </r>
    <r>
      <rPr>
        <sz val="10"/>
        <rFont val="WenQuanYi Zen Hei"/>
        <family val="2"/>
      </rPr>
      <t xml:space="preserve">を</t>
    </r>
    <r>
      <rPr>
        <sz val="10"/>
        <rFont val="Meiryo UI"/>
        <family val="0"/>
        <charset val="1"/>
      </rPr>
      <t xml:space="preserve">it-passport-iminai</t>
    </r>
    <r>
      <rPr>
        <sz val="10"/>
        <rFont val="WenQuanYi Zen Hei"/>
        <family val="2"/>
      </rPr>
      <t xml:space="preserve">へ統合（</t>
    </r>
    <r>
      <rPr>
        <sz val="10"/>
        <rFont val="Meiryo UI"/>
        <family val="0"/>
        <charset val="1"/>
      </rPr>
      <t xml:space="preserve">301</t>
    </r>
    <r>
      <rPr>
        <sz val="10"/>
        <rFont val="WenQuanYi Zen Hei"/>
        <family val="2"/>
      </rPr>
      <t xml:space="preserve">）。</t>
    </r>
    <r>
      <rPr>
        <sz val="10"/>
        <rFont val="Meiryo UI"/>
        <family val="0"/>
        <charset val="1"/>
      </rPr>
      <t xml:space="preserve">ukaranai</t>
    </r>
    <r>
      <rPr>
        <sz val="10"/>
        <rFont val="WenQuanYi Zen Hei"/>
        <family val="2"/>
      </rPr>
      <t xml:space="preserve">（勉強法）と</t>
    </r>
    <r>
      <rPr>
        <sz val="10"/>
        <rFont val="Meiryo UI"/>
        <family val="0"/>
        <charset val="1"/>
      </rPr>
      <t xml:space="preserve">2027-henkou</t>
    </r>
    <r>
      <rPr>
        <sz val="10"/>
        <rFont val="WenQuanYi Zen Hei"/>
        <family val="2"/>
      </rPr>
      <t xml:space="preserve">（制度変更）は維持。）</t>
    </r>
  </si>
  <si>
    <t xml:space="preserve">/2ji-mensetsu-taisaku-tensyoku-mikeiken/</t>
  </si>
  <si>
    <r>
      <rPr>
        <sz val="10"/>
        <rFont val="WenQuanYi Zen Hei"/>
        <family val="2"/>
      </rPr>
      <t xml:space="preserve">転職 二次面接 落ちる（</t>
    </r>
    <r>
      <rPr>
        <sz val="10"/>
        <rFont val="Meiryo UI"/>
        <family val="0"/>
        <charset val="1"/>
      </rPr>
      <t xml:space="preserve">83</t>
    </r>
    <r>
      <rPr>
        <sz val="10"/>
        <rFont val="WenQuanYi Zen Hei"/>
        <family val="2"/>
      </rPr>
      <t xml:space="preserve">表示・</t>
    </r>
    <r>
      <rPr>
        <sz val="10"/>
        <rFont val="Meiryo UI"/>
        <family val="0"/>
        <charset val="1"/>
      </rPr>
      <t xml:space="preserve">38.0</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二次面接で落ちる 転職（</t>
    </r>
    <r>
      <rPr>
        <sz val="10"/>
        <rFont val="Meiryo UI"/>
        <family val="0"/>
        <charset val="1"/>
      </rPr>
      <t xml:space="preserve">70</t>
    </r>
    <r>
      <rPr>
        <sz val="10"/>
        <rFont val="WenQuanYi Zen Hei"/>
        <family val="2"/>
      </rPr>
      <t xml:space="preserve">表示・</t>
    </r>
    <r>
      <rPr>
        <sz val="10"/>
        <rFont val="Meiryo UI"/>
        <family val="0"/>
        <charset val="1"/>
      </rPr>
      <t xml:space="preserve">42.3</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</si>
  <si>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35.0</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</si>
  <si>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【面接対策】競合相手：</t>
    </r>
    <r>
      <rPr>
        <sz val="10"/>
        <rFont val="Meiryo UI"/>
        <family val="0"/>
        <charset val="1"/>
      </rPr>
      <t xml:space="preserve">/it-tensyoku-mikeiken-1ji-mensetsu/</t>
    </r>
    <r>
      <rPr>
        <sz val="10"/>
        <rFont val="WenQuanYi Zen Hei"/>
        <family val="2"/>
      </rPr>
      <t xml:space="preserve">、</t>
    </r>
    <r>
      <rPr>
        <sz val="10"/>
        <rFont val="Meiryo UI"/>
        <family val="0"/>
        <charset val="1"/>
      </rPr>
      <t xml:space="preserve">/it-tensyoku-saishu-mensetsu-taisaku/</t>
    </r>
    <r>
      <rPr>
        <sz val="10"/>
        <rFont val="WenQuanYi Zen Hei"/>
        <family val="2"/>
      </rPr>
      <t xml:space="preserve">、</t>
    </r>
    <r>
      <rPr>
        <sz val="10"/>
        <rFont val="Meiryo UI"/>
        <family val="0"/>
        <charset val="1"/>
      </rPr>
      <t xml:space="preserve">/it-interview-points/</t>
    </r>
    <r>
      <rPr>
        <sz val="10"/>
        <rFont val="WenQuanYi Zen Hei"/>
        <family val="2"/>
      </rPr>
      <t xml:space="preserve">、</t>
    </r>
    <r>
      <rPr>
        <sz val="10"/>
        <rFont val="Meiryo UI"/>
        <family val="0"/>
        <charset val="1"/>
      </rPr>
      <t xml:space="preserve">/online-interview-tips-from-it-hr/</t>
    </r>
    <r>
      <rPr>
        <sz val="10"/>
        <rFont val="WenQuanYi Zen Hei"/>
        <family val="2"/>
      </rPr>
      <t xml:space="preserve">、</t>
    </r>
    <r>
      <rPr>
        <sz val="10"/>
        <rFont val="Meiryo UI"/>
        <family val="0"/>
        <charset val="1"/>
      </rPr>
      <t xml:space="preserve">/tensyoku-mensetsu-gyakushitsumon/</t>
    </r>
  </si>
  <si>
    <r>
      <rPr>
        <sz val="10"/>
        <rFont val="WenQuanYi Zen Hei"/>
        <family val="2"/>
      </rPr>
      <t xml:space="preserve">【親記事（統合先）】担当：</t>
    </r>
    <r>
      <rPr>
        <sz val="10"/>
        <rFont val="Meiryo UI"/>
        <family val="0"/>
        <charset val="1"/>
      </rPr>
      <t xml:space="preserve">IT</t>
    </r>
    <r>
      <rPr>
        <sz val="10"/>
        <rFont val="WenQuanYi Zen Hei"/>
        <family val="2"/>
      </rPr>
      <t xml:space="preserve">転職の面接対策（ハブ化）。統合する子記事の固有情報を取り込み、同グループの記事から内部リンクを集める。
</t>
    </r>
    <r>
      <rPr>
        <sz val="10"/>
        <rFont val="Meiryo UI"/>
        <family val="0"/>
        <charset val="1"/>
      </rPr>
      <t xml:space="preserve">2</t>
    </r>
    <r>
      <rPr>
        <sz val="10"/>
        <rFont val="WenQuanYi Zen Hei"/>
        <family val="2"/>
      </rPr>
      <t xml:space="preserve">ページ目以降。上位記事の見出し構成と比べ、「転職 二次面接 落ちる」への答えを冒頭に追加。網羅性を補っても上がらなければ統合を検討。</t>
    </r>
  </si>
  <si>
    <t xml:space="preserve">順位の改善が先。タイトルは「転職 二次面接 落ちる」を含む形に整える程度に。</t>
  </si>
  <si>
    <t xml:space="preserve">/seishain-haken-ses-chigai/</t>
  </si>
  <si>
    <r>
      <rPr>
        <sz val="10"/>
        <rFont val="Meiryo UI"/>
        <family val="0"/>
        <charset val="1"/>
      </rPr>
      <t xml:space="preserve">ses </t>
    </r>
    <r>
      <rPr>
        <sz val="10"/>
        <rFont val="WenQuanYi Zen Hei"/>
        <family val="2"/>
      </rPr>
      <t xml:space="preserve">正社員型派遣（</t>
    </r>
    <r>
      <rPr>
        <sz val="10"/>
        <rFont val="Meiryo UI"/>
        <family val="0"/>
        <charset val="1"/>
      </rPr>
      <t xml:space="preserve">25</t>
    </r>
    <r>
      <rPr>
        <sz val="10"/>
        <rFont val="WenQuanYi Zen Hei"/>
        <family val="2"/>
      </rPr>
      <t xml:space="preserve">表示・</t>
    </r>
    <r>
      <rPr>
        <sz val="10"/>
        <rFont val="Meiryo UI"/>
        <family val="0"/>
        <charset val="1"/>
      </rPr>
      <t xml:space="preserve">10.8</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正社員型派遣 </t>
    </r>
    <r>
      <rPr>
        <sz val="10"/>
        <rFont val="Meiryo UI"/>
        <family val="0"/>
        <charset val="1"/>
      </rPr>
      <t xml:space="preserve">ses</t>
    </r>
    <r>
      <rPr>
        <sz val="10"/>
        <rFont val="WenQuanYi Zen Hei"/>
        <family val="2"/>
      </rPr>
      <t xml:space="preserve">（</t>
    </r>
    <r>
      <rPr>
        <sz val="10"/>
        <rFont val="Meiryo UI"/>
        <family val="0"/>
        <charset val="1"/>
      </rPr>
      <t xml:space="preserve">11</t>
    </r>
    <r>
      <rPr>
        <sz val="10"/>
        <rFont val="WenQuanYi Zen Hei"/>
        <family val="2"/>
      </rPr>
      <t xml:space="preserve">表示・</t>
    </r>
    <r>
      <rPr>
        <sz val="10"/>
        <rFont val="Meiryo UI"/>
        <family val="0"/>
        <charset val="1"/>
      </rPr>
      <t xml:space="preserve">10.1</t>
    </r>
    <r>
      <rPr>
        <sz val="10"/>
        <rFont val="WenQuanYi Zen Hei"/>
        <family val="2"/>
      </rPr>
      <t xml:space="preserve">位・</t>
    </r>
    <r>
      <rPr>
        <sz val="10"/>
        <rFont val="Meiryo UI"/>
        <family val="0"/>
        <charset val="1"/>
      </rPr>
      <t xml:space="preserve">CTR9.1%</t>
    </r>
    <r>
      <rPr>
        <sz val="10"/>
        <rFont val="WenQuanYi Zen Hei"/>
        <family val="2"/>
      </rPr>
      <t xml:space="preserve">）</t>
    </r>
  </si>
  <si>
    <r>
      <rPr>
        <sz val="10"/>
        <rFont val="WenQuanYi Zen Hei"/>
        <family val="2"/>
      </rPr>
      <t xml:space="preserve">平均</t>
    </r>
    <r>
      <rPr>
        <sz val="10"/>
        <rFont val="Meiryo UI"/>
        <family val="0"/>
        <charset val="1"/>
      </rPr>
      <t xml:space="preserve">15.5</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t>
    </r>
    <r>
      <rPr>
        <sz val="10"/>
        <rFont val="Meiryo UI"/>
        <family val="0"/>
        <charset val="1"/>
      </rPr>
      <t xml:space="preserve">ses </t>
    </r>
    <r>
      <rPr>
        <sz val="10"/>
        <rFont val="WenQuanYi Zen Hei"/>
        <family val="2"/>
      </rPr>
      <t xml:space="preserve">正社員型派遣（</t>
    </r>
    <r>
      <rPr>
        <sz val="10"/>
        <rFont val="Meiryo UI"/>
        <family val="0"/>
        <charset val="1"/>
      </rPr>
      <t xml:space="preserve">25</t>
    </r>
    <r>
      <rPr>
        <sz val="10"/>
        <rFont val="WenQuanYi Zen Hei"/>
        <family val="2"/>
      </rPr>
      <t xml:space="preserve">表示・</t>
    </r>
    <r>
      <rPr>
        <sz val="10"/>
        <rFont val="Meiryo UI"/>
        <family val="0"/>
        <charset val="1"/>
      </rPr>
      <t xml:space="preserve">10.8</t>
    </r>
    <r>
      <rPr>
        <sz val="10"/>
        <rFont val="WenQuanYi Zen Hei"/>
        <family val="2"/>
      </rPr>
      <t xml:space="preserve">位）。</t>
    </r>
  </si>
  <si>
    <r>
      <rPr>
        <sz val="10"/>
        <rFont val="WenQuanYi Zen Hei"/>
        <family val="2"/>
      </rPr>
      <t xml:space="preserve">【</t>
    </r>
    <r>
      <rPr>
        <sz val="10"/>
        <rFont val="Meiryo UI"/>
        <family val="0"/>
        <charset val="1"/>
      </rPr>
      <t xml:space="preserve">SES</t>
    </r>
    <r>
      <rPr>
        <sz val="10"/>
        <rFont val="WenQuanYi Zen Hei"/>
        <family val="2"/>
      </rPr>
      <t xml:space="preserve">】競合相手：</t>
    </r>
    <r>
      <rPr>
        <sz val="10"/>
        <rFont val="Meiryo UI"/>
        <family val="0"/>
        <charset val="1"/>
      </rPr>
      <t xml:space="preserve">/sier-ses-docchi/</t>
    </r>
    <r>
      <rPr>
        <sz val="10"/>
        <rFont val="WenQuanYi Zen Hei"/>
        <family val="2"/>
      </rPr>
      <t xml:space="preserve">、</t>
    </r>
    <r>
      <rPr>
        <sz val="10"/>
        <rFont val="Meiryo UI"/>
        <family val="0"/>
        <charset val="1"/>
      </rPr>
      <t xml:space="preserve">/ses-syoryu-toritekiho-tenshoku/</t>
    </r>
    <r>
      <rPr>
        <sz val="10"/>
        <rFont val="WenQuanYi Zen Hei"/>
        <family val="2"/>
      </rPr>
      <t xml:space="preserve">、</t>
    </r>
    <r>
      <rPr>
        <sz val="10"/>
        <rFont val="Meiryo UI"/>
        <family val="0"/>
        <charset val="1"/>
      </rPr>
      <t xml:space="preserve">/ses-kigyou-miwakekata-erabikata/</t>
    </r>
  </si>
  <si>
    <r>
      <rPr>
        <sz val="10"/>
        <rFont val="WenQuanYi Zen Hei"/>
        <family val="2"/>
      </rPr>
      <t xml:space="preserve">【差別化して残す】担当：正社員型派遣と</t>
    </r>
    <r>
      <rPr>
        <sz val="10"/>
        <rFont val="Meiryo UI"/>
        <family val="0"/>
        <charset val="1"/>
      </rPr>
      <t xml:space="preserve">SES</t>
    </r>
    <r>
      <rPr>
        <sz val="10"/>
        <rFont val="WenQuanYi Zen Hei"/>
        <family val="2"/>
      </rPr>
      <t xml:space="preserve">の違いだけを担当。親記事（</t>
    </r>
    <r>
      <rPr>
        <sz val="10"/>
        <rFont val="Meiryo UI"/>
        <family val="0"/>
        <charset val="1"/>
      </rPr>
      <t xml:space="preserve">/ses-kigyou-miwakekata-erabikata/</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1</t>
    </r>
    <r>
      <rPr>
        <sz val="10"/>
        <rFont val="WenQuanYi Zen Hei"/>
        <family val="2"/>
      </rPr>
      <t xml:space="preserve">ページ目の手前。「</t>
    </r>
    <r>
      <rPr>
        <sz val="10"/>
        <rFont val="Meiryo UI"/>
        <family val="0"/>
        <charset val="1"/>
      </rPr>
      <t xml:space="preserve">ses </t>
    </r>
    <r>
      <rPr>
        <sz val="10"/>
        <rFont val="WenQuanYi Zen Hei"/>
        <family val="2"/>
      </rPr>
      <t xml:space="preserve">正社員型派遣」を含む見出しを追加して網羅性を補強し、同テーマの上位記事から内部リンクを追加して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</si>
  <si>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順位の改善が先。タイトルは「</t>
    </r>
    <r>
      <rPr>
        <sz val="10"/>
        <rFont val="Meiryo UI"/>
        <family val="0"/>
        <charset val="1"/>
      </rPr>
      <t xml:space="preserve">ses </t>
    </r>
    <r>
      <rPr>
        <sz val="10"/>
        <rFont val="WenQuanYi Zen Hei"/>
        <family val="2"/>
      </rPr>
      <t xml:space="preserve">正社員型派遣」を含む形に整える程度に。</t>
    </r>
  </si>
  <si>
    <t xml:space="preserve">/ses-kigyou-miwakekata-erabikata/</t>
  </si>
  <si>
    <r>
      <rPr>
        <sz val="10"/>
        <rFont val="Meiryo UI"/>
        <family val="0"/>
        <charset val="1"/>
      </rPr>
      <t xml:space="preserve">ses </t>
    </r>
    <r>
      <rPr>
        <sz val="10"/>
        <rFont val="WenQuanYi Zen Hei"/>
        <family val="2"/>
      </rPr>
      <t xml:space="preserve">見分け方（</t>
    </r>
    <r>
      <rPr>
        <sz val="10"/>
        <rFont val="Meiryo UI"/>
        <family val="0"/>
        <charset val="1"/>
      </rPr>
      <t xml:space="preserve">247</t>
    </r>
    <r>
      <rPr>
        <sz val="10"/>
        <rFont val="WenQuanYi Zen Hei"/>
        <family val="2"/>
      </rPr>
      <t xml:space="preserve">表示・</t>
    </r>
    <r>
      <rPr>
        <sz val="10"/>
        <rFont val="Meiryo UI"/>
        <family val="0"/>
        <charset val="1"/>
      </rPr>
      <t xml:space="preserve">42.8</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</si>
  <si>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32.8</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</si>
  <si>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t>
    </r>
    <r>
      <rPr>
        <sz val="10"/>
        <rFont val="Meiryo UI"/>
        <family val="0"/>
        <charset val="1"/>
      </rPr>
      <t xml:space="preserve">SES</t>
    </r>
    <r>
      <rPr>
        <sz val="10"/>
        <rFont val="WenQuanYi Zen Hei"/>
        <family val="2"/>
      </rPr>
      <t xml:space="preserve">】競合相手：</t>
    </r>
    <r>
      <rPr>
        <sz val="10"/>
        <rFont val="Meiryo UI"/>
        <family val="0"/>
        <charset val="1"/>
      </rPr>
      <t xml:space="preserve">/sier-ses-docchi/</t>
    </r>
    <r>
      <rPr>
        <sz val="10"/>
        <rFont val="WenQuanYi Zen Hei"/>
        <family val="2"/>
      </rPr>
      <t xml:space="preserve">、</t>
    </r>
    <r>
      <rPr>
        <sz val="10"/>
        <rFont val="Meiryo UI"/>
        <family val="0"/>
        <charset val="1"/>
      </rPr>
      <t xml:space="preserve">/ses-syoryu-toritekiho-tenshoku/</t>
    </r>
    <r>
      <rPr>
        <sz val="10"/>
        <rFont val="WenQuanYi Zen Hei"/>
        <family val="2"/>
      </rPr>
      <t xml:space="preserve">、</t>
    </r>
    <r>
      <rPr>
        <sz val="10"/>
        <rFont val="Meiryo UI"/>
        <family val="0"/>
        <charset val="1"/>
      </rPr>
      <t xml:space="preserve">/seishain-haken-ses-chigai/</t>
    </r>
  </si>
  <si>
    <r>
      <rPr>
        <sz val="10"/>
        <rFont val="WenQuanYi Zen Hei"/>
        <family val="2"/>
      </rPr>
      <t xml:space="preserve">【親記事（統合先）】担当：</t>
    </r>
    <r>
      <rPr>
        <sz val="10"/>
        <rFont val="Meiryo UI"/>
        <family val="0"/>
        <charset val="1"/>
      </rPr>
      <t xml:space="preserve">SES</t>
    </r>
    <r>
      <rPr>
        <sz val="10"/>
        <rFont val="WenQuanYi Zen Hei"/>
        <family val="2"/>
      </rPr>
      <t xml:space="preserve">企業の見分け方・選び方。統合する子記事の固有情報を取り込み、同グループの記事から内部リンクを集める。
</t>
    </r>
    <r>
      <rPr>
        <sz val="10"/>
        <rFont val="Meiryo UI"/>
        <family val="0"/>
        <charset val="1"/>
      </rPr>
      <t xml:space="preserve">2</t>
    </r>
    <r>
      <rPr>
        <sz val="10"/>
        <rFont val="WenQuanYi Zen Hei"/>
        <family val="2"/>
      </rPr>
      <t xml:space="preserve">ページ目以降。上位記事の見出し構成と比べ、「</t>
    </r>
    <r>
      <rPr>
        <sz val="10"/>
        <rFont val="Meiryo UI"/>
        <family val="0"/>
        <charset val="1"/>
      </rPr>
      <t xml:space="preserve">ses </t>
    </r>
    <r>
      <rPr>
        <sz val="10"/>
        <rFont val="WenQuanYi Zen Hei"/>
        <family val="2"/>
      </rPr>
      <t xml:space="preserve">見分け方」への答えを冒頭に追加。網羅性を補っても上がらなければ統合を検討。</t>
    </r>
  </si>
  <si>
    <r>
      <rPr>
        <sz val="10"/>
        <rFont val="WenQuanYi Zen Hei"/>
        <family val="2"/>
      </rPr>
      <t xml:space="preserve">順位の改善が先。タイトルは「</t>
    </r>
    <r>
      <rPr>
        <sz val="10"/>
        <rFont val="Meiryo UI"/>
        <family val="0"/>
        <charset val="1"/>
      </rPr>
      <t xml:space="preserve">ses </t>
    </r>
    <r>
      <rPr>
        <sz val="10"/>
        <rFont val="WenQuanYi Zen Hei"/>
        <family val="2"/>
      </rPr>
      <t xml:space="preserve">見分け方」を含む形に整える程度に。</t>
    </r>
  </si>
  <si>
    <t xml:space="preserve">/maker-sier-white-ranking/</t>
  </si>
  <si>
    <r>
      <rPr>
        <sz val="10"/>
        <rFont val="WenQuanYi Zen Hei"/>
        <family val="2"/>
      </rPr>
      <t xml:space="preserve">平均</t>
    </r>
    <r>
      <rPr>
        <sz val="10"/>
        <rFont val="Meiryo UI"/>
        <family val="0"/>
        <charset val="1"/>
      </rPr>
      <t xml:space="preserve">24.5</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</si>
  <si>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【メーカー系</t>
    </r>
    <r>
      <rPr>
        <sz val="10"/>
        <rFont val="Meiryo UI"/>
        <family val="0"/>
        <charset val="1"/>
      </rPr>
      <t xml:space="preserve">SIer</t>
    </r>
    <r>
      <rPr>
        <sz val="10"/>
        <rFont val="WenQuanYi Zen Hei"/>
        <family val="2"/>
      </rPr>
      <t xml:space="preserve">】競合相手：</t>
    </r>
    <r>
      <rPr>
        <sz val="10"/>
        <rFont val="Meiryo UI"/>
        <family val="0"/>
        <charset val="1"/>
      </rPr>
      <t xml:space="preserve">/maker-sier-tier/</t>
    </r>
  </si>
  <si>
    <r>
      <rPr>
        <sz val="10"/>
        <rFont val="WenQuanYi Zen Hei"/>
        <family val="2"/>
      </rPr>
      <t xml:space="preserve">【統合対象】</t>
    </r>
    <r>
      <rPr>
        <sz val="10"/>
        <rFont val="Meiryo UI"/>
        <family val="0"/>
        <charset val="1"/>
      </rPr>
      <t xml:space="preserve">/maker-sier-tier/</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maker-sier-white-ranking</t>
    </r>
    <r>
      <rPr>
        <sz val="10"/>
        <rFont val="WenQuanYi Zen Hei"/>
        <family val="2"/>
      </rPr>
      <t xml:space="preserve">を</t>
    </r>
    <r>
      <rPr>
        <sz val="10"/>
        <rFont val="Meiryo UI"/>
        <family val="0"/>
        <charset val="1"/>
      </rPr>
      <t xml:space="preserve">maker-sier-tier</t>
    </r>
    <r>
      <rPr>
        <sz val="10"/>
        <rFont val="WenQuanYi Zen Hei"/>
        <family val="2"/>
      </rPr>
      <t xml:space="preserve">へ統合（</t>
    </r>
    <r>
      <rPr>
        <sz val="10"/>
        <rFont val="Meiryo UI"/>
        <family val="0"/>
        <charset val="1"/>
      </rPr>
      <t xml:space="preserve">301</t>
    </r>
    <r>
      <rPr>
        <sz val="10"/>
        <rFont val="WenQuanYi Zen Hei"/>
        <family val="2"/>
      </rPr>
      <t xml:space="preserve">）。）</t>
    </r>
  </si>
  <si>
    <t xml:space="preserve">/rirekisyo-kakikata/</t>
  </si>
  <si>
    <t xml:space="preserve">応募書類の書き方</t>
  </si>
  <si>
    <r>
      <rPr>
        <sz val="10"/>
        <rFont val="Meiryo UI"/>
        <family val="0"/>
        <charset val="1"/>
      </rPr>
      <t xml:space="preserve">5.4</t>
    </r>
    <r>
      <rPr>
        <sz val="10"/>
        <rFont val="WenQuanYi Zen Hei"/>
        <family val="2"/>
      </rPr>
      <t xml:space="preserve">位で</t>
    </r>
    <r>
      <rPr>
        <sz val="10"/>
        <rFont val="Meiryo UI"/>
        <family val="0"/>
        <charset val="1"/>
      </rPr>
      <t xml:space="preserve">484</t>
    </r>
    <r>
      <rPr>
        <sz val="10"/>
        <rFont val="WenQuanYi Zen Hei"/>
        <family val="2"/>
      </rPr>
      <t xml:space="preserve">表示なのにクリック</t>
    </r>
    <r>
      <rPr>
        <sz val="10"/>
        <rFont val="Meiryo UI"/>
        <family val="0"/>
        <charset val="1"/>
      </rPr>
      <t xml:space="preserve">0</t>
    </r>
    <r>
      <rPr>
        <sz val="10"/>
        <rFont val="WenQuanYi Zen Hei"/>
        <family val="2"/>
      </rPr>
      <t xml:space="preserve">。検索意図とずれたクエリで表示されている可能性が高い。</t>
    </r>
  </si>
  <si>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を絞り込んでクエリを確認し、表示されているクエリに合わせて見出しを修正。</t>
    </r>
  </si>
  <si>
    <t xml:space="preserve">クエリ確認後に修正。</t>
  </si>
  <si>
    <t xml:space="preserve">書類添削→リクルートエージェント</t>
  </si>
  <si>
    <t xml:space="preserve">/major-sier-6-comparison/</t>
  </si>
  <si>
    <r>
      <rPr>
        <sz val="10"/>
        <rFont val="Meiryo UI"/>
        <family val="0"/>
        <charset val="1"/>
      </rPr>
      <t xml:space="preserve">SIer</t>
    </r>
    <r>
      <rPr>
        <sz val="10"/>
        <rFont val="WenQuanYi Zen Hei"/>
        <family val="2"/>
      </rPr>
      <t xml:space="preserve">比較</t>
    </r>
  </si>
  <si>
    <r>
      <rPr>
        <sz val="10"/>
        <rFont val="Meiryo UI"/>
        <family val="0"/>
        <charset val="1"/>
      </rPr>
      <t xml:space="preserve">9.3</t>
    </r>
    <r>
      <rPr>
        <sz val="10"/>
        <rFont val="WenQuanYi Zen Hei"/>
        <family val="2"/>
      </rPr>
      <t xml:space="preserve">位で</t>
    </r>
    <r>
      <rPr>
        <sz val="10"/>
        <rFont val="Meiryo UI"/>
        <family val="0"/>
        <charset val="1"/>
      </rPr>
      <t xml:space="preserve">CTR0.9%</t>
    </r>
    <r>
      <rPr>
        <sz val="10"/>
        <rFont val="WenQuanYi Zen Hei"/>
        <family val="2"/>
      </rPr>
      <t xml:space="preserve">（同順位の目標</t>
    </r>
    <r>
      <rPr>
        <sz val="10"/>
        <rFont val="Meiryo UI"/>
        <family val="0"/>
        <charset val="1"/>
      </rPr>
      <t xml:space="preserve">4%</t>
    </r>
    <r>
      <rPr>
        <sz val="10"/>
        <rFont val="WenQuanYi Zen Hei"/>
        <family val="2"/>
      </rPr>
      <t xml:space="preserve">を大きく下回る）。タイトル・説明文が検索意図に合っていない可能性。直近</t>
    </r>
    <r>
      <rPr>
        <sz val="10"/>
        <rFont val="Meiryo UI"/>
        <family val="0"/>
        <charset val="1"/>
      </rPr>
      <t xml:space="preserve">28</t>
    </r>
    <r>
      <rPr>
        <sz val="10"/>
        <rFont val="WenQuanYi Zen Hei"/>
        <family val="2"/>
      </rPr>
      <t xml:space="preserve">日で表示急伸（クリック</t>
    </r>
    <r>
      <rPr>
        <sz val="10"/>
        <rFont val="Meiryo UI"/>
        <family val="0"/>
        <charset val="1"/>
      </rPr>
      <t xml:space="preserve">/</t>
    </r>
    <r>
      <rPr>
        <sz val="10"/>
        <rFont val="WenQuanYi Zen Hei"/>
        <family val="2"/>
      </rPr>
      <t xml:space="preserve">日 </t>
    </r>
    <r>
      <rPr>
        <sz val="10"/>
        <rFont val="Meiryo UI"/>
        <family val="0"/>
        <charset val="1"/>
      </rPr>
      <t xml:space="preserve">0.0→0.1</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4→13</t>
    </r>
    <r>
      <rPr>
        <sz val="10"/>
        <rFont val="WenQuanYi Zen Hei"/>
        <family val="2"/>
      </rPr>
      <t xml:space="preserve">）。</t>
    </r>
  </si>
  <si>
    <r>
      <rPr>
        <sz val="10"/>
        <rFont val="WenQuanYi Zen Hei"/>
        <family val="2"/>
      </rPr>
      <t xml:space="preserve">【</t>
    </r>
    <r>
      <rPr>
        <sz val="10"/>
        <rFont val="Meiryo UI"/>
        <family val="0"/>
        <charset val="1"/>
      </rPr>
      <t xml:space="preserve">SIer</t>
    </r>
    <r>
      <rPr>
        <sz val="10"/>
        <rFont val="WenQuanYi Zen Hei"/>
        <family val="2"/>
      </rPr>
      <t xml:space="preserve">比較】競合相手：</t>
    </r>
    <r>
      <rPr>
        <sz val="10"/>
        <rFont val="Meiryo UI"/>
        <family val="0"/>
        <charset val="1"/>
      </rPr>
      <t xml:space="preserve">/sier-consul-webkei-chigai/</t>
    </r>
    <r>
      <rPr>
        <sz val="10"/>
        <rFont val="WenQuanYi Zen Hei"/>
        <family val="2"/>
      </rPr>
      <t xml:space="preserve">、</t>
    </r>
    <r>
      <rPr>
        <sz val="10"/>
        <rFont val="Meiryo UI"/>
        <family val="0"/>
        <charset val="1"/>
      </rPr>
      <t xml:space="preserve">/sier-tensyoku-jittai/</t>
    </r>
  </si>
  <si>
    <r>
      <rPr>
        <sz val="10"/>
        <rFont val="WenQuanYi Zen Hei"/>
        <family val="2"/>
      </rPr>
      <t xml:space="preserve">一覧表・ランキングの直後に「自分の経験でどの</t>
    </r>
    <r>
      <rPr>
        <sz val="10"/>
        <rFont val="Meiryo UI"/>
        <family val="0"/>
        <charset val="1"/>
      </rPr>
      <t xml:space="preserve">Tier</t>
    </r>
    <r>
      <rPr>
        <sz val="10"/>
        <rFont val="WenQuanYi Zen Hei"/>
        <family val="2"/>
      </rPr>
      <t xml:space="preserve">に入れるかはスカウトを受けると分かる」→リクルートエージェント</t>
    </r>
    <r>
      <rPr>
        <sz val="10"/>
        <rFont val="Meiryo UI"/>
        <family val="0"/>
        <charset val="1"/>
      </rPr>
      <t xml:space="preserve">(VC)</t>
    </r>
    <r>
      <rPr>
        <sz val="10"/>
        <rFont val="WenQuanYi Zen Hei"/>
        <family val="2"/>
      </rPr>
      <t xml:space="preserve">。</t>
    </r>
  </si>
  <si>
    <t xml:space="preserve">/job-rejection-reasons/</t>
  </si>
  <si>
    <t xml:space="preserve">不採用理由</t>
  </si>
  <si>
    <r>
      <rPr>
        <sz val="10"/>
        <rFont val="WenQuanYi Zen Hei"/>
        <family val="2"/>
      </rPr>
      <t xml:space="preserve">転職 お祈り（</t>
    </r>
    <r>
      <rPr>
        <sz val="10"/>
        <rFont val="Meiryo UI"/>
        <family val="0"/>
        <charset val="1"/>
      </rPr>
      <t xml:space="preserve">35</t>
    </r>
    <r>
      <rPr>
        <sz val="10"/>
        <rFont val="WenQuanYi Zen Hei"/>
        <family val="2"/>
      </rPr>
      <t xml:space="preserve">表示・</t>
    </r>
    <r>
      <rPr>
        <sz val="10"/>
        <rFont val="Meiryo UI"/>
        <family val="0"/>
        <charset val="1"/>
      </rPr>
      <t xml:space="preserve">17.0</t>
    </r>
    <r>
      <rPr>
        <sz val="10"/>
        <rFont val="WenQuanYi Zen Hei"/>
        <family val="2"/>
      </rPr>
      <t xml:space="preserve">位・</t>
    </r>
    <r>
      <rPr>
        <sz val="10"/>
        <rFont val="Meiryo UI"/>
        <family val="0"/>
        <charset val="1"/>
      </rPr>
      <t xml:space="preserve">CTR2.9%</t>
    </r>
    <r>
      <rPr>
        <sz val="10"/>
        <rFont val="WenQuanYi Zen Hei"/>
        <family val="2"/>
      </rPr>
      <t xml:space="preserve">） </t>
    </r>
    <r>
      <rPr>
        <sz val="10"/>
        <rFont val="Meiryo UI"/>
        <family val="0"/>
        <charset val="1"/>
      </rPr>
      <t xml:space="preserve">/ </t>
    </r>
    <r>
      <rPr>
        <sz val="10"/>
        <rFont val="WenQuanYi Zen Hei"/>
        <family val="2"/>
      </rPr>
      <t xml:space="preserve">お祈りメール 潰れろ（</t>
    </r>
    <r>
      <rPr>
        <sz val="10"/>
        <rFont val="Meiryo UI"/>
        <family val="0"/>
        <charset val="1"/>
      </rPr>
      <t xml:space="preserve">11</t>
    </r>
    <r>
      <rPr>
        <sz val="10"/>
        <rFont val="WenQuanYi Zen Hei"/>
        <family val="2"/>
      </rPr>
      <t xml:space="preserve">表示・</t>
    </r>
    <r>
      <rPr>
        <sz val="10"/>
        <rFont val="Meiryo UI"/>
        <family val="0"/>
        <charset val="1"/>
      </rPr>
      <t xml:space="preserve">21.4</t>
    </r>
    <r>
      <rPr>
        <sz val="10"/>
        <rFont val="WenQuanYi Zen Hei"/>
        <family val="2"/>
      </rPr>
      <t xml:space="preserve">位・</t>
    </r>
    <r>
      <rPr>
        <sz val="10"/>
        <rFont val="Meiryo UI"/>
        <family val="0"/>
        <charset val="1"/>
      </rPr>
      <t xml:space="preserve">CTR9.1%</t>
    </r>
    <r>
      <rPr>
        <sz val="10"/>
        <rFont val="WenQuanYi Zen Hei"/>
        <family val="2"/>
      </rPr>
      <t xml:space="preserve">） </t>
    </r>
    <r>
      <rPr>
        <sz val="10"/>
        <rFont val="Meiryo UI"/>
        <family val="0"/>
        <charset val="1"/>
      </rPr>
      <t xml:space="preserve">/ </t>
    </r>
    <r>
      <rPr>
        <sz val="10"/>
        <rFont val="WenQuanYi Zen Hei"/>
        <family val="2"/>
      </rPr>
      <t xml:space="preserve">転職 お祈りメール（</t>
    </r>
    <r>
      <rPr>
        <sz val="10"/>
        <rFont val="Meiryo UI"/>
        <family val="0"/>
        <charset val="1"/>
      </rPr>
      <t xml:space="preserve">2</t>
    </r>
    <r>
      <rPr>
        <sz val="10"/>
        <rFont val="WenQuanYi Zen Hei"/>
        <family val="2"/>
      </rPr>
      <t xml:space="preserve">表示・</t>
    </r>
    <r>
      <rPr>
        <sz val="10"/>
        <rFont val="Meiryo UI"/>
        <family val="0"/>
        <charset val="1"/>
      </rPr>
      <t xml:space="preserve">14.0</t>
    </r>
    <r>
      <rPr>
        <sz val="10"/>
        <rFont val="WenQuanYi Zen Hei"/>
        <family val="2"/>
      </rPr>
      <t xml:space="preserve">位・</t>
    </r>
    <r>
      <rPr>
        <sz val="10"/>
        <rFont val="Meiryo UI"/>
        <family val="0"/>
        <charset val="1"/>
      </rPr>
      <t xml:space="preserve">CTR50.0%</t>
    </r>
    <r>
      <rPr>
        <sz val="10"/>
        <rFont val="WenQuanYi Zen Hei"/>
        <family val="2"/>
      </rPr>
      <t xml:space="preserve">）</t>
    </r>
  </si>
  <si>
    <r>
      <rPr>
        <sz val="10"/>
        <rFont val="WenQuanYi Zen Hei"/>
        <family val="2"/>
      </rPr>
      <t xml:space="preserve">平均</t>
    </r>
    <r>
      <rPr>
        <sz val="10"/>
        <rFont val="Meiryo UI"/>
        <family val="0"/>
        <charset val="1"/>
      </rPr>
      <t xml:space="preserve">10.4</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ページ目の手前（あと一歩）。取りこぼしクエリ：転職 お祈り（</t>
    </r>
    <r>
      <rPr>
        <sz val="10"/>
        <rFont val="Meiryo UI"/>
        <family val="0"/>
        <charset val="1"/>
      </rPr>
      <t xml:space="preserve">35</t>
    </r>
    <r>
      <rPr>
        <sz val="10"/>
        <rFont val="WenQuanYi Zen Hei"/>
        <family val="2"/>
      </rPr>
      <t xml:space="preserve">表示・</t>
    </r>
    <r>
      <rPr>
        <sz val="10"/>
        <rFont val="Meiryo UI"/>
        <family val="0"/>
        <charset val="1"/>
      </rPr>
      <t xml:space="preserve">17.0</t>
    </r>
    <r>
      <rPr>
        <sz val="10"/>
        <rFont val="WenQuanYi Zen Hei"/>
        <family val="2"/>
      </rPr>
      <t xml:space="preserve">位）。</t>
    </r>
  </si>
  <si>
    <r>
      <rPr>
        <sz val="10"/>
        <rFont val="Meiryo UI"/>
        <family val="0"/>
        <charset val="1"/>
      </rPr>
      <t xml:space="preserve">1</t>
    </r>
    <r>
      <rPr>
        <sz val="10"/>
        <rFont val="WenQuanYi Zen Hei"/>
        <family val="2"/>
      </rPr>
      <t xml:space="preserve">ページ目の手前。「転職 お祈り」を含む見出しを追加して網羅性を補強し、同テーマの上位記事から内部リンクを追加して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</si>
  <si>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順位の改善が先。タイトルは「転職 お祈り」を含む形に整える程度に。</t>
  </si>
  <si>
    <t xml:space="preserve">/tisi-career-change/</t>
  </si>
  <si>
    <r>
      <rPr>
        <sz val="10"/>
        <rFont val="Meiryo UI"/>
        <family val="0"/>
        <charset val="1"/>
      </rPr>
      <t xml:space="preserve">tisi </t>
    </r>
    <r>
      <rPr>
        <sz val="10"/>
        <rFont val="WenQuanYi Zen Hei"/>
        <family val="2"/>
      </rPr>
      <t xml:space="preserve">就職難易度（</t>
    </r>
    <r>
      <rPr>
        <sz val="10"/>
        <rFont val="Meiryo UI"/>
        <family val="0"/>
        <charset val="1"/>
      </rPr>
      <t xml:space="preserve">36</t>
    </r>
    <r>
      <rPr>
        <sz val="10"/>
        <rFont val="WenQuanYi Zen Hei"/>
        <family val="2"/>
      </rPr>
      <t xml:space="preserve">表示・</t>
    </r>
    <r>
      <rPr>
        <sz val="10"/>
        <rFont val="Meiryo UI"/>
        <family val="0"/>
        <charset val="1"/>
      </rPr>
      <t xml:space="preserve">9.5</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</si>
  <si>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9.4</t>
    </r>
    <r>
      <rPr>
        <sz val="10"/>
        <rFont val="WenQuanYi Zen Hei"/>
        <family val="2"/>
      </rPr>
      <t xml:space="preserve">位・</t>
    </r>
    <r>
      <rPr>
        <sz val="10"/>
        <rFont val="Meiryo UI"/>
        <family val="0"/>
        <charset val="1"/>
      </rPr>
      <t xml:space="preserve">CTR0.8%</t>
    </r>
    <r>
      <rPr>
        <sz val="10"/>
        <rFont val="WenQuanYi Zen Hei"/>
        <family val="2"/>
      </rPr>
      <t xml:space="preserve">で水準並み以上。直近</t>
    </r>
    <r>
      <rPr>
        <sz val="10"/>
        <rFont val="Meiryo UI"/>
        <family val="0"/>
        <charset val="1"/>
      </rPr>
      <t xml:space="preserve">28</t>
    </r>
    <r>
      <rPr>
        <sz val="10"/>
        <rFont val="WenQuanYi Zen Hei"/>
        <family val="2"/>
      </rPr>
      <t xml:space="preserve">日で新規出現（クリック</t>
    </r>
    <r>
      <rPr>
        <sz val="10"/>
        <rFont val="Meiryo UI"/>
        <family val="0"/>
        <charset val="1"/>
      </rPr>
      <t xml:space="preserve">/</t>
    </r>
    <r>
      <rPr>
        <sz val="10"/>
        <rFont val="WenQuanYi Zen Hei"/>
        <family val="2"/>
      </rPr>
      <t xml:space="preserve">日 </t>
    </r>
    <r>
      <rPr>
        <sz val="10"/>
        <rFont val="Meiryo UI"/>
        <family val="0"/>
        <charset val="1"/>
      </rPr>
      <t xml:space="preserve">0.0→0.1</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0→8</t>
    </r>
    <r>
      <rPr>
        <sz val="10"/>
        <rFont val="WenQuanYi Zen Hei"/>
        <family val="2"/>
      </rPr>
      <t xml:space="preserve">）。取りこぼしクエリ：</t>
    </r>
    <r>
      <rPr>
        <sz val="10"/>
        <rFont val="Meiryo UI"/>
        <family val="0"/>
        <charset val="1"/>
      </rPr>
      <t xml:space="preserve">tisi </t>
    </r>
    <r>
      <rPr>
        <sz val="10"/>
        <rFont val="WenQuanYi Zen Hei"/>
        <family val="2"/>
      </rPr>
      <t xml:space="preserve">就職難易度（</t>
    </r>
    <r>
      <rPr>
        <sz val="10"/>
        <rFont val="Meiryo UI"/>
        <family val="0"/>
        <charset val="1"/>
      </rPr>
      <t xml:space="preserve">36</t>
    </r>
    <r>
      <rPr>
        <sz val="10"/>
        <rFont val="WenQuanYi Zen Hei"/>
        <family val="2"/>
      </rPr>
      <t xml:space="preserve">表示・</t>
    </r>
    <r>
      <rPr>
        <sz val="10"/>
        <rFont val="Meiryo UI"/>
        <family val="0"/>
        <charset val="1"/>
      </rPr>
      <t xml:space="preserve">9.5</t>
    </r>
    <r>
      <rPr>
        <sz val="10"/>
        <rFont val="WenQuanYi Zen Hei"/>
        <family val="2"/>
      </rPr>
      <t xml:space="preserve">位）。</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</si>
  <si>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t>
    </r>
    <r>
      <rPr>
        <sz val="10"/>
        <rFont val="Meiryo UI"/>
        <family val="0"/>
        <charset val="1"/>
      </rPr>
      <t xml:space="preserve">tisi </t>
    </r>
    <r>
      <rPr>
        <sz val="10"/>
        <rFont val="WenQuanYi Zen Hei"/>
        <family val="2"/>
      </rPr>
      <t xml:space="preserve">就職難易度」向けの見出し追加と導線の設置に留める。</t>
    </r>
  </si>
  <si>
    <r>
      <rPr>
        <sz val="10"/>
        <rFont val="Meiryo UI"/>
        <family val="0"/>
        <charset val="1"/>
      </rPr>
      <t xml:space="preserve">CTR</t>
    </r>
    <r>
      <rPr>
        <sz val="10"/>
        <rFont val="WenQuanYi Zen Hei"/>
        <family val="2"/>
      </rPr>
      <t xml:space="preserve">が低い。タイトル先頭に「</t>
    </r>
    <r>
      <rPr>
        <sz val="10"/>
        <rFont val="Meiryo UI"/>
        <family val="0"/>
        <charset val="1"/>
      </rPr>
      <t xml:space="preserve">tisi </t>
    </r>
    <r>
      <rPr>
        <sz val="10"/>
        <rFont val="WenQuanYi Zen Hei"/>
        <family val="2"/>
      </rPr>
      <t xml:space="preserve">就職難易度」を入れ、疑問形のクエリには説明文の冒頭で答えを言い切る。「現役</t>
    </r>
    <r>
      <rPr>
        <sz val="10"/>
        <rFont val="Meiryo UI"/>
        <family val="0"/>
        <charset val="1"/>
      </rPr>
      <t xml:space="preserve">IT</t>
    </r>
    <r>
      <rPr>
        <sz val="10"/>
        <rFont val="WenQuanYi Zen Hei"/>
        <family val="2"/>
      </rPr>
      <t xml:space="preserve">人事」の要素は残す。</t>
    </r>
  </si>
  <si>
    <t xml:space="preserve">/japan-ibm-tenshoku-yametoke/</t>
  </si>
  <si>
    <r>
      <rPr>
        <sz val="10"/>
        <rFont val="WenQuanYi Zen Hei"/>
        <family val="2"/>
      </rPr>
      <t xml:space="preserve">外資</t>
    </r>
    <r>
      <rPr>
        <sz val="10"/>
        <rFont val="Meiryo UI"/>
        <family val="0"/>
        <charset val="1"/>
      </rPr>
      <t xml:space="preserve">IT</t>
    </r>
  </si>
  <si>
    <r>
      <rPr>
        <sz val="10"/>
        <rFont val="WenQuanYi Zen Hei"/>
        <family val="2"/>
      </rPr>
      <t xml:space="preserve">日本</t>
    </r>
    <r>
      <rPr>
        <sz val="10"/>
        <rFont val="Meiryo UI"/>
        <family val="0"/>
        <charset val="1"/>
      </rPr>
      <t xml:space="preserve">ibm </t>
    </r>
    <r>
      <rPr>
        <sz val="10"/>
        <rFont val="WenQuanYi Zen Hei"/>
        <family val="2"/>
      </rPr>
      <t xml:space="preserve">やめとけ（</t>
    </r>
    <r>
      <rPr>
        <sz val="10"/>
        <rFont val="Meiryo UI"/>
        <family val="0"/>
        <charset val="1"/>
      </rPr>
      <t xml:space="preserve">134</t>
    </r>
    <r>
      <rPr>
        <sz val="10"/>
        <rFont val="WenQuanYi Zen Hei"/>
        <family val="2"/>
      </rPr>
      <t xml:space="preserve">表示・</t>
    </r>
    <r>
      <rPr>
        <sz val="10"/>
        <rFont val="Meiryo UI"/>
        <family val="0"/>
        <charset val="1"/>
      </rPr>
      <t xml:space="preserve">10.1</t>
    </r>
    <r>
      <rPr>
        <sz val="10"/>
        <rFont val="WenQuanYi Zen Hei"/>
        <family val="2"/>
      </rPr>
      <t xml:space="preserve">位・</t>
    </r>
    <r>
      <rPr>
        <sz val="10"/>
        <rFont val="Meiryo UI"/>
        <family val="0"/>
        <charset val="1"/>
      </rPr>
      <t xml:space="preserve">CTR1.5%</t>
    </r>
    <r>
      <rPr>
        <sz val="10"/>
        <rFont val="WenQuanYi Zen Hei"/>
        <family val="2"/>
      </rPr>
      <t xml:space="preserve">） </t>
    </r>
    <r>
      <rPr>
        <sz val="10"/>
        <rFont val="Meiryo UI"/>
        <family val="0"/>
        <charset val="1"/>
      </rPr>
      <t xml:space="preserve">/ </t>
    </r>
    <r>
      <rPr>
        <sz val="10"/>
        <rFont val="WenQuanYi Zen Hei"/>
        <family val="2"/>
      </rPr>
      <t xml:space="preserve">日本</t>
    </r>
    <r>
      <rPr>
        <sz val="10"/>
        <rFont val="Meiryo UI"/>
        <family val="0"/>
        <charset val="1"/>
      </rPr>
      <t xml:space="preserve">ibm </t>
    </r>
    <r>
      <rPr>
        <sz val="10"/>
        <rFont val="WenQuanYi Zen Hei"/>
        <family val="2"/>
      </rPr>
      <t xml:space="preserve">やばい（</t>
    </r>
    <r>
      <rPr>
        <sz val="10"/>
        <rFont val="Meiryo UI"/>
        <family val="0"/>
        <charset val="1"/>
      </rPr>
      <t xml:space="preserve">103</t>
    </r>
    <r>
      <rPr>
        <sz val="10"/>
        <rFont val="WenQuanYi Zen Hei"/>
        <family val="2"/>
      </rPr>
      <t xml:space="preserve">表示・</t>
    </r>
    <r>
      <rPr>
        <sz val="10"/>
        <rFont val="Meiryo UI"/>
        <family val="0"/>
        <charset val="1"/>
      </rPr>
      <t xml:space="preserve">32.3</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</si>
  <si>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14.4</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ページ目の手前（あと一歩）。直近</t>
    </r>
    <r>
      <rPr>
        <sz val="10"/>
        <rFont val="Meiryo UI"/>
        <family val="0"/>
        <charset val="1"/>
      </rPr>
      <t xml:space="preserve">28</t>
    </r>
    <r>
      <rPr>
        <sz val="10"/>
        <rFont val="WenQuanYi Zen Hei"/>
        <family val="2"/>
      </rPr>
      <t xml:space="preserve">日で表示急伸（クリック</t>
    </r>
    <r>
      <rPr>
        <sz val="10"/>
        <rFont val="Meiryo UI"/>
        <family val="0"/>
        <charset val="1"/>
      </rPr>
      <t xml:space="preserve">/</t>
    </r>
    <r>
      <rPr>
        <sz val="10"/>
        <rFont val="WenQuanYi Zen Hei"/>
        <family val="2"/>
      </rPr>
      <t xml:space="preserve">日 </t>
    </r>
    <r>
      <rPr>
        <sz val="10"/>
        <rFont val="Meiryo UI"/>
        <family val="0"/>
        <charset val="1"/>
      </rPr>
      <t xml:space="preserve">0.1→0.2</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7→12</t>
    </r>
    <r>
      <rPr>
        <sz val="10"/>
        <rFont val="WenQuanYi Zen Hei"/>
        <family val="2"/>
      </rPr>
      <t xml:space="preserve">）。取りこぼしクエリ：日本</t>
    </r>
    <r>
      <rPr>
        <sz val="10"/>
        <rFont val="Meiryo UI"/>
        <family val="0"/>
        <charset val="1"/>
      </rPr>
      <t xml:space="preserve">ibm </t>
    </r>
    <r>
      <rPr>
        <sz val="10"/>
        <rFont val="WenQuanYi Zen Hei"/>
        <family val="2"/>
      </rPr>
      <t xml:space="preserve">やめとけ（</t>
    </r>
    <r>
      <rPr>
        <sz val="10"/>
        <rFont val="Meiryo UI"/>
        <family val="0"/>
        <charset val="1"/>
      </rPr>
      <t xml:space="preserve">134</t>
    </r>
    <r>
      <rPr>
        <sz val="10"/>
        <rFont val="WenQuanYi Zen Hei"/>
        <family val="2"/>
      </rPr>
      <t xml:space="preserve">表示・</t>
    </r>
    <r>
      <rPr>
        <sz val="10"/>
        <rFont val="Meiryo UI"/>
        <family val="0"/>
        <charset val="1"/>
      </rPr>
      <t xml:space="preserve">10.1</t>
    </r>
    <r>
      <rPr>
        <sz val="10"/>
        <rFont val="WenQuanYi Zen Hei"/>
        <family val="2"/>
      </rPr>
      <t xml:space="preserve">位）。</t>
    </r>
  </si>
  <si>
    <r>
      <rPr>
        <sz val="10"/>
        <rFont val="Meiryo UI"/>
        <family val="0"/>
        <charset val="1"/>
      </rPr>
      <t xml:space="preserve">1</t>
    </r>
    <r>
      <rPr>
        <sz val="10"/>
        <rFont val="WenQuanYi Zen Hei"/>
        <family val="2"/>
      </rPr>
      <t xml:space="preserve">ページ目の手前。「日本</t>
    </r>
    <r>
      <rPr>
        <sz val="10"/>
        <rFont val="Meiryo UI"/>
        <family val="0"/>
        <charset val="1"/>
      </rPr>
      <t xml:space="preserve">ibm </t>
    </r>
    <r>
      <rPr>
        <sz val="10"/>
        <rFont val="WenQuanYi Zen Hei"/>
        <family val="2"/>
      </rPr>
      <t xml:space="preserve">やめとけ」を含む見出しを追加して網羅性を補強し、同テーマの上位記事から内部リンクを追加して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</si>
  <si>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順位の改善が先。タイトルは「日本</t>
    </r>
    <r>
      <rPr>
        <sz val="10"/>
        <rFont val="Meiryo UI"/>
        <family val="0"/>
        <charset val="1"/>
      </rPr>
      <t xml:space="preserve">ibm </t>
    </r>
    <r>
      <rPr>
        <sz val="10"/>
        <rFont val="WenQuanYi Zen Hei"/>
        <family val="2"/>
      </rPr>
      <t xml:space="preserve">やめとけ」を含む形に整える程度に。</t>
    </r>
  </si>
  <si>
    <r>
      <rPr>
        <sz val="10"/>
        <rFont val="WenQuanYi Zen Hei"/>
        <family val="2"/>
      </rPr>
      <t xml:space="preserve">年収・難易度の表の直下に「中途の条件は応募経路と交渉で変わる。エージェント経由なら面接傾向と年収レンジを事前に聞ける」→</t>
    </r>
    <r>
      <rPr>
        <sz val="10"/>
        <rFont val="Meiryo UI"/>
        <family val="0"/>
        <charset val="1"/>
      </rPr>
      <t xml:space="preserve">JAC Recruitment(VC)</t>
    </r>
    <r>
      <rPr>
        <sz val="10"/>
        <rFont val="WenQuanYi Zen Hei"/>
        <family val="2"/>
      </rPr>
      <t xml:space="preserve">。記事末に「入社後のギャップは口コミで確認」→転職会議。</t>
    </r>
  </si>
  <si>
    <t xml:space="preserve">/kanbu-kouho-kyuujin-black/</t>
  </si>
  <si>
    <r>
      <rPr>
        <sz val="10"/>
        <rFont val="WenQuanYi Zen Hei"/>
        <family val="2"/>
      </rPr>
      <t xml:space="preserve">幹部候補 やめ とけ（</t>
    </r>
    <r>
      <rPr>
        <sz val="10"/>
        <rFont val="Meiryo UI"/>
        <family val="0"/>
        <charset val="1"/>
      </rPr>
      <t xml:space="preserve">175</t>
    </r>
    <r>
      <rPr>
        <sz val="10"/>
        <rFont val="WenQuanYi Zen Hei"/>
        <family val="2"/>
      </rPr>
      <t xml:space="preserve">表示・</t>
    </r>
    <r>
      <rPr>
        <sz val="10"/>
        <rFont val="Meiryo UI"/>
        <family val="0"/>
        <charset val="1"/>
      </rPr>
      <t xml:space="preserve">1.8</t>
    </r>
    <r>
      <rPr>
        <sz val="10"/>
        <rFont val="WenQuanYi Zen Hei"/>
        <family val="2"/>
      </rPr>
      <t xml:space="preserve">位・</t>
    </r>
    <r>
      <rPr>
        <sz val="10"/>
        <rFont val="Meiryo UI"/>
        <family val="0"/>
        <charset val="1"/>
      </rPr>
      <t xml:space="preserve">CTR10.9%</t>
    </r>
    <r>
      <rPr>
        <sz val="10"/>
        <rFont val="WenQuanYi Zen Hei"/>
        <family val="2"/>
      </rPr>
      <t xml:space="preserve">） </t>
    </r>
    <r>
      <rPr>
        <sz val="10"/>
        <rFont val="Meiryo UI"/>
        <family val="0"/>
        <charset val="1"/>
      </rPr>
      <t xml:space="preserve">/ </t>
    </r>
    <r>
      <rPr>
        <sz val="10"/>
        <rFont val="WenQuanYi Zen Hei"/>
        <family val="2"/>
      </rPr>
      <t xml:space="preserve">転職 幹部候補募集（</t>
    </r>
    <r>
      <rPr>
        <sz val="10"/>
        <rFont val="Meiryo UI"/>
        <family val="0"/>
        <charset val="1"/>
      </rPr>
      <t xml:space="preserve">164</t>
    </r>
    <r>
      <rPr>
        <sz val="10"/>
        <rFont val="WenQuanYi Zen Hei"/>
        <family val="2"/>
      </rPr>
      <t xml:space="preserve">表示・</t>
    </r>
    <r>
      <rPr>
        <sz val="10"/>
        <rFont val="Meiryo UI"/>
        <family val="0"/>
        <charset val="1"/>
      </rPr>
      <t xml:space="preserve">23.8</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求人 幹部候補募集（</t>
    </r>
    <r>
      <rPr>
        <sz val="10"/>
        <rFont val="Meiryo UI"/>
        <family val="0"/>
        <charset val="1"/>
      </rPr>
      <t xml:space="preserve">158</t>
    </r>
    <r>
      <rPr>
        <sz val="10"/>
        <rFont val="WenQuanYi Zen Hei"/>
        <family val="2"/>
      </rPr>
      <t xml:space="preserve">表示・</t>
    </r>
    <r>
      <rPr>
        <sz val="10"/>
        <rFont val="Meiryo UI"/>
        <family val="0"/>
        <charset val="1"/>
      </rPr>
      <t xml:space="preserve">19.3</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</si>
  <si>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「幹部候補 やめとけ」</t>
    </r>
    <r>
      <rPr>
        <sz val="10"/>
        <rFont val="Meiryo UI"/>
        <family val="0"/>
        <charset val="1"/>
      </rPr>
      <t xml:space="preserve">175</t>
    </r>
    <r>
      <rPr>
        <sz val="10"/>
        <rFont val="WenQuanYi Zen Hei"/>
        <family val="2"/>
      </rPr>
      <t xml:space="preserve">表示</t>
    </r>
    <r>
      <rPr>
        <sz val="10"/>
        <rFont val="Meiryo UI"/>
        <family val="0"/>
        <charset val="1"/>
      </rPr>
      <t xml:space="preserve">1.8</t>
    </r>
    <r>
      <rPr>
        <sz val="10"/>
        <rFont val="WenQuanYi Zen Hei"/>
        <family val="2"/>
      </rPr>
      <t xml:space="preserve">位</t>
    </r>
    <r>
      <rPr>
        <sz val="10"/>
        <rFont val="Meiryo UI"/>
        <family val="0"/>
        <charset val="1"/>
      </rPr>
      <t xml:space="preserve">CTR11%</t>
    </r>
    <r>
      <rPr>
        <sz val="10"/>
        <rFont val="WenQuanYi Zen Hei"/>
        <family val="2"/>
      </rPr>
      <t xml:space="preserve">、「管理職候補 求人 やばい」</t>
    </r>
    <r>
      <rPr>
        <sz val="10"/>
        <rFont val="Meiryo UI"/>
        <family val="0"/>
        <charset val="1"/>
      </rPr>
      <t xml:space="preserve">156</t>
    </r>
    <r>
      <rPr>
        <sz val="10"/>
        <rFont val="WenQuanYi Zen Hei"/>
        <family val="2"/>
      </rPr>
      <t xml:space="preserve">表示</t>
    </r>
    <r>
      <rPr>
        <sz val="10"/>
        <rFont val="Meiryo UI"/>
        <family val="0"/>
        <charset val="1"/>
      </rPr>
      <t xml:space="preserve">2.4</t>
    </r>
    <r>
      <rPr>
        <sz val="10"/>
        <rFont val="WenQuanYi Zen Hei"/>
        <family val="2"/>
      </rPr>
      <t xml:space="preserve">位は好調。一方「転職 幹部候補募集」</t>
    </r>
    <r>
      <rPr>
        <sz val="10"/>
        <rFont val="Meiryo UI"/>
        <family val="0"/>
        <charset val="1"/>
      </rPr>
      <t xml:space="preserve">164</t>
    </r>
    <r>
      <rPr>
        <sz val="10"/>
        <rFont val="WenQuanYi Zen Hei"/>
        <family val="2"/>
      </rPr>
      <t xml:space="preserve">表示</t>
    </r>
    <r>
      <rPr>
        <sz val="10"/>
        <rFont val="Meiryo UI"/>
        <family val="0"/>
        <charset val="1"/>
      </rPr>
      <t xml:space="preserve">23.8</t>
    </r>
    <r>
      <rPr>
        <sz val="10"/>
        <rFont val="WenQuanYi Zen Hei"/>
        <family val="2"/>
      </rPr>
      <t xml:space="preserve">位、「求人 幹部候補募集」</t>
    </r>
    <r>
      <rPr>
        <sz val="10"/>
        <rFont val="Meiryo UI"/>
        <family val="0"/>
        <charset val="1"/>
      </rPr>
      <t xml:space="preserve">158</t>
    </r>
    <r>
      <rPr>
        <sz val="10"/>
        <rFont val="WenQuanYi Zen Hei"/>
        <family val="2"/>
      </rPr>
      <t xml:space="preserve">表示</t>
    </r>
    <r>
      <rPr>
        <sz val="10"/>
        <rFont val="Meiryo UI"/>
        <family val="0"/>
        <charset val="1"/>
      </rPr>
      <t xml:space="preserve">19.3</t>
    </r>
    <r>
      <rPr>
        <sz val="10"/>
        <rFont val="WenQuanYi Zen Hei"/>
        <family val="2"/>
      </rPr>
      <t xml:space="preserve">位。</t>
    </r>
  </si>
  <si>
    <r>
      <rPr>
        <sz val="10"/>
        <rFont val="WenQuanYi Zen Hei"/>
        <family val="2"/>
      </rPr>
      <t xml:space="preserve">【求人票の危険ワード】競合相手：</t>
    </r>
    <r>
      <rPr>
        <sz val="10"/>
        <rFont val="Meiryo UI"/>
        <family val="0"/>
        <charset val="1"/>
      </rPr>
      <t xml:space="preserve">/athome-kyujin-black-tensyoku/</t>
    </r>
    <r>
      <rPr>
        <sz val="10"/>
        <rFont val="WenQuanYi Zen Hei"/>
        <family val="2"/>
      </rPr>
      <t xml:space="preserve">、</t>
    </r>
    <r>
      <rPr>
        <sz val="10"/>
        <rFont val="Meiryo UI"/>
        <family val="0"/>
        <charset val="1"/>
      </rPr>
      <t xml:space="preserve">/annual-holidays-few-job-posting-warning/</t>
    </r>
    <r>
      <rPr>
        <sz val="10"/>
        <rFont val="WenQuanYi Zen Hei"/>
        <family val="2"/>
      </rPr>
      <t xml:space="preserve">、</t>
    </r>
    <r>
      <rPr>
        <sz val="10"/>
        <rFont val="Meiryo UI"/>
        <family val="0"/>
        <charset val="1"/>
      </rPr>
      <t xml:space="preserve">/tairyo-boshu-kyujin-black-kigyo/</t>
    </r>
    <r>
      <rPr>
        <sz val="10"/>
        <rFont val="WenQuanYi Zen Hei"/>
        <family val="2"/>
      </rPr>
      <t xml:space="preserve">、</t>
    </r>
    <r>
      <rPr>
        <sz val="10"/>
        <rFont val="Meiryo UI"/>
        <family val="0"/>
        <charset val="1"/>
      </rPr>
      <t xml:space="preserve">/job-posting-high-salary-black-company-warning/</t>
    </r>
    <r>
      <rPr>
        <sz val="10"/>
        <rFont val="WenQuanYi Zen Hei"/>
        <family val="2"/>
      </rPr>
      <t xml:space="preserve">、</t>
    </r>
    <r>
      <rPr>
        <sz val="10"/>
        <rFont val="Meiryo UI"/>
        <family val="0"/>
        <charset val="1"/>
      </rPr>
      <t xml:space="preserve">/kyuujinhyou-aimai-hyougen-black/</t>
    </r>
  </si>
  <si>
    <r>
      <rPr>
        <sz val="10"/>
        <rFont val="WenQuanYi Zen Hei"/>
        <family val="2"/>
      </rPr>
      <t xml:space="preserve">「幹部候補募集の求人に応募する時の確認ポイント」の見出しを追加し、求職者側のクエリを取る。「店長候補」（</t>
    </r>
    <r>
      <rPr>
        <sz val="10"/>
        <rFont val="Meiryo UI"/>
        <family val="0"/>
        <charset val="1"/>
      </rPr>
      <t xml:space="preserve">28</t>
    </r>
    <r>
      <rPr>
        <sz val="10"/>
        <rFont val="WenQuanYi Zen Hei"/>
        <family val="2"/>
      </rPr>
      <t xml:space="preserve">表示）にも触れる。</t>
    </r>
  </si>
  <si>
    <t xml:space="preserve">現行の「やめとけ」軸は維持しつつ「幹部候補募集の見分け方」を追加。</t>
  </si>
  <si>
    <r>
      <rPr>
        <sz val="10"/>
        <rFont val="WenQuanYi Zen Hei"/>
        <family val="2"/>
      </rPr>
      <t xml:space="preserve">「本物の幹部候補求人を探すなら」→リクルートエージェント／</t>
    </r>
    <r>
      <rPr>
        <sz val="10"/>
        <rFont val="Meiryo UI"/>
        <family val="0"/>
        <charset val="1"/>
      </rPr>
      <t xml:space="preserve">JAC</t>
    </r>
  </si>
  <si>
    <t xml:space="preserve">/rikunabi-next-recruit-agent-chigai/</t>
  </si>
  <si>
    <r>
      <rPr>
        <sz val="10"/>
        <rFont val="WenQuanYi Zen Hei"/>
        <family val="2"/>
      </rPr>
      <t xml:space="preserve">平均</t>
    </r>
    <r>
      <rPr>
        <sz val="10"/>
        <rFont val="Meiryo UI"/>
        <family val="0"/>
        <charset val="1"/>
      </rPr>
      <t xml:space="preserve">12.6</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ページ目の手前（あと一歩）。直近</t>
    </r>
    <r>
      <rPr>
        <sz val="10"/>
        <rFont val="Meiryo UI"/>
        <family val="0"/>
        <charset val="1"/>
      </rPr>
      <t xml:space="preserve">28</t>
    </r>
    <r>
      <rPr>
        <sz val="10"/>
        <rFont val="WenQuanYi Zen Hei"/>
        <family val="2"/>
      </rPr>
      <t xml:space="preserve">日で新規出現（クリック</t>
    </r>
    <r>
      <rPr>
        <sz val="10"/>
        <rFont val="Meiryo UI"/>
        <family val="0"/>
        <charset val="1"/>
      </rPr>
      <t xml:space="preserve">/</t>
    </r>
    <r>
      <rPr>
        <sz val="10"/>
        <rFont val="WenQuanYi Zen Hei"/>
        <family val="2"/>
      </rPr>
      <t xml:space="preserve">日 </t>
    </r>
    <r>
      <rPr>
        <sz val="10"/>
        <rFont val="Meiryo UI"/>
        <family val="0"/>
        <charset val="1"/>
      </rPr>
      <t xml:space="preserve">0.0→0.0</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0→8</t>
    </r>
    <r>
      <rPr>
        <sz val="10"/>
        <rFont val="WenQuanYi Zen Hei"/>
        <family val="2"/>
      </rPr>
      <t xml:space="preserve">）。</t>
    </r>
  </si>
  <si>
    <r>
      <rPr>
        <sz val="10"/>
        <rFont val="Meiryo UI"/>
        <family val="0"/>
        <charset val="1"/>
      </rPr>
      <t xml:space="preserve">1</t>
    </r>
    <r>
      <rPr>
        <sz val="10"/>
        <rFont val="WenQuanYi Zen Hei"/>
        <family val="2"/>
      </rPr>
      <t xml:space="preserve">ページ目の手前。記事の主要キーワード（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</si>
  <si>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リクナビ</t>
    </r>
    <r>
      <rPr>
        <sz val="10"/>
        <rFont val="Meiryo UI"/>
        <family val="0"/>
        <charset val="1"/>
      </rPr>
      <t xml:space="preserve">NEXT(VC)/</t>
    </r>
    <r>
      <rPr>
        <sz val="10"/>
        <rFont val="WenQuanYi Zen Hei"/>
        <family val="2"/>
      </rPr>
      <t xml:space="preserve">リクルートエージェント</t>
    </r>
    <r>
      <rPr>
        <sz val="10"/>
        <rFont val="Meiryo UI"/>
        <family val="0"/>
        <charset val="1"/>
      </rPr>
      <t xml:space="preserve">(VC)</t>
    </r>
  </si>
  <si>
    <t xml:space="preserve">/profile/</t>
  </si>
  <si>
    <t xml:space="preserve">サイト基本ページ</t>
  </si>
  <si>
    <t xml:space="preserve">-</t>
  </si>
  <si>
    <t xml:space="preserve">表示ほぼなし</t>
  </si>
  <si>
    <r>
      <rPr>
        <sz val="10"/>
        <rFont val="WenQuanYi Zen Hei"/>
        <family val="2"/>
      </rPr>
      <t xml:space="preserve">運営者プロフィール。サイト全体の信頼性（</t>
    </r>
    <r>
      <rPr>
        <sz val="10"/>
        <rFont val="Meiryo UI"/>
        <family val="0"/>
        <charset val="1"/>
      </rPr>
      <t xml:space="preserve">E-E-A-T</t>
    </r>
    <r>
      <rPr>
        <sz val="10"/>
        <rFont val="WenQuanYi Zen Hei"/>
        <family val="2"/>
      </rPr>
      <t xml:space="preserve">）の土台。</t>
    </r>
  </si>
  <si>
    <t xml:space="preserve">人事経験年数・採用担当人数・業界・面接実績などの具体的な実績を明記し、全記事の著者欄からリンク（実名・顔写真は任意）。</t>
  </si>
  <si>
    <t xml:space="preserve">アフィリエイトは置かない。</t>
  </si>
  <si>
    <t xml:space="preserve">/aws-cloud-practitioner-difficulty/</t>
  </si>
  <si>
    <r>
      <rPr>
        <sz val="10"/>
        <rFont val="Meiryo UI"/>
        <family val="0"/>
        <charset val="1"/>
      </rPr>
      <t xml:space="preserve">clf </t>
    </r>
    <r>
      <rPr>
        <sz val="10"/>
        <rFont val="WenQuanYi Zen Hei"/>
        <family val="2"/>
      </rPr>
      <t xml:space="preserve">難易度（</t>
    </r>
    <r>
      <rPr>
        <sz val="10"/>
        <rFont val="Meiryo UI"/>
        <family val="0"/>
        <charset val="1"/>
      </rPr>
      <t xml:space="preserve">33</t>
    </r>
    <r>
      <rPr>
        <sz val="10"/>
        <rFont val="WenQuanYi Zen Hei"/>
        <family val="2"/>
      </rPr>
      <t xml:space="preserve">表示・</t>
    </r>
    <r>
      <rPr>
        <sz val="10"/>
        <rFont val="Meiryo UI"/>
        <family val="0"/>
        <charset val="1"/>
      </rPr>
      <t xml:space="preserve">10.5</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aws clf </t>
    </r>
    <r>
      <rPr>
        <sz val="10"/>
        <rFont val="WenQuanYi Zen Hei"/>
        <family val="2"/>
      </rPr>
      <t xml:space="preserve">難易度（</t>
    </r>
    <r>
      <rPr>
        <sz val="10"/>
        <rFont val="Meiryo UI"/>
        <family val="0"/>
        <charset val="1"/>
      </rPr>
      <t xml:space="preserve">32</t>
    </r>
    <r>
      <rPr>
        <sz val="10"/>
        <rFont val="WenQuanYi Zen Hei"/>
        <family val="2"/>
      </rPr>
      <t xml:space="preserve">表示・</t>
    </r>
    <r>
      <rPr>
        <sz val="10"/>
        <rFont val="Meiryo UI"/>
        <family val="0"/>
        <charset val="1"/>
      </rPr>
      <t xml:space="preserve">11.8</t>
    </r>
    <r>
      <rPr>
        <sz val="10"/>
        <rFont val="WenQuanYi Zen Hei"/>
        <family val="2"/>
      </rPr>
      <t xml:space="preserve">位・</t>
    </r>
    <r>
      <rPr>
        <sz val="10"/>
        <rFont val="Meiryo UI"/>
        <family val="0"/>
        <charset val="1"/>
      </rPr>
      <t xml:space="preserve">CTR15.6%</t>
    </r>
    <r>
      <rPr>
        <sz val="10"/>
        <rFont val="WenQuanYi Zen Hei"/>
        <family val="2"/>
      </rPr>
      <t xml:space="preserve">） </t>
    </r>
    <r>
      <rPr>
        <sz val="10"/>
        <rFont val="Meiryo UI"/>
        <family val="0"/>
        <charset val="1"/>
      </rPr>
      <t xml:space="preserve">/ clf c01 clf c02 </t>
    </r>
    <r>
      <rPr>
        <sz val="10"/>
        <rFont val="WenQuanYi Zen Hei"/>
        <family val="2"/>
      </rPr>
      <t xml:space="preserve">違い（</t>
    </r>
    <r>
      <rPr>
        <sz val="10"/>
        <rFont val="Meiryo UI"/>
        <family val="0"/>
        <charset val="1"/>
      </rPr>
      <t xml:space="preserve">31</t>
    </r>
    <r>
      <rPr>
        <sz val="10"/>
        <rFont val="WenQuanYi Zen Hei"/>
        <family val="2"/>
      </rPr>
      <t xml:space="preserve">表示・</t>
    </r>
    <r>
      <rPr>
        <sz val="10"/>
        <rFont val="Meiryo UI"/>
        <family val="0"/>
        <charset val="1"/>
      </rPr>
      <t xml:space="preserve">9.8</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</si>
  <si>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10.1</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t>
    </r>
    <r>
      <rPr>
        <sz val="10"/>
        <rFont val="Meiryo UI"/>
        <family val="0"/>
        <charset val="1"/>
      </rPr>
      <t xml:space="preserve">clf </t>
    </r>
    <r>
      <rPr>
        <sz val="10"/>
        <rFont val="WenQuanYi Zen Hei"/>
        <family val="2"/>
      </rPr>
      <t xml:space="preserve">難易度（</t>
    </r>
    <r>
      <rPr>
        <sz val="10"/>
        <rFont val="Meiryo UI"/>
        <family val="0"/>
        <charset val="1"/>
      </rPr>
      <t xml:space="preserve">33</t>
    </r>
    <r>
      <rPr>
        <sz val="10"/>
        <rFont val="WenQuanYi Zen Hei"/>
        <family val="2"/>
      </rPr>
      <t xml:space="preserve">表示・</t>
    </r>
    <r>
      <rPr>
        <sz val="10"/>
        <rFont val="Meiryo UI"/>
        <family val="0"/>
        <charset val="1"/>
      </rPr>
      <t xml:space="preserve">10.5</t>
    </r>
    <r>
      <rPr>
        <sz val="10"/>
        <rFont val="WenQuanYi Zen Hei"/>
        <family val="2"/>
      </rPr>
      <t xml:space="preserve">位）。</t>
    </r>
  </si>
  <si>
    <r>
      <rPr>
        <sz val="10"/>
        <rFont val="WenQuanYi Zen Hei"/>
        <family val="2"/>
      </rPr>
      <t xml:space="preserve">【</t>
    </r>
    <r>
      <rPr>
        <sz val="10"/>
        <rFont val="Meiryo UI"/>
        <family val="0"/>
        <charset val="1"/>
      </rPr>
      <t xml:space="preserve">AWS</t>
    </r>
    <r>
      <rPr>
        <sz val="10"/>
        <rFont val="WenQuanYi Zen Hei"/>
        <family val="2"/>
      </rPr>
      <t xml:space="preserve">資格】競合相手：</t>
    </r>
    <r>
      <rPr>
        <sz val="10"/>
        <rFont val="Meiryo UI"/>
        <family val="0"/>
        <charset val="1"/>
      </rPr>
      <t xml:space="preserve">/aws-sap-difficulty-salary/</t>
    </r>
    <r>
      <rPr>
        <sz val="10"/>
        <rFont val="WenQuanYi Zen Hei"/>
        <family val="2"/>
      </rPr>
      <t xml:space="preserve">、</t>
    </r>
    <r>
      <rPr>
        <sz val="10"/>
        <rFont val="Meiryo UI"/>
        <family val="0"/>
        <charset val="1"/>
      </rPr>
      <t xml:space="preserve">/aws-saa-difficulty/</t>
    </r>
  </si>
  <si>
    <r>
      <rPr>
        <sz val="10"/>
        <rFont val="Meiryo UI"/>
        <family val="0"/>
        <charset val="1"/>
      </rPr>
      <t xml:space="preserve">1</t>
    </r>
    <r>
      <rPr>
        <sz val="10"/>
        <rFont val="WenQuanYi Zen Hei"/>
        <family val="2"/>
      </rPr>
      <t xml:space="preserve">ページ目の手前。「</t>
    </r>
    <r>
      <rPr>
        <sz val="10"/>
        <rFont val="Meiryo UI"/>
        <family val="0"/>
        <charset val="1"/>
      </rPr>
      <t xml:space="preserve">clf </t>
    </r>
    <r>
      <rPr>
        <sz val="10"/>
        <rFont val="WenQuanYi Zen Hei"/>
        <family val="2"/>
      </rPr>
      <t xml:space="preserve">難易度」を含む見出しを追加して網羅性を補強し、同テーマの上位記事から内部リンクを追加して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</si>
  <si>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順位の改善が先。タイトルは「</t>
    </r>
    <r>
      <rPr>
        <sz val="10"/>
        <rFont val="Meiryo UI"/>
        <family val="0"/>
        <charset val="1"/>
      </rPr>
      <t xml:space="preserve">clf </t>
    </r>
    <r>
      <rPr>
        <sz val="10"/>
        <rFont val="WenQuanYi Zen Hei"/>
        <family val="2"/>
      </rPr>
      <t xml:space="preserve">難易度」を含む形に整える程度に。</t>
    </r>
  </si>
  <si>
    <t xml:space="preserve">/independent-sier-delisting/</t>
  </si>
  <si>
    <r>
      <rPr>
        <sz val="10"/>
        <rFont val="WenQuanYi Zen Hei"/>
        <family val="2"/>
      </rPr>
      <t xml:space="preserve">ジャステック 上場廃止 なぜ（</t>
    </r>
    <r>
      <rPr>
        <sz val="10"/>
        <rFont val="Meiryo UI"/>
        <family val="0"/>
        <charset val="1"/>
      </rPr>
      <t xml:space="preserve">10</t>
    </r>
    <r>
      <rPr>
        <sz val="10"/>
        <rFont val="WenQuanYi Zen Hei"/>
        <family val="2"/>
      </rPr>
      <t xml:space="preserve">表示・</t>
    </r>
    <r>
      <rPr>
        <sz val="10"/>
        <rFont val="Meiryo UI"/>
        <family val="0"/>
        <charset val="1"/>
      </rPr>
      <t xml:space="preserve">6.6</t>
    </r>
    <r>
      <rPr>
        <sz val="10"/>
        <rFont val="WenQuanYi Zen Hei"/>
        <family val="2"/>
      </rPr>
      <t xml:space="preserve">位・</t>
    </r>
    <r>
      <rPr>
        <sz val="10"/>
        <rFont val="Meiryo UI"/>
        <family val="0"/>
        <charset val="1"/>
      </rPr>
      <t xml:space="preserve">CTR10.0%</t>
    </r>
    <r>
      <rPr>
        <sz val="10"/>
        <rFont val="WenQuanYi Zen Hei"/>
        <family val="2"/>
      </rPr>
      <t xml:space="preserve">）</t>
    </r>
  </si>
  <si>
    <r>
      <rPr>
        <sz val="10"/>
        <rFont val="Meiryo UI"/>
        <family val="0"/>
        <charset val="1"/>
      </rPr>
      <t xml:space="preserve">6.7</t>
    </r>
    <r>
      <rPr>
        <sz val="10"/>
        <rFont val="WenQuanYi Zen Hei"/>
        <family val="2"/>
      </rPr>
      <t xml:space="preserve">位・</t>
    </r>
    <r>
      <rPr>
        <sz val="10"/>
        <rFont val="Meiryo UI"/>
        <family val="0"/>
        <charset val="1"/>
      </rPr>
      <t xml:space="preserve">CTR9.4%</t>
    </r>
    <r>
      <rPr>
        <sz val="10"/>
        <rFont val="WenQuanYi Zen Hei"/>
        <family val="2"/>
      </rPr>
      <t xml:space="preserve">で水準並み以上。取りこぼしクエリ：ジャステック 上場廃止 なぜ（</t>
    </r>
    <r>
      <rPr>
        <sz val="10"/>
        <rFont val="Meiryo UI"/>
        <family val="0"/>
        <charset val="1"/>
      </rPr>
      <t xml:space="preserve">10</t>
    </r>
    <r>
      <rPr>
        <sz val="10"/>
        <rFont val="WenQuanYi Zen Hei"/>
        <family val="2"/>
      </rPr>
      <t xml:space="preserve">表示・</t>
    </r>
    <r>
      <rPr>
        <sz val="10"/>
        <rFont val="Meiryo UI"/>
        <family val="0"/>
        <charset val="1"/>
      </rPr>
      <t xml:space="preserve">6.6</t>
    </r>
    <r>
      <rPr>
        <sz val="10"/>
        <rFont val="WenQuanYi Zen Hei"/>
        <family val="2"/>
      </rPr>
      <t xml:space="preserve">位）。</t>
    </r>
  </si>
  <si>
    <r>
      <rPr>
        <sz val="10"/>
        <rFont val="WenQuanYi Zen Hei"/>
        <family val="2"/>
      </rPr>
      <t xml:space="preserve">【独立系</t>
    </r>
    <r>
      <rPr>
        <sz val="10"/>
        <rFont val="Meiryo UI"/>
        <family val="0"/>
        <charset val="1"/>
      </rPr>
      <t xml:space="preserve">SIer</t>
    </r>
    <r>
      <rPr>
        <sz val="10"/>
        <rFont val="WenQuanYi Zen Hei"/>
        <family val="2"/>
      </rPr>
      <t xml:space="preserve">】競合相手：</t>
    </r>
    <r>
      <rPr>
        <sz val="10"/>
        <rFont val="Meiryo UI"/>
        <family val="0"/>
        <charset val="1"/>
      </rPr>
      <t xml:space="preserve">/independent-sier-tier/</t>
    </r>
    <r>
      <rPr>
        <sz val="10"/>
        <rFont val="WenQuanYi Zen Hei"/>
        <family val="2"/>
      </rPr>
      <t xml:space="preserve">、</t>
    </r>
    <r>
      <rPr>
        <sz val="10"/>
        <rFont val="Meiryo UI"/>
        <family val="0"/>
        <charset val="1"/>
      </rPr>
      <t xml:space="preserve">/independent-sier/</t>
    </r>
  </si>
  <si>
    <r>
      <rPr>
        <sz val="10"/>
        <rFont val="WenQuanYi Zen Hei"/>
        <family val="2"/>
      </rPr>
      <t xml:space="preserve">【差別化して残す】担当：独立系</t>
    </r>
    <r>
      <rPr>
        <sz val="10"/>
        <rFont val="Meiryo UI"/>
        <family val="0"/>
        <charset val="1"/>
      </rPr>
      <t xml:space="preserve">SIer</t>
    </r>
    <r>
      <rPr>
        <sz val="10"/>
        <rFont val="WenQuanYi Zen Hei"/>
        <family val="2"/>
      </rPr>
      <t xml:space="preserve">の上場廃止だけを担当。親記事（</t>
    </r>
    <r>
      <rPr>
        <sz val="10"/>
        <rFont val="Meiryo UI"/>
        <family val="0"/>
        <charset val="1"/>
      </rPr>
      <t xml:space="preserve">/independent-sier-tier/</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ページ目。本文は大きく変えず、「ジャステック 上場廃止 なぜ」向けの見出し追加と導線の設置に留める。</t>
    </r>
  </si>
  <si>
    <t xml:space="preserve">大きな変更は不要。タイトルに「ジャステック 上場廃止 なぜ」が入っていなければ追加。</t>
  </si>
  <si>
    <t xml:space="preserve">/nensyu-kousyou-yarikata/</t>
  </si>
  <si>
    <t xml:space="preserve">年収交渉</t>
  </si>
  <si>
    <r>
      <rPr>
        <sz val="10"/>
        <rFont val="WenQuanYi Zen Hei"/>
        <family val="2"/>
      </rPr>
      <t xml:space="preserve">オファー面談 年収 低い（</t>
    </r>
    <r>
      <rPr>
        <sz val="10"/>
        <rFont val="Meiryo UI"/>
        <family val="0"/>
        <charset val="1"/>
      </rPr>
      <t xml:space="preserve">153</t>
    </r>
    <r>
      <rPr>
        <sz val="10"/>
        <rFont val="WenQuanYi Zen Hei"/>
        <family val="2"/>
      </rPr>
      <t xml:space="preserve">表示・</t>
    </r>
    <r>
      <rPr>
        <sz val="10"/>
        <rFont val="Meiryo UI"/>
        <family val="0"/>
        <charset val="1"/>
      </rPr>
      <t xml:space="preserve">19.4</t>
    </r>
    <r>
      <rPr>
        <sz val="10"/>
        <rFont val="WenQuanYi Zen Hei"/>
        <family val="2"/>
      </rPr>
      <t xml:space="preserve">位・</t>
    </r>
    <r>
      <rPr>
        <sz val="10"/>
        <rFont val="Meiryo UI"/>
        <family val="0"/>
        <charset val="1"/>
      </rPr>
      <t xml:space="preserve">CTR0.7%</t>
    </r>
    <r>
      <rPr>
        <sz val="10"/>
        <rFont val="WenQuanYi Zen Hei"/>
        <family val="2"/>
      </rPr>
      <t xml:space="preserve">） </t>
    </r>
    <r>
      <rPr>
        <sz val="10"/>
        <rFont val="Meiryo UI"/>
        <family val="0"/>
        <charset val="1"/>
      </rPr>
      <t xml:space="preserve">/ </t>
    </r>
    <r>
      <rPr>
        <sz val="10"/>
        <rFont val="WenQuanYi Zen Hei"/>
        <family val="2"/>
      </rPr>
      <t xml:space="preserve">オファー面談 年収交渉（</t>
    </r>
    <r>
      <rPr>
        <sz val="10"/>
        <rFont val="Meiryo UI"/>
        <family val="0"/>
        <charset val="1"/>
      </rPr>
      <t xml:space="preserve">121</t>
    </r>
    <r>
      <rPr>
        <sz val="10"/>
        <rFont val="WenQuanYi Zen Hei"/>
        <family val="2"/>
      </rPr>
      <t xml:space="preserve">表示・</t>
    </r>
    <r>
      <rPr>
        <sz val="10"/>
        <rFont val="Meiryo UI"/>
        <family val="0"/>
        <charset val="1"/>
      </rPr>
      <t xml:space="preserve">38.7</t>
    </r>
    <r>
      <rPr>
        <sz val="10"/>
        <rFont val="WenQuanYi Zen Hei"/>
        <family val="2"/>
      </rPr>
      <t xml:space="preserve">位・</t>
    </r>
    <r>
      <rPr>
        <sz val="10"/>
        <rFont val="Meiryo UI"/>
        <family val="0"/>
        <charset val="1"/>
      </rPr>
      <t xml:space="preserve">CTR0.8%</t>
    </r>
    <r>
      <rPr>
        <sz val="10"/>
        <rFont val="WenQuanYi Zen Hei"/>
        <family val="2"/>
      </rPr>
      <t xml:space="preserve">）</t>
    </r>
  </si>
  <si>
    <r>
      <rPr>
        <sz val="10"/>
        <rFont val="Meiryo UI"/>
        <family val="0"/>
        <charset val="1"/>
      </rPr>
      <t xml:space="preserve">22.8</t>
    </r>
    <r>
      <rPr>
        <sz val="10"/>
        <rFont val="WenQuanYi Zen Hei"/>
        <family val="2"/>
      </rPr>
      <t xml:space="preserve">位。「オファー面談 年収 低い」</t>
    </r>
    <r>
      <rPr>
        <sz val="10"/>
        <rFont val="Meiryo UI"/>
        <family val="0"/>
        <charset val="1"/>
      </rPr>
      <t xml:space="preserve">153</t>
    </r>
    <r>
      <rPr>
        <sz val="10"/>
        <rFont val="WenQuanYi Zen Hei"/>
        <family val="2"/>
      </rPr>
      <t xml:space="preserve">表示</t>
    </r>
    <r>
      <rPr>
        <sz val="10"/>
        <rFont val="Meiryo UI"/>
        <family val="0"/>
        <charset val="1"/>
      </rPr>
      <t xml:space="preserve">19.4</t>
    </r>
    <r>
      <rPr>
        <sz val="10"/>
        <rFont val="WenQuanYi Zen Hei"/>
        <family val="2"/>
      </rPr>
      <t xml:space="preserve">位、「オファー面談 年収交渉」</t>
    </r>
    <r>
      <rPr>
        <sz val="10"/>
        <rFont val="Meiryo UI"/>
        <family val="0"/>
        <charset val="1"/>
      </rPr>
      <t xml:space="preserve">121</t>
    </r>
    <r>
      <rPr>
        <sz val="10"/>
        <rFont val="WenQuanYi Zen Hei"/>
        <family val="2"/>
      </rPr>
      <t xml:space="preserve">表示</t>
    </r>
    <r>
      <rPr>
        <sz val="10"/>
        <rFont val="Meiryo UI"/>
        <family val="0"/>
        <charset val="1"/>
      </rPr>
      <t xml:space="preserve">38.7</t>
    </r>
    <r>
      <rPr>
        <sz val="10"/>
        <rFont val="WenQuanYi Zen Hei"/>
        <family val="2"/>
      </rPr>
      <t xml:space="preserve">位。</t>
    </r>
  </si>
  <si>
    <t xml:space="preserve">「オファー面談で年収が低かった時」の見出しを冒頭へ。</t>
  </si>
  <si>
    <t xml:space="preserve">【案】オファー面談で年収が低い時の交渉術｜人事が教える上げ方と言ってはいけない一言</t>
  </si>
  <si>
    <r>
      <rPr>
        <sz val="10"/>
        <rFont val="WenQuanYi Zen Hei"/>
        <family val="2"/>
      </rPr>
      <t xml:space="preserve">「自分で交渉しにくい人へ」：エージェントが年収交渉を代行→</t>
    </r>
    <r>
      <rPr>
        <sz val="10"/>
        <rFont val="Meiryo UI"/>
        <family val="0"/>
        <charset val="1"/>
      </rPr>
      <t xml:space="preserve">JAC</t>
    </r>
    <r>
      <rPr>
        <sz val="10"/>
        <rFont val="WenQuanYi Zen Hei"/>
        <family val="2"/>
      </rPr>
      <t xml:space="preserve">／リクルートエージェント</t>
    </r>
  </si>
  <si>
    <t xml:space="preserve">/levtech-career-reputation/</t>
  </si>
  <si>
    <t xml:space="preserve">レバテック</t>
  </si>
  <si>
    <r>
      <rPr>
        <sz val="10"/>
        <rFont val="WenQuanYi Zen Hei"/>
        <family val="2"/>
      </rPr>
      <t xml:space="preserve">レバテックキャリア 評判（</t>
    </r>
    <r>
      <rPr>
        <sz val="10"/>
        <rFont val="Meiryo UI"/>
        <family val="0"/>
        <charset val="1"/>
      </rPr>
      <t xml:space="preserve">228</t>
    </r>
    <r>
      <rPr>
        <sz val="10"/>
        <rFont val="WenQuanYi Zen Hei"/>
        <family val="2"/>
      </rPr>
      <t xml:space="preserve">表示・</t>
    </r>
    <r>
      <rPr>
        <sz val="10"/>
        <rFont val="Meiryo UI"/>
        <family val="0"/>
        <charset val="1"/>
      </rPr>
      <t xml:space="preserve">48.1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レバテックキャリア 断られた（</t>
    </r>
    <r>
      <rPr>
        <sz val="10"/>
        <rFont val="Meiryo UI"/>
        <family val="0"/>
        <charset val="1"/>
      </rPr>
      <t xml:space="preserve">53</t>
    </r>
    <r>
      <rPr>
        <sz val="10"/>
        <rFont val="WenQuanYi Zen Hei"/>
        <family val="2"/>
      </rPr>
      <t xml:space="preserve">表示・</t>
    </r>
    <r>
      <rPr>
        <sz val="10"/>
        <rFont val="Meiryo UI"/>
        <family val="0"/>
        <charset val="1"/>
      </rPr>
      <t xml:space="preserve">26.7</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レバテック 求人 見れ ない（</t>
    </r>
    <r>
      <rPr>
        <sz val="10"/>
        <rFont val="Meiryo UI"/>
        <family val="0"/>
        <charset val="1"/>
      </rPr>
      <t xml:space="preserve">35</t>
    </r>
    <r>
      <rPr>
        <sz val="10"/>
        <rFont val="WenQuanYi Zen Hei"/>
        <family val="2"/>
      </rPr>
      <t xml:space="preserve">表示・</t>
    </r>
    <r>
      <rPr>
        <sz val="10"/>
        <rFont val="Meiryo UI"/>
        <family val="0"/>
        <charset val="1"/>
      </rPr>
      <t xml:space="preserve">9.3</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</si>
  <si>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24.3</t>
    </r>
    <r>
      <rPr>
        <sz val="10"/>
        <rFont val="WenQuanYi Zen Hei"/>
        <family val="2"/>
      </rPr>
      <t xml:space="preserve">位。「レバテックキャリア 評判」</t>
    </r>
    <r>
      <rPr>
        <sz val="10"/>
        <rFont val="Meiryo UI"/>
        <family val="0"/>
        <charset val="1"/>
      </rPr>
      <t xml:space="preserve">228</t>
    </r>
    <r>
      <rPr>
        <sz val="10"/>
        <rFont val="WenQuanYi Zen Hei"/>
        <family val="2"/>
      </rPr>
      <t xml:space="preserve">表示</t>
    </r>
    <r>
      <rPr>
        <sz val="10"/>
        <rFont val="Meiryo UI"/>
        <family val="0"/>
        <charset val="1"/>
      </rPr>
      <t xml:space="preserve">48.1</t>
    </r>
    <r>
      <rPr>
        <sz val="10"/>
        <rFont val="WenQuanYi Zen Hei"/>
        <family val="2"/>
      </rPr>
      <t xml:space="preserve">位、「断られた」</t>
    </r>
    <r>
      <rPr>
        <sz val="10"/>
        <rFont val="Meiryo UI"/>
        <family val="0"/>
        <charset val="1"/>
      </rPr>
      <t xml:space="preserve">53</t>
    </r>
    <r>
      <rPr>
        <sz val="10"/>
        <rFont val="WenQuanYi Zen Hei"/>
        <family val="2"/>
      </rPr>
      <t xml:space="preserve">表示</t>
    </r>
    <r>
      <rPr>
        <sz val="10"/>
        <rFont val="Meiryo UI"/>
        <family val="0"/>
        <charset val="1"/>
      </rPr>
      <t xml:space="preserve">26.7</t>
    </r>
    <r>
      <rPr>
        <sz val="10"/>
        <rFont val="WenQuanYi Zen Hei"/>
        <family val="2"/>
      </rPr>
      <t xml:space="preserve">位。</t>
    </r>
    <r>
      <rPr>
        <sz val="10"/>
        <rFont val="Meiryo UI"/>
        <family val="0"/>
        <charset val="1"/>
      </rPr>
      <t xml:space="preserve">A8</t>
    </r>
    <r>
      <rPr>
        <sz val="10"/>
        <rFont val="WenQuanYi Zen Hei"/>
        <family val="2"/>
      </rPr>
      <t xml:space="preserve">ではレバテックダイレクトのみ提携。</t>
    </r>
  </si>
  <si>
    <r>
      <rPr>
        <sz val="10"/>
        <rFont val="WenQuanYi Zen Hei"/>
        <family val="2"/>
      </rPr>
      <t xml:space="preserve">「断られた理由」の見出しを強化。レバテックキャリアの提携可否を</t>
    </r>
    <r>
      <rPr>
        <sz val="10"/>
        <rFont val="Meiryo UI"/>
        <family val="0"/>
        <charset val="1"/>
      </rPr>
      <t xml:space="preserve">ASP</t>
    </r>
    <r>
      <rPr>
        <sz val="10"/>
        <rFont val="WenQuanYi Zen Hei"/>
        <family val="2"/>
      </rPr>
      <t xml:space="preserve">で確認し、提携できなければダイレクト（スカウト型）との違いを軸に再構成。</t>
    </r>
  </si>
  <si>
    <t xml:space="preserve">【案】レバテックキャリアの評判は？断られた理由と使うべき人を企業側の人事が解説</t>
  </si>
  <si>
    <t xml:space="preserve">提携できればキャリアへ、できなければ「スカウト型ならレバテックダイレクト」へ誘導</t>
  </si>
  <si>
    <r>
      <rPr>
        <sz val="10"/>
        <rFont val="WenQuanYi Zen Hei"/>
        <family val="2"/>
      </rPr>
      <t xml:space="preserve">レバテックダイレクト</t>
    </r>
    <r>
      <rPr>
        <sz val="10"/>
        <rFont val="Meiryo UI"/>
        <family val="0"/>
        <charset val="1"/>
      </rPr>
      <t xml:space="preserve">(A8)※</t>
    </r>
    <r>
      <rPr>
        <sz val="10"/>
        <rFont val="WenQuanYi Zen Hei"/>
        <family val="2"/>
      </rPr>
      <t xml:space="preserve">キャリアは要提携確認</t>
    </r>
  </si>
  <si>
    <t xml:space="preserve">/job-offer-acceptance-decision-tips/</t>
  </si>
  <si>
    <t xml:space="preserve">内定判断</t>
  </si>
  <si>
    <r>
      <rPr>
        <sz val="10"/>
        <rFont val="WenQuanYi Zen Hei"/>
        <family val="2"/>
      </rPr>
      <t xml:space="preserve">転職 内定もらったけど迷う（</t>
    </r>
    <r>
      <rPr>
        <sz val="10"/>
        <rFont val="Meiryo UI"/>
        <family val="0"/>
        <charset val="1"/>
      </rPr>
      <t xml:space="preserve">2</t>
    </r>
    <r>
      <rPr>
        <sz val="10"/>
        <rFont val="WenQuanYi Zen Hei"/>
        <family val="2"/>
      </rPr>
      <t xml:space="preserve">表示・</t>
    </r>
    <r>
      <rPr>
        <sz val="10"/>
        <rFont val="Meiryo UI"/>
        <family val="0"/>
        <charset val="1"/>
      </rPr>
      <t xml:space="preserve">56.0</t>
    </r>
    <r>
      <rPr>
        <sz val="10"/>
        <rFont val="WenQuanYi Zen Hei"/>
        <family val="2"/>
      </rPr>
      <t xml:space="preserve">位・</t>
    </r>
    <r>
      <rPr>
        <sz val="10"/>
        <rFont val="Meiryo UI"/>
        <family val="0"/>
        <charset val="1"/>
      </rPr>
      <t xml:space="preserve">CTR50.0%</t>
    </r>
    <r>
      <rPr>
        <sz val="10"/>
        <rFont val="WenQuanYi Zen Hei"/>
        <family val="2"/>
      </rPr>
      <t xml:space="preserve">）</t>
    </r>
  </si>
  <si>
    <r>
      <rPr>
        <sz val="10"/>
        <rFont val="WenQuanYi Zen Hei"/>
        <family val="2"/>
      </rPr>
      <t xml:space="preserve">平均</t>
    </r>
    <r>
      <rPr>
        <sz val="10"/>
        <rFont val="Meiryo UI"/>
        <family val="0"/>
        <charset val="1"/>
      </rPr>
      <t xml:space="preserve">19.0</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</si>
  <si>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r>
      <rPr>
        <sz val="10"/>
        <rFont val="Meiryo UI"/>
        <family val="0"/>
        <charset val="1"/>
      </rPr>
      <t xml:space="preserve">1</t>
    </r>
    <r>
      <rPr>
        <sz val="10"/>
        <rFont val="WenQuanYi Zen Hei"/>
        <family val="2"/>
      </rPr>
      <t xml:space="preserve">ページ目の手前。「転職 内定もらったけど迷う」を含む見出しを追加して網羅性を補強し、同テーマの上位記事から内部リンクを追加して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</si>
  <si>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順位の改善が先。タイトルは「転職 内定もらったけど迷う」を含む形に整える程度に。</t>
  </si>
  <si>
    <t xml:space="preserve">/low-hiring-standards-black-company-risk/</t>
  </si>
  <si>
    <r>
      <rPr>
        <sz val="10"/>
        <rFont val="Meiryo UI"/>
        <family val="0"/>
        <charset val="1"/>
      </rPr>
      <t xml:space="preserve">9.2</t>
    </r>
    <r>
      <rPr>
        <sz val="10"/>
        <rFont val="WenQuanYi Zen Hei"/>
        <family val="2"/>
      </rPr>
      <t xml:space="preserve">位・</t>
    </r>
    <r>
      <rPr>
        <sz val="10"/>
        <rFont val="Meiryo UI"/>
        <family val="0"/>
        <charset val="1"/>
      </rPr>
      <t xml:space="preserve">CTR3.4%</t>
    </r>
    <r>
      <rPr>
        <sz val="10"/>
        <rFont val="WenQuanYi Zen Hei"/>
        <family val="2"/>
      </rPr>
      <t xml:space="preserve">で水準並み以上。</t>
    </r>
  </si>
  <si>
    <r>
      <rPr>
        <sz val="10"/>
        <rFont val="WenQuanYi Zen Hei"/>
        <family val="2"/>
      </rPr>
      <t xml:space="preserve">【即内定】競合相手：</t>
    </r>
    <r>
      <rPr>
        <sz val="10"/>
        <rFont val="Meiryo UI"/>
        <family val="0"/>
        <charset val="1"/>
      </rPr>
      <t xml:space="preserve">/instant-offer-one-interview-black-company-warning/</t>
    </r>
  </si>
  <si>
    <t xml:space="preserve">/salesforce-japan-career-change/</t>
  </si>
  <si>
    <r>
      <rPr>
        <sz val="10"/>
        <rFont val="Meiryo UI"/>
        <family val="0"/>
        <charset val="1"/>
      </rPr>
      <t xml:space="preserve">9.3</t>
    </r>
    <r>
      <rPr>
        <sz val="10"/>
        <rFont val="WenQuanYi Zen Hei"/>
        <family val="2"/>
      </rPr>
      <t xml:space="preserve">位・</t>
    </r>
    <r>
      <rPr>
        <sz val="10"/>
        <rFont val="Meiryo UI"/>
        <family val="0"/>
        <charset val="1"/>
      </rPr>
      <t xml:space="preserve">CTR3.1%</t>
    </r>
    <r>
      <rPr>
        <sz val="10"/>
        <rFont val="WenQuanYi Zen Hei"/>
        <family val="2"/>
      </rPr>
      <t xml:space="preserve">で水準並み以上。</t>
    </r>
  </si>
  <si>
    <t xml:space="preserve">/it-mikeiken-shokumukeirekisho-shorui-senko/</t>
  </si>
  <si>
    <r>
      <rPr>
        <sz val="10"/>
        <rFont val="WenQuanYi Zen Hei"/>
        <family val="2"/>
      </rPr>
      <t xml:space="preserve">未経験</t>
    </r>
    <r>
      <rPr>
        <sz val="10"/>
        <rFont val="Meiryo UI"/>
        <family val="0"/>
        <charset val="1"/>
      </rPr>
      <t xml:space="preserve">IT</t>
    </r>
    <r>
      <rPr>
        <sz val="10"/>
        <rFont val="WenQuanYi Zen Hei"/>
        <family val="2"/>
      </rPr>
      <t xml:space="preserve">転職</t>
    </r>
  </si>
  <si>
    <r>
      <rPr>
        <sz val="10"/>
        <rFont val="Meiryo UI"/>
        <family val="0"/>
        <charset val="1"/>
      </rPr>
      <t xml:space="preserve">6.6</t>
    </r>
    <r>
      <rPr>
        <sz val="10"/>
        <rFont val="WenQuanYi Zen Hei"/>
        <family val="2"/>
      </rPr>
      <t xml:space="preserve">位・</t>
    </r>
    <r>
      <rPr>
        <sz val="10"/>
        <rFont val="Meiryo UI"/>
        <family val="0"/>
        <charset val="1"/>
      </rPr>
      <t xml:space="preserve">CTR5.7%</t>
    </r>
    <r>
      <rPr>
        <sz val="10"/>
        <rFont val="WenQuanYi Zen Hei"/>
        <family val="2"/>
      </rPr>
      <t xml:space="preserve">で水準並み以上。</t>
    </r>
  </si>
  <si>
    <t xml:space="preserve">/tenshoku-agent-kashikoi-tsukaikata/</t>
  </si>
  <si>
    <r>
      <rPr>
        <sz val="10"/>
        <rFont val="WenQuanYi Zen Hei"/>
        <family val="2"/>
      </rPr>
      <t xml:space="preserve">リクルートエージェント 使い方（</t>
    </r>
    <r>
      <rPr>
        <sz val="10"/>
        <rFont val="Meiryo UI"/>
        <family val="0"/>
        <charset val="1"/>
      </rPr>
      <t xml:space="preserve">3</t>
    </r>
    <r>
      <rPr>
        <sz val="10"/>
        <rFont val="WenQuanYi Zen Hei"/>
        <family val="2"/>
      </rPr>
      <t xml:space="preserve">表示・</t>
    </r>
    <r>
      <rPr>
        <sz val="10"/>
        <rFont val="Meiryo UI"/>
        <family val="0"/>
        <charset val="1"/>
      </rPr>
      <t xml:space="preserve">30.7</t>
    </r>
    <r>
      <rPr>
        <sz val="10"/>
        <rFont val="WenQuanYi Zen Hei"/>
        <family val="2"/>
      </rPr>
      <t xml:space="preserve">位・</t>
    </r>
    <r>
      <rPr>
        <sz val="10"/>
        <rFont val="Meiryo UI"/>
        <family val="0"/>
        <charset val="1"/>
      </rPr>
      <t xml:space="preserve">CTR33.3%</t>
    </r>
    <r>
      <rPr>
        <sz val="10"/>
        <rFont val="WenQuanYi Zen Hei"/>
        <family val="2"/>
      </rPr>
      <t xml:space="preserve">）</t>
    </r>
  </si>
  <si>
    <r>
      <rPr>
        <sz val="10"/>
        <rFont val="Meiryo UI"/>
        <family val="0"/>
        <charset val="1"/>
      </rPr>
      <t xml:space="preserve">3</t>
    </r>
    <r>
      <rPr>
        <sz val="10"/>
        <rFont val="WenQuanYi Zen Hei"/>
        <family val="2"/>
      </rPr>
      <t xml:space="preserve">か月の表示</t>
    </r>
    <r>
      <rPr>
        <sz val="10"/>
        <rFont val="Meiryo UI"/>
        <family val="0"/>
        <charset val="1"/>
      </rPr>
      <t xml:space="preserve">38</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</si>
  <si>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【エージェント使い方】競合相手：</t>
    </r>
    <r>
      <rPr>
        <sz val="10"/>
        <rFont val="Meiryo UI"/>
        <family val="0"/>
        <charset val="1"/>
      </rPr>
      <t xml:space="preserve">/tensyoku-agent-misuterareru/</t>
    </r>
    <r>
      <rPr>
        <sz val="10"/>
        <rFont val="WenQuanYi Zen Hei"/>
        <family val="2"/>
      </rPr>
      <t xml:space="preserve">、</t>
    </r>
    <r>
      <rPr>
        <sz val="10"/>
        <rFont val="Meiryo UI"/>
        <family val="0"/>
        <charset val="1"/>
      </rPr>
      <t xml:space="preserve">/40s-tenshoku-agent-katsuyo/</t>
    </r>
  </si>
  <si>
    <t xml:space="preserve">表示がほぼないため、①需要がない→内部リンク用として残す、②同テーマの記事に評価を取られている→統合、のどちらかを判断。追記は後回し。</t>
  </si>
  <si>
    <t xml:space="preserve">表示がほぼないため導線の設置は後回し（統合・リライト後に設置）。</t>
  </si>
  <si>
    <t xml:space="preserve">/seisei-ai-engineer-nenshu/</t>
  </si>
  <si>
    <r>
      <rPr>
        <sz val="10"/>
        <rFont val="WenQuanYi Zen Hei"/>
        <family val="2"/>
      </rPr>
      <t xml:space="preserve">生成</t>
    </r>
    <r>
      <rPr>
        <sz val="10"/>
        <rFont val="Meiryo UI"/>
        <family val="0"/>
        <charset val="1"/>
      </rPr>
      <t xml:space="preserve">AI</t>
    </r>
    <r>
      <rPr>
        <sz val="10"/>
        <rFont val="WenQuanYi Zen Hei"/>
        <family val="2"/>
      </rPr>
      <t xml:space="preserve">職種</t>
    </r>
  </si>
  <si>
    <r>
      <rPr>
        <sz val="10"/>
        <rFont val="WenQuanYi Zen Hei"/>
        <family val="2"/>
      </rPr>
      <t xml:space="preserve">平均</t>
    </r>
    <r>
      <rPr>
        <sz val="10"/>
        <rFont val="Meiryo UI"/>
        <family val="0"/>
        <charset val="1"/>
      </rPr>
      <t xml:space="preserve">11.9</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</si>
  <si>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r>
      <rPr>
        <sz val="10"/>
        <rFont val="WenQuanYi Zen Hei"/>
        <family val="2"/>
      </rPr>
      <t xml:space="preserve">記事末に「まず自分の市場価値を確認」として</t>
    </r>
    <r>
      <rPr>
        <sz val="10"/>
        <rFont val="Meiryo UI"/>
        <family val="0"/>
        <charset val="1"/>
      </rPr>
      <t xml:space="preserve">Geekly(A8)</t>
    </r>
    <r>
      <rPr>
        <sz val="10"/>
        <rFont val="WenQuanYi Zen Hei"/>
        <family val="2"/>
      </rPr>
      <t xml:space="preserve">を紹介。本文中の広告は控える。</t>
    </r>
  </si>
  <si>
    <t xml:space="preserve">/45sai-it-shorui-senko/</t>
  </si>
  <si>
    <r>
      <rPr>
        <sz val="10"/>
        <rFont val="WenQuanYi Zen Hei"/>
        <family val="2"/>
      </rPr>
      <t xml:space="preserve">平均</t>
    </r>
    <r>
      <rPr>
        <sz val="10"/>
        <rFont val="Meiryo UI"/>
        <family val="0"/>
        <charset val="1"/>
      </rPr>
      <t xml:space="preserve">22.5</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</si>
  <si>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【書類選考落ち】競合相手：</t>
    </r>
    <r>
      <rPr>
        <sz val="10"/>
        <rFont val="Meiryo UI"/>
        <family val="0"/>
        <charset val="1"/>
      </rPr>
      <t xml:space="preserve">/chuto-syorui-senko-ochiru/</t>
    </r>
    <r>
      <rPr>
        <sz val="10"/>
        <rFont val="WenQuanYi Zen Hei"/>
        <family val="2"/>
      </rPr>
      <t xml:space="preserve">、</t>
    </r>
    <r>
      <rPr>
        <sz val="10"/>
        <rFont val="Meiryo UI"/>
        <family val="0"/>
        <charset val="1"/>
      </rPr>
      <t xml:space="preserve">/it-tensyoku-syorui-ochiru-riyu/</t>
    </r>
    <r>
      <rPr>
        <sz val="10"/>
        <rFont val="WenQuanYi Zen Hei"/>
        <family val="2"/>
      </rPr>
      <t xml:space="preserve">、</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/document-screening-cutoff/</t>
    </r>
    <r>
      <rPr>
        <sz val="10"/>
        <rFont val="WenQuanYi Zen Hei"/>
        <family val="2"/>
      </rPr>
      <t xml:space="preserve">、</t>
    </r>
    <r>
      <rPr>
        <sz val="10"/>
        <rFont val="Meiryo UI"/>
        <family val="0"/>
        <charset val="1"/>
      </rPr>
      <t xml:space="preserve">/document-screening-pass-rate/</t>
    </r>
    <r>
      <rPr>
        <sz val="10"/>
        <rFont val="WenQuanYi Zen Hei"/>
        <family val="2"/>
      </rPr>
      <t xml:space="preserve">ほか</t>
    </r>
  </si>
  <si>
    <r>
      <rPr>
        <sz val="10"/>
        <rFont val="WenQuanYi Zen Hei"/>
        <family val="2"/>
      </rPr>
      <t xml:space="preserve">【差別化して残す】担当：</t>
    </r>
    <r>
      <rPr>
        <sz val="10"/>
        <rFont val="Meiryo UI"/>
        <family val="0"/>
        <charset val="1"/>
      </rPr>
      <t xml:space="preserve">40</t>
    </r>
    <r>
      <rPr>
        <sz val="10"/>
        <rFont val="WenQuanYi Zen Hei"/>
        <family val="2"/>
      </rPr>
      <t xml:space="preserve">代・</t>
    </r>
    <r>
      <rPr>
        <sz val="10"/>
        <rFont val="Meiryo UI"/>
        <family val="0"/>
        <charset val="1"/>
      </rPr>
      <t xml:space="preserve">45</t>
    </r>
    <r>
      <rPr>
        <sz val="10"/>
        <rFont val="WenQuanYi Zen Hei"/>
        <family val="2"/>
      </rPr>
      <t xml:space="preserve">歳以上の書類選考だけを担当。親記事（</t>
    </r>
    <r>
      <rPr>
        <sz val="10"/>
        <rFont val="Meiryo UI"/>
        <family val="0"/>
        <charset val="1"/>
      </rPr>
      <t xml:space="preserve">/chuto-syorui-senko-ochiru/</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2</t>
    </r>
    <r>
      <rPr>
        <sz val="10"/>
        <rFont val="WenQuanYi Zen Hei"/>
        <family val="2"/>
      </rPr>
      <t xml:space="preserve">ページ目以降。上位記事の見出し構成と比べ、記事の主要キーワード（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を絞り込んで表示クエリを確認）への答えを冒頭に追加。網羅性を補っても上がらなければ統合を検討。</t>
    </r>
  </si>
  <si>
    <r>
      <rPr>
        <sz val="10"/>
        <rFont val="WenQuanYi Zen Hei"/>
        <family val="2"/>
      </rPr>
      <t xml:space="preserve">「自分で直すのが難しい人へ」の見出しで、エージェントの無料書類添削・面接対策を紹介→</t>
    </r>
    <r>
      <rPr>
        <sz val="10"/>
        <rFont val="Meiryo UI"/>
        <family val="0"/>
        <charset val="1"/>
      </rPr>
      <t xml:space="preserve">JAC Recruitment(VC)</t>
    </r>
    <r>
      <rPr>
        <sz val="10"/>
        <rFont val="WenQuanYi Zen Hei"/>
        <family val="2"/>
      </rPr>
      <t xml:space="preserve">。</t>
    </r>
  </si>
  <si>
    <t xml:space="preserve">/document-screening-cutoff/</t>
  </si>
  <si>
    <r>
      <rPr>
        <sz val="10"/>
        <rFont val="Meiryo UI"/>
        <family val="0"/>
        <charset val="1"/>
      </rPr>
      <t xml:space="preserve">7.0</t>
    </r>
    <r>
      <rPr>
        <sz val="10"/>
        <rFont val="WenQuanYi Zen Hei"/>
        <family val="2"/>
      </rPr>
      <t xml:space="preserve">位・</t>
    </r>
    <r>
      <rPr>
        <sz val="10"/>
        <rFont val="Meiryo UI"/>
        <family val="0"/>
        <charset val="1"/>
      </rPr>
      <t xml:space="preserve">CTR11.1%</t>
    </r>
    <r>
      <rPr>
        <sz val="10"/>
        <rFont val="WenQuanYi Zen Hei"/>
        <family val="2"/>
      </rPr>
      <t xml:space="preserve">で水準並み以上。</t>
    </r>
  </si>
  <si>
    <r>
      <rPr>
        <sz val="10"/>
        <rFont val="WenQuanYi Zen Hei"/>
        <family val="2"/>
      </rPr>
      <t xml:space="preserve">【書類選考落ち】競合相手：</t>
    </r>
    <r>
      <rPr>
        <sz val="10"/>
        <rFont val="Meiryo UI"/>
        <family val="0"/>
        <charset val="1"/>
      </rPr>
      <t xml:space="preserve">/chuto-syorui-senko-ochiru/</t>
    </r>
    <r>
      <rPr>
        <sz val="10"/>
        <rFont val="WenQuanYi Zen Hei"/>
        <family val="2"/>
      </rPr>
      <t xml:space="preserve">、</t>
    </r>
    <r>
      <rPr>
        <sz val="10"/>
        <rFont val="Meiryo UI"/>
        <family val="0"/>
        <charset val="1"/>
      </rPr>
      <t xml:space="preserve">/it-tensyoku-syorui-ochiru-riyu/</t>
    </r>
    <r>
      <rPr>
        <sz val="10"/>
        <rFont val="WenQuanYi Zen Hei"/>
        <family val="2"/>
      </rPr>
      <t xml:space="preserve">、</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/document-screening-pass-rate/</t>
    </r>
    <r>
      <rPr>
        <sz val="10"/>
        <rFont val="WenQuanYi Zen Hei"/>
        <family val="2"/>
      </rPr>
      <t xml:space="preserve">、</t>
    </r>
    <r>
      <rPr>
        <sz val="10"/>
        <rFont val="Meiryo UI"/>
        <family val="0"/>
        <charset val="1"/>
      </rPr>
      <t xml:space="preserve">/document-screening-1minute/</t>
    </r>
    <r>
      <rPr>
        <sz val="10"/>
        <rFont val="WenQuanYi Zen Hei"/>
        <family val="2"/>
      </rPr>
      <t xml:space="preserve">ほか</t>
    </r>
  </si>
  <si>
    <r>
      <rPr>
        <sz val="10"/>
        <rFont val="WenQuanYi Zen Hei"/>
        <family val="2"/>
      </rPr>
      <t xml:space="preserve">【差別化して残す】担当：足切り（年齢・学歴・転職回数）だけを担当。親記事（</t>
    </r>
    <r>
      <rPr>
        <sz val="10"/>
        <rFont val="Meiryo UI"/>
        <family val="0"/>
        <charset val="1"/>
      </rPr>
      <t xml:space="preserve">/chuto-syorui-senko-ochiru/</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ページ目。本文は大きく変えず、導線の設置を優先。</t>
    </r>
  </si>
  <si>
    <t xml:space="preserve">/ccna-infrastructure-engineer/</t>
  </si>
  <si>
    <t xml:space="preserve">インフラ資格</t>
  </si>
  <si>
    <r>
      <rPr>
        <sz val="10"/>
        <rFont val="WenQuanYi Zen Hei"/>
        <family val="2"/>
      </rPr>
      <t xml:space="preserve">インフラエンジニア </t>
    </r>
    <r>
      <rPr>
        <sz val="10"/>
        <rFont val="Meiryo UI"/>
        <family val="0"/>
        <charset val="1"/>
      </rPr>
      <t xml:space="preserve">ccna</t>
    </r>
    <r>
      <rPr>
        <sz val="10"/>
        <rFont val="WenQuanYi Zen Hei"/>
        <family val="2"/>
      </rPr>
      <t xml:space="preserve">（</t>
    </r>
    <r>
      <rPr>
        <sz val="10"/>
        <rFont val="Meiryo UI"/>
        <family val="0"/>
        <charset val="1"/>
      </rPr>
      <t xml:space="preserve">27</t>
    </r>
    <r>
      <rPr>
        <sz val="10"/>
        <rFont val="WenQuanYi Zen Hei"/>
        <family val="2"/>
      </rPr>
      <t xml:space="preserve">表示・</t>
    </r>
    <r>
      <rPr>
        <sz val="10"/>
        <rFont val="Meiryo UI"/>
        <family val="0"/>
        <charset val="1"/>
      </rPr>
      <t xml:space="preserve">9.0</t>
    </r>
    <r>
      <rPr>
        <sz val="10"/>
        <rFont val="WenQuanYi Zen Hei"/>
        <family val="2"/>
      </rPr>
      <t xml:space="preserve">位・</t>
    </r>
    <r>
      <rPr>
        <sz val="10"/>
        <rFont val="Meiryo UI"/>
        <family val="0"/>
        <charset val="1"/>
      </rPr>
      <t xml:space="preserve">CTR3.7%</t>
    </r>
    <r>
      <rPr>
        <sz val="10"/>
        <rFont val="WenQuanYi Zen Hei"/>
        <family val="2"/>
      </rPr>
      <t xml:space="preserve">） </t>
    </r>
    <r>
      <rPr>
        <sz val="10"/>
        <rFont val="Meiryo UI"/>
        <family val="0"/>
        <charset val="1"/>
      </rPr>
      <t xml:space="preserve">/ ccna </t>
    </r>
    <r>
      <rPr>
        <sz val="10"/>
        <rFont val="WenQuanYi Zen Hei"/>
        <family val="2"/>
      </rPr>
      <t xml:space="preserve">転職 有利（</t>
    </r>
    <r>
      <rPr>
        <sz val="10"/>
        <rFont val="Meiryo UI"/>
        <family val="0"/>
        <charset val="1"/>
      </rPr>
      <t xml:space="preserve">26</t>
    </r>
    <r>
      <rPr>
        <sz val="10"/>
        <rFont val="WenQuanYi Zen Hei"/>
        <family val="2"/>
      </rPr>
      <t xml:space="preserve">表示・</t>
    </r>
    <r>
      <rPr>
        <sz val="10"/>
        <rFont val="Meiryo UI"/>
        <family val="0"/>
        <charset val="1"/>
      </rPr>
      <t xml:space="preserve">38.9</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ccna </t>
    </r>
    <r>
      <rPr>
        <sz val="10"/>
        <rFont val="WenQuanYi Zen Hei"/>
        <family val="2"/>
      </rPr>
      <t xml:space="preserve">インフラエンジニア（</t>
    </r>
    <r>
      <rPr>
        <sz val="10"/>
        <rFont val="Meiryo UI"/>
        <family val="0"/>
        <charset val="1"/>
      </rPr>
      <t xml:space="preserve">22</t>
    </r>
    <r>
      <rPr>
        <sz val="10"/>
        <rFont val="WenQuanYi Zen Hei"/>
        <family val="2"/>
      </rPr>
      <t xml:space="preserve">表示・</t>
    </r>
    <r>
      <rPr>
        <sz val="10"/>
        <rFont val="Meiryo UI"/>
        <family val="0"/>
        <charset val="1"/>
      </rPr>
      <t xml:space="preserve">6.5</t>
    </r>
    <r>
      <rPr>
        <sz val="10"/>
        <rFont val="WenQuanYi Zen Hei"/>
        <family val="2"/>
      </rPr>
      <t xml:space="preserve">位・</t>
    </r>
    <r>
      <rPr>
        <sz val="10"/>
        <rFont val="Meiryo UI"/>
        <family val="0"/>
        <charset val="1"/>
      </rPr>
      <t xml:space="preserve">CTR13.6%</t>
    </r>
    <r>
      <rPr>
        <sz val="10"/>
        <rFont val="WenQuanYi Zen Hei"/>
        <family val="2"/>
      </rPr>
      <t xml:space="preserve">）</t>
    </r>
  </si>
  <si>
    <r>
      <rPr>
        <sz val="10"/>
        <rFont val="WenQuanYi Zen Hei"/>
        <family val="2"/>
      </rPr>
      <t xml:space="preserve">平均</t>
    </r>
    <r>
      <rPr>
        <sz val="10"/>
        <rFont val="Meiryo UI"/>
        <family val="0"/>
        <charset val="1"/>
      </rPr>
      <t xml:space="preserve">14.9</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ページ目の手前（あと一歩）。取りこぼしクエリ：インフラエンジニア </t>
    </r>
    <r>
      <rPr>
        <sz val="10"/>
        <rFont val="Meiryo UI"/>
        <family val="0"/>
        <charset val="1"/>
      </rPr>
      <t xml:space="preserve">ccna</t>
    </r>
    <r>
      <rPr>
        <sz val="10"/>
        <rFont val="WenQuanYi Zen Hei"/>
        <family val="2"/>
      </rPr>
      <t xml:space="preserve">（</t>
    </r>
    <r>
      <rPr>
        <sz val="10"/>
        <rFont val="Meiryo UI"/>
        <family val="0"/>
        <charset val="1"/>
      </rPr>
      <t xml:space="preserve">27</t>
    </r>
    <r>
      <rPr>
        <sz val="10"/>
        <rFont val="WenQuanYi Zen Hei"/>
        <family val="2"/>
      </rPr>
      <t xml:space="preserve">表示・</t>
    </r>
    <r>
      <rPr>
        <sz val="10"/>
        <rFont val="Meiryo UI"/>
        <family val="0"/>
        <charset val="1"/>
      </rPr>
      <t xml:space="preserve">9.0</t>
    </r>
    <r>
      <rPr>
        <sz val="10"/>
        <rFont val="WenQuanYi Zen Hei"/>
        <family val="2"/>
      </rPr>
      <t xml:space="preserve">位）。</t>
    </r>
  </si>
  <si>
    <r>
      <rPr>
        <sz val="10"/>
        <rFont val="WenQuanYi Zen Hei"/>
        <family val="2"/>
      </rPr>
      <t xml:space="preserve">【インフラ資格】競合相手：</t>
    </r>
    <r>
      <rPr>
        <sz val="10"/>
        <rFont val="Meiryo UI"/>
        <family val="0"/>
        <charset val="1"/>
      </rPr>
      <t xml:space="preserve">/infra-engineer-qualification-roadmap/</t>
    </r>
  </si>
  <si>
    <r>
      <rPr>
        <sz val="10"/>
        <rFont val="Meiryo UI"/>
        <family val="0"/>
        <charset val="1"/>
      </rPr>
      <t xml:space="preserve">1</t>
    </r>
    <r>
      <rPr>
        <sz val="10"/>
        <rFont val="WenQuanYi Zen Hei"/>
        <family val="2"/>
      </rPr>
      <t xml:space="preserve">ページ目の手前。「インフラエンジニア </t>
    </r>
    <r>
      <rPr>
        <sz val="10"/>
        <rFont val="Meiryo UI"/>
        <family val="0"/>
        <charset val="1"/>
      </rPr>
      <t xml:space="preserve">ccna</t>
    </r>
    <r>
      <rPr>
        <sz val="10"/>
        <rFont val="WenQuanYi Zen Hei"/>
        <family val="2"/>
      </rPr>
      <t xml:space="preserve">」を含む見出しを追加して網羅性を補強し、同テーマの上位記事から内部リンクを追加して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</si>
  <si>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順位の改善が先。タイトルは「インフラエンジニア </t>
    </r>
    <r>
      <rPr>
        <sz val="10"/>
        <rFont val="Meiryo UI"/>
        <family val="0"/>
        <charset val="1"/>
      </rPr>
      <t xml:space="preserve">ccna</t>
    </r>
    <r>
      <rPr>
        <sz val="10"/>
        <rFont val="WenQuanYi Zen Hei"/>
        <family val="2"/>
      </rPr>
      <t xml:space="preserve">」を含む形に整える程度に。</t>
    </r>
  </si>
  <si>
    <t xml:space="preserve">/mynavi-it-agent-reputation/</t>
  </si>
  <si>
    <r>
      <rPr>
        <sz val="10"/>
        <rFont val="WenQuanYi Zen Hei"/>
        <family val="2"/>
      </rPr>
      <t xml:space="preserve">マイナビ</t>
    </r>
    <r>
      <rPr>
        <sz val="10"/>
        <rFont val="Meiryo UI"/>
        <family val="0"/>
        <charset val="1"/>
      </rPr>
      <t xml:space="preserve">IT</t>
    </r>
  </si>
  <si>
    <r>
      <rPr>
        <sz val="10"/>
        <rFont val="WenQuanYi Zen Hei"/>
        <family val="2"/>
      </rPr>
      <t xml:space="preserve">マイナビ</t>
    </r>
    <r>
      <rPr>
        <sz val="10"/>
        <rFont val="Meiryo UI"/>
        <family val="0"/>
        <charset val="1"/>
      </rPr>
      <t xml:space="preserve">it</t>
    </r>
    <r>
      <rPr>
        <sz val="10"/>
        <rFont val="WenQuanYi Zen Hei"/>
        <family val="2"/>
      </rPr>
      <t xml:space="preserve">エージェント 評判（</t>
    </r>
    <r>
      <rPr>
        <sz val="10"/>
        <rFont val="Meiryo UI"/>
        <family val="0"/>
        <charset val="1"/>
      </rPr>
      <t xml:space="preserve">96</t>
    </r>
    <r>
      <rPr>
        <sz val="10"/>
        <rFont val="WenQuanYi Zen Hei"/>
        <family val="2"/>
      </rPr>
      <t xml:space="preserve">表示・</t>
    </r>
    <r>
      <rPr>
        <sz val="10"/>
        <rFont val="Meiryo UI"/>
        <family val="0"/>
        <charset val="1"/>
      </rPr>
      <t xml:space="preserve">25.1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マイナビ</t>
    </r>
    <r>
      <rPr>
        <sz val="10"/>
        <rFont val="Meiryo UI"/>
        <family val="0"/>
        <charset val="1"/>
      </rPr>
      <t xml:space="preserve">it agent </t>
    </r>
    <r>
      <rPr>
        <sz val="10"/>
        <rFont val="WenQuanYi Zen Hei"/>
        <family val="2"/>
      </rPr>
      <t xml:space="preserve">評判（</t>
    </r>
    <r>
      <rPr>
        <sz val="10"/>
        <rFont val="Meiryo UI"/>
        <family val="0"/>
        <charset val="1"/>
      </rPr>
      <t xml:space="preserve">57</t>
    </r>
    <r>
      <rPr>
        <sz val="10"/>
        <rFont val="WenQuanYi Zen Hei"/>
        <family val="2"/>
      </rPr>
      <t xml:space="preserve">表示・</t>
    </r>
    <r>
      <rPr>
        <sz val="10"/>
        <rFont val="Meiryo UI"/>
        <family val="0"/>
        <charset val="1"/>
      </rPr>
      <t xml:space="preserve">31.9</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マイナビ</t>
    </r>
    <r>
      <rPr>
        <sz val="10"/>
        <rFont val="Meiryo UI"/>
        <family val="0"/>
        <charset val="1"/>
      </rPr>
      <t xml:space="preserve">itagent </t>
    </r>
    <r>
      <rPr>
        <sz val="10"/>
        <rFont val="WenQuanYi Zen Hei"/>
        <family val="2"/>
      </rPr>
      <t xml:space="preserve">評判（</t>
    </r>
    <r>
      <rPr>
        <sz val="10"/>
        <rFont val="Meiryo UI"/>
        <family val="0"/>
        <charset val="1"/>
      </rPr>
      <t xml:space="preserve">41</t>
    </r>
    <r>
      <rPr>
        <sz val="10"/>
        <rFont val="WenQuanYi Zen Hei"/>
        <family val="2"/>
      </rPr>
      <t xml:space="preserve">表示・</t>
    </r>
    <r>
      <rPr>
        <sz val="10"/>
        <rFont val="Meiryo UI"/>
        <family val="0"/>
        <charset val="1"/>
      </rPr>
      <t xml:space="preserve">25.9</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</si>
  <si>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40.7</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ページ目以降。検索意図とのズレか、内容不足。取りこぼしクエリ：マイナビ</t>
    </r>
    <r>
      <rPr>
        <sz val="10"/>
        <rFont val="Meiryo UI"/>
        <family val="0"/>
        <charset val="1"/>
      </rPr>
      <t xml:space="preserve">it</t>
    </r>
    <r>
      <rPr>
        <sz val="10"/>
        <rFont val="WenQuanYi Zen Hei"/>
        <family val="2"/>
      </rPr>
      <t xml:space="preserve">エージェント 評判（</t>
    </r>
    <r>
      <rPr>
        <sz val="10"/>
        <rFont val="Meiryo UI"/>
        <family val="0"/>
        <charset val="1"/>
      </rPr>
      <t xml:space="preserve">96</t>
    </r>
    <r>
      <rPr>
        <sz val="10"/>
        <rFont val="WenQuanYi Zen Hei"/>
        <family val="2"/>
      </rPr>
      <t xml:space="preserve">表示・</t>
    </r>
    <r>
      <rPr>
        <sz val="10"/>
        <rFont val="Meiryo UI"/>
        <family val="0"/>
        <charset val="1"/>
      </rPr>
      <t xml:space="preserve">25.1</t>
    </r>
    <r>
      <rPr>
        <sz val="10"/>
        <rFont val="WenQuanYi Zen Hei"/>
        <family val="2"/>
      </rPr>
      <t xml:space="preserve">位）。</t>
    </r>
  </si>
  <si>
    <r>
      <rPr>
        <sz val="10"/>
        <rFont val="Meiryo UI"/>
        <family val="0"/>
        <charset val="1"/>
      </rPr>
      <t xml:space="preserve">2</t>
    </r>
    <r>
      <rPr>
        <sz val="10"/>
        <rFont val="WenQuanYi Zen Hei"/>
        <family val="2"/>
      </rPr>
      <t xml:space="preserve">ページ目以降。上位記事の見出し構成と比べ、「マイナビ</t>
    </r>
    <r>
      <rPr>
        <sz val="10"/>
        <rFont val="Meiryo UI"/>
        <family val="0"/>
        <charset val="1"/>
      </rPr>
      <t xml:space="preserve">it</t>
    </r>
    <r>
      <rPr>
        <sz val="10"/>
        <rFont val="WenQuanYi Zen Hei"/>
        <family val="2"/>
      </rPr>
      <t xml:space="preserve">エージェント 評判」への答えを冒頭に追加。網羅性を補っても上がらなければ統合を検討。</t>
    </r>
  </si>
  <si>
    <r>
      <rPr>
        <sz val="10"/>
        <rFont val="WenQuanYi Zen Hei"/>
        <family val="2"/>
      </rPr>
      <t xml:space="preserve">順位の改善が先。タイトルは「マイナビ</t>
    </r>
    <r>
      <rPr>
        <sz val="10"/>
        <rFont val="Meiryo UI"/>
        <family val="0"/>
        <charset val="1"/>
      </rPr>
      <t xml:space="preserve">it</t>
    </r>
    <r>
      <rPr>
        <sz val="10"/>
        <rFont val="WenQuanYi Zen Hei"/>
        <family val="2"/>
      </rPr>
      <t xml:space="preserve">エージェント 評判」を含む形に整える程度に。</t>
    </r>
  </si>
  <si>
    <r>
      <rPr>
        <sz val="10"/>
        <rFont val="WenQuanYi Zen Hei"/>
        <family val="2"/>
      </rPr>
      <t xml:space="preserve">要提携確認</t>
    </r>
    <r>
      <rPr>
        <sz val="10"/>
        <rFont val="Meiryo UI"/>
        <family val="0"/>
        <charset val="1"/>
      </rPr>
      <t xml:space="preserve">(</t>
    </r>
    <r>
      <rPr>
        <sz val="10"/>
        <rFont val="WenQuanYi Zen Hei"/>
        <family val="2"/>
      </rPr>
      <t xml:space="preserve">マイナビ</t>
    </r>
    <r>
      <rPr>
        <sz val="10"/>
        <rFont val="Meiryo UI"/>
        <family val="0"/>
        <charset val="1"/>
      </rPr>
      <t xml:space="preserve">IT AGENT)</t>
    </r>
  </si>
  <si>
    <t xml:space="preserve">/infra-engineer-qualification-roadmap/</t>
  </si>
  <si>
    <r>
      <rPr>
        <sz val="10"/>
        <rFont val="WenQuanYi Zen Hei"/>
        <family val="2"/>
      </rPr>
      <t xml:space="preserve">インフラエンジニア 資格（</t>
    </r>
    <r>
      <rPr>
        <sz val="10"/>
        <rFont val="Meiryo UI"/>
        <family val="0"/>
        <charset val="1"/>
      </rPr>
      <t xml:space="preserve">50</t>
    </r>
    <r>
      <rPr>
        <sz val="10"/>
        <rFont val="WenQuanYi Zen Hei"/>
        <family val="2"/>
      </rPr>
      <t xml:space="preserve">表示・</t>
    </r>
    <r>
      <rPr>
        <sz val="10"/>
        <rFont val="Meiryo UI"/>
        <family val="0"/>
        <charset val="1"/>
      </rPr>
      <t xml:space="preserve">50.1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インフラエンジニア資格（</t>
    </r>
    <r>
      <rPr>
        <sz val="10"/>
        <rFont val="Meiryo UI"/>
        <family val="0"/>
        <charset val="1"/>
      </rPr>
      <t xml:space="preserve">33</t>
    </r>
    <r>
      <rPr>
        <sz val="10"/>
        <rFont val="WenQuanYi Zen Hei"/>
        <family val="2"/>
      </rPr>
      <t xml:space="preserve">表示・</t>
    </r>
    <r>
      <rPr>
        <sz val="10"/>
        <rFont val="Meiryo UI"/>
        <family val="0"/>
        <charset val="1"/>
      </rPr>
      <t xml:space="preserve">52.1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インフラエンジニア 資格 ロードマップ（</t>
    </r>
    <r>
      <rPr>
        <sz val="10"/>
        <rFont val="Meiryo UI"/>
        <family val="0"/>
        <charset val="1"/>
      </rPr>
      <t xml:space="preserve">25</t>
    </r>
    <r>
      <rPr>
        <sz val="10"/>
        <rFont val="WenQuanYi Zen Hei"/>
        <family val="2"/>
      </rPr>
      <t xml:space="preserve">表示・</t>
    </r>
    <r>
      <rPr>
        <sz val="10"/>
        <rFont val="Meiryo UI"/>
        <family val="0"/>
        <charset val="1"/>
      </rPr>
      <t xml:space="preserve">26.6</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</si>
  <si>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15.6</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ページ目の手前（あと一歩）。取りこぼしクエリ：インフラエンジニア 資格 ロードマップ（</t>
    </r>
    <r>
      <rPr>
        <sz val="10"/>
        <rFont val="Meiryo UI"/>
        <family val="0"/>
        <charset val="1"/>
      </rPr>
      <t xml:space="preserve">25</t>
    </r>
    <r>
      <rPr>
        <sz val="10"/>
        <rFont val="WenQuanYi Zen Hei"/>
        <family val="2"/>
      </rPr>
      <t xml:space="preserve">表示・</t>
    </r>
    <r>
      <rPr>
        <sz val="10"/>
        <rFont val="Meiryo UI"/>
        <family val="0"/>
        <charset val="1"/>
      </rPr>
      <t xml:space="preserve">26.6</t>
    </r>
    <r>
      <rPr>
        <sz val="10"/>
        <rFont val="WenQuanYi Zen Hei"/>
        <family val="2"/>
      </rPr>
      <t xml:space="preserve">位）。</t>
    </r>
  </si>
  <si>
    <r>
      <rPr>
        <sz val="10"/>
        <rFont val="WenQuanYi Zen Hei"/>
        <family val="2"/>
      </rPr>
      <t xml:space="preserve">【インフラ資格】競合相手：</t>
    </r>
    <r>
      <rPr>
        <sz val="10"/>
        <rFont val="Meiryo UI"/>
        <family val="0"/>
        <charset val="1"/>
      </rPr>
      <t xml:space="preserve">/ccna-infrastructure-engineer/</t>
    </r>
  </si>
  <si>
    <r>
      <rPr>
        <sz val="10"/>
        <rFont val="Meiryo UI"/>
        <family val="0"/>
        <charset val="1"/>
      </rPr>
      <t xml:space="preserve">1</t>
    </r>
    <r>
      <rPr>
        <sz val="10"/>
        <rFont val="WenQuanYi Zen Hei"/>
        <family val="2"/>
      </rPr>
      <t xml:space="preserve">ページ目の手前。「インフラエンジニア 資格 ロードマップ」を含む見出しを追加して網羅性を補強し、同テーマの上位記事から内部リンクを追加して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</si>
  <si>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順位の改善が先。タイトルは「インフラエンジニア 資格」を含む形に整える程度に。</t>
  </si>
  <si>
    <t xml:space="preserve">/type-agent-reputation/</t>
  </si>
  <si>
    <t xml:space="preserve">type</t>
  </si>
  <si>
    <r>
      <rPr>
        <sz val="10"/>
        <rFont val="Meiryo UI"/>
        <family val="0"/>
        <charset val="1"/>
      </rPr>
      <t xml:space="preserve">type</t>
    </r>
    <r>
      <rPr>
        <sz val="10"/>
        <rFont val="WenQuanYi Zen Hei"/>
        <family val="2"/>
      </rPr>
      <t xml:space="preserve">転職エージェント 評判（</t>
    </r>
    <r>
      <rPr>
        <sz val="10"/>
        <rFont val="Meiryo UI"/>
        <family val="0"/>
        <charset val="1"/>
      </rPr>
      <t xml:space="preserve">55</t>
    </r>
    <r>
      <rPr>
        <sz val="10"/>
        <rFont val="WenQuanYi Zen Hei"/>
        <family val="2"/>
      </rPr>
      <t xml:space="preserve">表示・</t>
    </r>
    <r>
      <rPr>
        <sz val="10"/>
        <rFont val="Meiryo UI"/>
        <family val="0"/>
        <charset val="1"/>
      </rPr>
      <t xml:space="preserve">39.6</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type </t>
    </r>
    <r>
      <rPr>
        <sz val="10"/>
        <rFont val="WenQuanYi Zen Hei"/>
        <family val="2"/>
      </rPr>
      <t xml:space="preserve">転職エージェント 評判（</t>
    </r>
    <r>
      <rPr>
        <sz val="10"/>
        <rFont val="Meiryo UI"/>
        <family val="0"/>
        <charset val="1"/>
      </rPr>
      <t xml:space="preserve">27</t>
    </r>
    <r>
      <rPr>
        <sz val="10"/>
        <rFont val="WenQuanYi Zen Hei"/>
        <family val="2"/>
      </rPr>
      <t xml:space="preserve">表示・</t>
    </r>
    <r>
      <rPr>
        <sz val="10"/>
        <rFont val="Meiryo UI"/>
        <family val="0"/>
        <charset val="1"/>
      </rPr>
      <t xml:space="preserve">48.2</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</si>
  <si>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31.2</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ページ目以降。検索意図とのズレか、内容不足。直近</t>
    </r>
    <r>
      <rPr>
        <sz val="10"/>
        <rFont val="Meiryo UI"/>
        <family val="0"/>
        <charset val="1"/>
      </rPr>
      <t xml:space="preserve">28</t>
    </r>
    <r>
      <rPr>
        <sz val="10"/>
        <rFont val="WenQuanYi Zen Hei"/>
        <family val="2"/>
      </rPr>
      <t xml:space="preserve">日で新規出現（クリック</t>
    </r>
    <r>
      <rPr>
        <sz val="10"/>
        <rFont val="Meiryo UI"/>
        <family val="0"/>
        <charset val="1"/>
      </rPr>
      <t xml:space="preserve">/</t>
    </r>
    <r>
      <rPr>
        <sz val="10"/>
        <rFont val="WenQuanYi Zen Hei"/>
        <family val="2"/>
      </rPr>
      <t xml:space="preserve">日 </t>
    </r>
    <r>
      <rPr>
        <sz val="10"/>
        <rFont val="Meiryo UI"/>
        <family val="0"/>
        <charset val="1"/>
      </rPr>
      <t xml:space="preserve">0.0→0.0</t>
    </r>
    <r>
      <rPr>
        <sz val="10"/>
        <rFont val="WenQuanYi Zen Hei"/>
        <family val="2"/>
      </rPr>
      <t xml:space="preserve">、表示</t>
    </r>
    <r>
      <rPr>
        <sz val="10"/>
        <rFont val="Meiryo UI"/>
        <family val="0"/>
        <charset val="1"/>
      </rPr>
      <t xml:space="preserve">/</t>
    </r>
    <r>
      <rPr>
        <sz val="10"/>
        <rFont val="WenQuanYi Zen Hei"/>
        <family val="2"/>
      </rPr>
      <t xml:space="preserve">日 </t>
    </r>
    <r>
      <rPr>
        <sz val="10"/>
        <rFont val="Meiryo UI"/>
        <family val="0"/>
        <charset val="1"/>
      </rPr>
      <t xml:space="preserve">0→5</t>
    </r>
    <r>
      <rPr>
        <sz val="10"/>
        <rFont val="WenQuanYi Zen Hei"/>
        <family val="2"/>
      </rPr>
      <t xml:space="preserve">）。</t>
    </r>
  </si>
  <si>
    <r>
      <rPr>
        <sz val="10"/>
        <rFont val="Meiryo UI"/>
        <family val="0"/>
        <charset val="1"/>
      </rPr>
      <t xml:space="preserve">2</t>
    </r>
    <r>
      <rPr>
        <sz val="10"/>
        <rFont val="WenQuanYi Zen Hei"/>
        <family val="2"/>
      </rPr>
      <t xml:space="preserve">ページ目以降。上位記事の見出し構成と比べ、「</t>
    </r>
    <r>
      <rPr>
        <sz val="10"/>
        <rFont val="Meiryo UI"/>
        <family val="0"/>
        <charset val="1"/>
      </rPr>
      <t xml:space="preserve">type</t>
    </r>
    <r>
      <rPr>
        <sz val="10"/>
        <rFont val="WenQuanYi Zen Hei"/>
        <family val="2"/>
      </rPr>
      <t xml:space="preserve">転職エージェント 評判」への答えを冒頭に追加。網羅性を補っても上がらなければ統合を検討。</t>
    </r>
  </si>
  <si>
    <r>
      <rPr>
        <sz val="10"/>
        <rFont val="WenQuanYi Zen Hei"/>
        <family val="2"/>
      </rPr>
      <t xml:space="preserve">順位の改善が先。タイトルは「</t>
    </r>
    <r>
      <rPr>
        <sz val="10"/>
        <rFont val="Meiryo UI"/>
        <family val="0"/>
        <charset val="1"/>
      </rPr>
      <t xml:space="preserve">type</t>
    </r>
    <r>
      <rPr>
        <sz val="10"/>
        <rFont val="WenQuanYi Zen Hei"/>
        <family val="2"/>
      </rPr>
      <t xml:space="preserve">転職エージェント 評判」を含む形に整える程度に。</t>
    </r>
  </si>
  <si>
    <r>
      <rPr>
        <sz val="10"/>
        <rFont val="WenQuanYi Zen Hei"/>
        <family val="2"/>
      </rPr>
      <t xml:space="preserve">要提携確認</t>
    </r>
    <r>
      <rPr>
        <sz val="10"/>
        <rFont val="Meiryo UI"/>
        <family val="0"/>
        <charset val="1"/>
      </rPr>
      <t xml:space="preserve">(type</t>
    </r>
    <r>
      <rPr>
        <sz val="10"/>
        <rFont val="WenQuanYi Zen Hei"/>
        <family val="2"/>
      </rPr>
      <t xml:space="preserve">転職エージェント</t>
    </r>
    <r>
      <rPr>
        <sz val="10"/>
        <rFont val="Meiryo UI"/>
        <family val="0"/>
        <charset val="1"/>
      </rPr>
      <t xml:space="preserve">)</t>
    </r>
  </si>
  <si>
    <t xml:space="preserve">/seisei-ai-it-tensyoku-guide/</t>
  </si>
  <si>
    <r>
      <rPr>
        <sz val="10"/>
        <rFont val="WenQuanYi Zen Hei"/>
        <family val="2"/>
      </rPr>
      <t xml:space="preserve">平均</t>
    </r>
    <r>
      <rPr>
        <sz val="10"/>
        <rFont val="Meiryo UI"/>
        <family val="0"/>
        <charset val="1"/>
      </rPr>
      <t xml:space="preserve">10.1</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</si>
  <si>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t xml:space="preserve">/kuroji-restructuring-40s-career-defense/</t>
  </si>
  <si>
    <r>
      <rPr>
        <sz val="10"/>
        <rFont val="Meiryo UI"/>
        <family val="0"/>
        <charset val="1"/>
      </rPr>
      <t xml:space="preserve">9.3</t>
    </r>
    <r>
      <rPr>
        <sz val="10"/>
        <rFont val="WenQuanYi Zen Hei"/>
        <family val="2"/>
      </rPr>
      <t xml:space="preserve">位・</t>
    </r>
    <r>
      <rPr>
        <sz val="10"/>
        <rFont val="Meiryo UI"/>
        <family val="0"/>
        <charset val="1"/>
      </rPr>
      <t xml:space="preserve">CTR1.4%</t>
    </r>
    <r>
      <rPr>
        <sz val="10"/>
        <rFont val="WenQuanYi Zen Hei"/>
        <family val="2"/>
      </rPr>
      <t xml:space="preserve">で水準並み以上。</t>
    </r>
  </si>
  <si>
    <r>
      <rPr>
        <sz val="10"/>
        <rFont val="WenQuanYi Zen Hei"/>
        <family val="2"/>
      </rPr>
      <t xml:space="preserve">【黒字リストラ】競合相手：</t>
    </r>
    <r>
      <rPr>
        <sz val="10"/>
        <rFont val="Meiryo UI"/>
        <family val="0"/>
        <charset val="1"/>
      </rPr>
      <t xml:space="preserve">/kuroji-restructuring-taishosha/</t>
    </r>
  </si>
  <si>
    <r>
      <rPr>
        <sz val="10"/>
        <rFont val="WenQuanYi Zen Hei"/>
        <family val="2"/>
      </rPr>
      <t xml:space="preserve">【差別化して残す】担当：</t>
    </r>
    <r>
      <rPr>
        <sz val="10"/>
        <rFont val="Meiryo UI"/>
        <family val="0"/>
        <charset val="1"/>
      </rPr>
      <t xml:space="preserve">40</t>
    </r>
    <r>
      <rPr>
        <sz val="10"/>
        <rFont val="WenQuanYi Zen Hei"/>
        <family val="2"/>
      </rPr>
      <t xml:space="preserve">代の防衛策に特化。伸びなければ親記事へ統合。親記事（</t>
    </r>
    <r>
      <rPr>
        <sz val="10"/>
        <rFont val="Meiryo UI"/>
        <family val="0"/>
        <charset val="1"/>
      </rPr>
      <t xml:space="preserve">/kuroji-restructuring-taishosha/</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順位は</t>
    </r>
    <r>
      <rPr>
        <sz val="10"/>
        <rFont val="Meiryo UI"/>
        <family val="0"/>
        <charset val="1"/>
      </rPr>
      <t xml:space="preserve">1</t>
    </r>
    <r>
      <rPr>
        <sz val="10"/>
        <rFont val="WenQuanYi Zen Hei"/>
        <family val="2"/>
      </rPr>
      <t xml:space="preserve">ページ目。本文は大きく変えず、導線の設置を優先。</t>
    </r>
  </si>
  <si>
    <t xml:space="preserve">D</t>
  </si>
  <si>
    <t xml:space="preserve">様子見・対応不要</t>
  </si>
  <si>
    <t xml:space="preserve">/nri-yabai-yametoke/</t>
  </si>
  <si>
    <t xml:space="preserve">NRI</t>
  </si>
  <si>
    <r>
      <rPr>
        <sz val="10"/>
        <rFont val="WenQuanYi Zen Hei"/>
        <family val="2"/>
      </rPr>
      <t xml:space="preserve">野村総合研究所 やめとけ（</t>
    </r>
    <r>
      <rPr>
        <sz val="10"/>
        <rFont val="Meiryo UI"/>
        <family val="0"/>
        <charset val="1"/>
      </rPr>
      <t xml:space="preserve">5</t>
    </r>
    <r>
      <rPr>
        <sz val="10"/>
        <rFont val="WenQuanYi Zen Hei"/>
        <family val="2"/>
      </rPr>
      <t xml:space="preserve">表示・</t>
    </r>
    <r>
      <rPr>
        <sz val="10"/>
        <rFont val="Meiryo UI"/>
        <family val="0"/>
        <charset val="1"/>
      </rPr>
      <t xml:space="preserve">28.8</t>
    </r>
    <r>
      <rPr>
        <sz val="10"/>
        <rFont val="WenQuanYi Zen Hei"/>
        <family val="2"/>
      </rPr>
      <t xml:space="preserve">位・</t>
    </r>
    <r>
      <rPr>
        <sz val="10"/>
        <rFont val="Meiryo UI"/>
        <family val="0"/>
        <charset val="1"/>
      </rPr>
      <t xml:space="preserve">CTR20.0%</t>
    </r>
    <r>
      <rPr>
        <sz val="10"/>
        <rFont val="WenQuanYi Zen Hei"/>
        <family val="2"/>
      </rPr>
      <t xml:space="preserve">）</t>
    </r>
  </si>
  <si>
    <r>
      <rPr>
        <sz val="10"/>
        <rFont val="WenQuanYi Zen Hei"/>
        <family val="2"/>
      </rPr>
      <t xml:space="preserve">平均</t>
    </r>
    <r>
      <rPr>
        <sz val="10"/>
        <rFont val="Meiryo UI"/>
        <family val="0"/>
        <charset val="1"/>
      </rPr>
      <t xml:space="preserve">19.3</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ページ目の手前（あと一歩）。取りこぼしクエリ：野村総合研究所 やめとけ（</t>
    </r>
    <r>
      <rPr>
        <sz val="10"/>
        <rFont val="Meiryo UI"/>
        <family val="0"/>
        <charset val="1"/>
      </rPr>
      <t xml:space="preserve">5</t>
    </r>
    <r>
      <rPr>
        <sz val="10"/>
        <rFont val="WenQuanYi Zen Hei"/>
        <family val="2"/>
      </rPr>
      <t xml:space="preserve">表示・</t>
    </r>
    <r>
      <rPr>
        <sz val="10"/>
        <rFont val="Meiryo UI"/>
        <family val="0"/>
        <charset val="1"/>
      </rPr>
      <t xml:space="preserve">28.8</t>
    </r>
    <r>
      <rPr>
        <sz val="10"/>
        <rFont val="WenQuanYi Zen Hei"/>
        <family val="2"/>
      </rPr>
      <t xml:space="preserve">位）。</t>
    </r>
  </si>
  <si>
    <r>
      <rPr>
        <sz val="10"/>
        <rFont val="Meiryo UI"/>
        <family val="0"/>
        <charset val="1"/>
      </rPr>
      <t xml:space="preserve">1</t>
    </r>
    <r>
      <rPr>
        <sz val="10"/>
        <rFont val="WenQuanYi Zen Hei"/>
        <family val="2"/>
      </rPr>
      <t xml:space="preserve">ページ目の手前。「野村総合研究所 やめとけ」を含む見出しを追加して網羅性を補強し、同テーマの上位記事から内部リンクを追加して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</si>
  <si>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順位の改善が先。タイトルは「野村総合研究所 やめとけ」を含む形に整える程度に。</t>
  </si>
  <si>
    <t xml:space="preserve">/mikeiken-it-tensyoku-2026/</t>
  </si>
  <si>
    <r>
      <rPr>
        <sz val="10"/>
        <rFont val="Meiryo UI"/>
        <family val="0"/>
        <charset val="1"/>
      </rPr>
      <t xml:space="preserve">9.0</t>
    </r>
    <r>
      <rPr>
        <sz val="10"/>
        <rFont val="WenQuanYi Zen Hei"/>
        <family val="2"/>
      </rPr>
      <t xml:space="preserve">位・</t>
    </r>
    <r>
      <rPr>
        <sz val="10"/>
        <rFont val="Meiryo UI"/>
        <family val="0"/>
        <charset val="1"/>
      </rPr>
      <t xml:space="preserve">CTR0.0%</t>
    </r>
    <r>
      <rPr>
        <sz val="10"/>
        <rFont val="WenQuanYi Zen Hei"/>
        <family val="2"/>
      </rPr>
      <t xml:space="preserve">で水準並み以上。</t>
    </r>
  </si>
  <si>
    <r>
      <rPr>
        <sz val="10"/>
        <rFont val="WenQuanYi Zen Hei"/>
        <family val="2"/>
      </rPr>
      <t xml:space="preserve">記事末に「まず自分の市場価値を確認」として第二新卒エージェント</t>
    </r>
    <r>
      <rPr>
        <sz val="10"/>
        <rFont val="Meiryo UI"/>
        <family val="0"/>
        <charset val="1"/>
      </rPr>
      <t xml:space="preserve">neo(A8)</t>
    </r>
    <r>
      <rPr>
        <sz val="10"/>
        <rFont val="WenQuanYi Zen Hei"/>
        <family val="2"/>
      </rPr>
      <t xml:space="preserve">を紹介。本文中の広告は控える。</t>
    </r>
  </si>
  <si>
    <t xml:space="preserve">/it-tensyoku-syokusyu/</t>
  </si>
  <si>
    <r>
      <rPr>
        <sz val="10"/>
        <rFont val="WenQuanYi Zen Hei"/>
        <family val="2"/>
      </rPr>
      <t xml:space="preserve">平均</t>
    </r>
    <r>
      <rPr>
        <sz val="10"/>
        <rFont val="Meiryo UI"/>
        <family val="0"/>
        <charset val="1"/>
      </rPr>
      <t xml:space="preserve">13.7</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</si>
  <si>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t xml:space="preserve">/job-change-scout-meaning-mechanism/</t>
  </si>
  <si>
    <t xml:space="preserve">スカウト</t>
  </si>
  <si>
    <r>
      <rPr>
        <sz val="10"/>
        <rFont val="WenQuanYi Zen Hei"/>
        <family val="2"/>
      </rPr>
      <t xml:space="preserve">転職会議スカウト（</t>
    </r>
    <r>
      <rPr>
        <sz val="10"/>
        <rFont val="Meiryo UI"/>
        <family val="0"/>
        <charset val="1"/>
      </rPr>
      <t xml:space="preserve">72</t>
    </r>
    <r>
      <rPr>
        <sz val="10"/>
        <rFont val="WenQuanYi Zen Hei"/>
        <family val="2"/>
      </rPr>
      <t xml:space="preserve">表示・</t>
    </r>
    <r>
      <rPr>
        <sz val="10"/>
        <rFont val="Meiryo UI"/>
        <family val="0"/>
        <charset val="1"/>
      </rPr>
      <t xml:space="preserve">7.7</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転職会議 スカウト（</t>
    </r>
    <r>
      <rPr>
        <sz val="10"/>
        <rFont val="Meiryo UI"/>
        <family val="0"/>
        <charset val="1"/>
      </rPr>
      <t xml:space="preserve">56</t>
    </r>
    <r>
      <rPr>
        <sz val="10"/>
        <rFont val="WenQuanYi Zen Hei"/>
        <family val="2"/>
      </rPr>
      <t xml:space="preserve">表示・</t>
    </r>
    <r>
      <rPr>
        <sz val="10"/>
        <rFont val="Meiryo UI"/>
        <family val="0"/>
        <charset val="1"/>
      </rPr>
      <t xml:space="preserve">13.3</t>
    </r>
    <r>
      <rPr>
        <sz val="10"/>
        <rFont val="WenQuanYi Zen Hei"/>
        <family val="2"/>
      </rPr>
      <t xml:space="preserve">位・</t>
    </r>
    <r>
      <rPr>
        <sz val="10"/>
        <rFont val="Meiryo UI"/>
        <family val="0"/>
        <charset val="1"/>
      </rPr>
      <t xml:space="preserve">CTR1.8%</t>
    </r>
    <r>
      <rPr>
        <sz val="10"/>
        <rFont val="WenQuanYi Zen Hei"/>
        <family val="2"/>
      </rPr>
      <t xml:space="preserve">） </t>
    </r>
    <r>
      <rPr>
        <sz val="10"/>
        <rFont val="Meiryo UI"/>
        <family val="0"/>
        <charset val="1"/>
      </rPr>
      <t xml:space="preserve">/ </t>
    </r>
    <r>
      <rPr>
        <sz val="10"/>
        <rFont val="WenQuanYi Zen Hei"/>
        <family val="2"/>
      </rPr>
      <t xml:space="preserve">転職サイト スカウト 意味ない（</t>
    </r>
    <r>
      <rPr>
        <sz val="10"/>
        <rFont val="Meiryo UI"/>
        <family val="0"/>
        <charset val="1"/>
      </rPr>
      <t xml:space="preserve">33</t>
    </r>
    <r>
      <rPr>
        <sz val="10"/>
        <rFont val="WenQuanYi Zen Hei"/>
        <family val="2"/>
      </rPr>
      <t xml:space="preserve">表示・</t>
    </r>
    <r>
      <rPr>
        <sz val="10"/>
        <rFont val="Meiryo UI"/>
        <family val="0"/>
        <charset val="1"/>
      </rPr>
      <t xml:space="preserve">11.5</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</si>
  <si>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16.6</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ページ目の手前（あと一歩）。取りこぼしクエリ：転職会議スカウト（</t>
    </r>
    <r>
      <rPr>
        <sz val="10"/>
        <rFont val="Meiryo UI"/>
        <family val="0"/>
        <charset val="1"/>
      </rPr>
      <t xml:space="preserve">72</t>
    </r>
    <r>
      <rPr>
        <sz val="10"/>
        <rFont val="WenQuanYi Zen Hei"/>
        <family val="2"/>
      </rPr>
      <t xml:space="preserve">表示・</t>
    </r>
    <r>
      <rPr>
        <sz val="10"/>
        <rFont val="Meiryo UI"/>
        <family val="0"/>
        <charset val="1"/>
      </rPr>
      <t xml:space="preserve">7.7</t>
    </r>
    <r>
      <rPr>
        <sz val="10"/>
        <rFont val="WenQuanYi Zen Hei"/>
        <family val="2"/>
      </rPr>
      <t xml:space="preserve">位）。</t>
    </r>
  </si>
  <si>
    <r>
      <rPr>
        <sz val="10"/>
        <rFont val="Meiryo UI"/>
        <family val="0"/>
        <charset val="1"/>
      </rPr>
      <t xml:space="preserve">1</t>
    </r>
    <r>
      <rPr>
        <sz val="10"/>
        <rFont val="WenQuanYi Zen Hei"/>
        <family val="2"/>
      </rPr>
      <t xml:space="preserve">ページ目の手前。「転職会議スカウト」を含む見出しを追加して網羅性を補強し、同テーマの上位記事から内部リンクを追加して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</si>
  <si>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t xml:space="preserve">順位の改善が先。タイトルは「転職会議スカウト」を含む形に整える程度に。</t>
  </si>
  <si>
    <t xml:space="preserve">/tenshoku-kigyou-kenkyu-yarikata/</t>
  </si>
  <si>
    <r>
      <rPr>
        <sz val="10"/>
        <rFont val="Meiryo UI"/>
        <family val="0"/>
        <charset val="1"/>
      </rPr>
      <t xml:space="preserve">9.9</t>
    </r>
    <r>
      <rPr>
        <sz val="10"/>
        <rFont val="WenQuanYi Zen Hei"/>
        <family val="2"/>
      </rPr>
      <t xml:space="preserve">位・</t>
    </r>
    <r>
      <rPr>
        <sz val="10"/>
        <rFont val="Meiryo UI"/>
        <family val="0"/>
        <charset val="1"/>
      </rPr>
      <t xml:space="preserve">CTR1.4%</t>
    </r>
    <r>
      <rPr>
        <sz val="10"/>
        <rFont val="WenQuanYi Zen Hei"/>
        <family val="2"/>
      </rPr>
      <t xml:space="preserve">で水準並み以上。</t>
    </r>
  </si>
  <si>
    <r>
      <rPr>
        <sz val="10"/>
        <rFont val="WenQuanYi Zen Hei"/>
        <family val="2"/>
      </rPr>
      <t xml:space="preserve">【企業研究のやり方】競合相手：</t>
    </r>
    <r>
      <rPr>
        <sz val="10"/>
        <rFont val="Meiryo UI"/>
        <family val="0"/>
        <charset val="1"/>
      </rPr>
      <t xml:space="preserve">/tensyoku-kigyou-kenkyuu/</t>
    </r>
  </si>
  <si>
    <r>
      <rPr>
        <sz val="10"/>
        <rFont val="WenQuanYi Zen Hei"/>
        <family val="2"/>
      </rPr>
      <t xml:space="preserve">【統合対象】</t>
    </r>
    <r>
      <rPr>
        <sz val="10"/>
        <rFont val="Meiryo UI"/>
        <family val="0"/>
        <charset val="1"/>
      </rPr>
      <t xml:space="preserve">/tensyoku-kigyou-kenkyuu/</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リダイレクト。統合前に、本記事だけにある情報（数字・事例・人事の本音）を親記事へ移す。（グループ方針：表示の多い</t>
    </r>
    <r>
      <rPr>
        <sz val="10"/>
        <rFont val="Meiryo UI"/>
        <family val="0"/>
        <charset val="1"/>
      </rPr>
      <t xml:space="preserve">tensyoku-kigyou-kenkyuu</t>
    </r>
    <r>
      <rPr>
        <sz val="10"/>
        <rFont val="WenQuanYi Zen Hei"/>
        <family val="2"/>
      </rPr>
      <t xml:space="preserve">へ統合し</t>
    </r>
    <r>
      <rPr>
        <sz val="10"/>
        <rFont val="Meiryo UI"/>
        <family val="0"/>
        <charset val="1"/>
      </rPr>
      <t xml:space="preserve">301</t>
    </r>
    <r>
      <rPr>
        <sz val="10"/>
        <rFont val="WenQuanYi Zen Hei"/>
        <family val="2"/>
      </rPr>
      <t xml:space="preserve">。）</t>
    </r>
  </si>
  <si>
    <t xml:space="preserve">/type-woman-agent-reputation/</t>
  </si>
  <si>
    <r>
      <rPr>
        <sz val="10"/>
        <rFont val="Meiryo UI"/>
        <family val="0"/>
        <charset val="1"/>
      </rPr>
      <t xml:space="preserve">3</t>
    </r>
    <r>
      <rPr>
        <sz val="10"/>
        <rFont val="WenQuanYi Zen Hei"/>
        <family val="2"/>
      </rPr>
      <t xml:space="preserve">か月の表示</t>
    </r>
    <r>
      <rPr>
        <sz val="10"/>
        <rFont val="Meiryo UI"/>
        <family val="0"/>
        <charset val="1"/>
      </rPr>
      <t xml:space="preserve">49</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</si>
  <si>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要提携確認</t>
    </r>
    <r>
      <rPr>
        <sz val="10"/>
        <rFont val="Meiryo UI"/>
        <family val="0"/>
        <charset val="1"/>
      </rPr>
      <t xml:space="preserve">(type</t>
    </r>
    <r>
      <rPr>
        <sz val="10"/>
        <rFont val="WenQuanYi Zen Hei"/>
        <family val="2"/>
      </rPr>
      <t xml:space="preserve">女性の転職エージェント</t>
    </r>
    <r>
      <rPr>
        <sz val="10"/>
        <rFont val="Meiryo UI"/>
        <family val="0"/>
        <charset val="1"/>
      </rPr>
      <t xml:space="preserve">)</t>
    </r>
  </si>
  <si>
    <t xml:space="preserve">/it-tenshoku-shiboudouki-customize/</t>
  </si>
  <si>
    <t xml:space="preserve">志望動機</t>
  </si>
  <si>
    <r>
      <rPr>
        <sz val="10"/>
        <rFont val="Meiryo UI"/>
        <family val="0"/>
        <charset val="1"/>
      </rPr>
      <t xml:space="preserve">3</t>
    </r>
    <r>
      <rPr>
        <sz val="10"/>
        <rFont val="WenQuanYi Zen Hei"/>
        <family val="2"/>
      </rPr>
      <t xml:space="preserve">か月の表示</t>
    </r>
    <r>
      <rPr>
        <sz val="10"/>
        <rFont val="Meiryo UI"/>
        <family val="0"/>
        <charset val="1"/>
      </rPr>
      <t xml:space="preserve">5</t>
    </r>
    <r>
      <rPr>
        <sz val="10"/>
        <rFont val="WenQuanYi Zen Hei"/>
        <family val="2"/>
      </rPr>
      <t xml:space="preserve">回でほぼ評価されていない。検索需要が小さいか、同テーマの他記事に評価を取られている。</t>
    </r>
  </si>
  <si>
    <t xml:space="preserve">/nttdata-tekiseikensa-ochita/</t>
  </si>
  <si>
    <r>
      <rPr>
        <sz val="10"/>
        <rFont val="Meiryo UI"/>
        <family val="0"/>
        <charset val="1"/>
      </rPr>
      <t xml:space="preserve">ntt</t>
    </r>
    <r>
      <rPr>
        <sz val="10"/>
        <rFont val="WenQuanYi Zen Hei"/>
        <family val="2"/>
      </rPr>
      <t xml:space="preserve">データ 適性検査 落ちた 中途（</t>
    </r>
    <r>
      <rPr>
        <sz val="10"/>
        <rFont val="Meiryo UI"/>
        <family val="0"/>
        <charset val="1"/>
      </rPr>
      <t xml:space="preserve">180</t>
    </r>
    <r>
      <rPr>
        <sz val="10"/>
        <rFont val="WenQuanYi Zen Hei"/>
        <family val="2"/>
      </rPr>
      <t xml:space="preserve">表示・</t>
    </r>
    <r>
      <rPr>
        <sz val="10"/>
        <rFont val="Meiryo UI"/>
        <family val="0"/>
        <charset val="1"/>
      </rPr>
      <t xml:space="preserve">7.3</t>
    </r>
    <r>
      <rPr>
        <sz val="10"/>
        <rFont val="WenQuanYi Zen Hei"/>
        <family val="2"/>
      </rPr>
      <t xml:space="preserve">位・</t>
    </r>
    <r>
      <rPr>
        <sz val="10"/>
        <rFont val="Meiryo UI"/>
        <family val="0"/>
        <charset val="1"/>
      </rPr>
      <t xml:space="preserve">CTR11.7%</t>
    </r>
    <r>
      <rPr>
        <sz val="10"/>
        <rFont val="WenQuanYi Zen Hei"/>
        <family val="2"/>
      </rPr>
      <t xml:space="preserve">） </t>
    </r>
    <r>
      <rPr>
        <sz val="10"/>
        <rFont val="Meiryo UI"/>
        <family val="0"/>
        <charset val="1"/>
      </rPr>
      <t xml:space="preserve">/ ntt</t>
    </r>
    <r>
      <rPr>
        <sz val="10"/>
        <rFont val="WenQuanYi Zen Hei"/>
        <family val="2"/>
      </rPr>
      <t xml:space="preserve">データ 適性検査 中途（</t>
    </r>
    <r>
      <rPr>
        <sz val="10"/>
        <rFont val="Meiryo UI"/>
        <family val="0"/>
        <charset val="1"/>
      </rPr>
      <t xml:space="preserve">173</t>
    </r>
    <r>
      <rPr>
        <sz val="10"/>
        <rFont val="WenQuanYi Zen Hei"/>
        <family val="2"/>
      </rPr>
      <t xml:space="preserve">表示・</t>
    </r>
    <r>
      <rPr>
        <sz val="10"/>
        <rFont val="Meiryo UI"/>
        <family val="0"/>
        <charset val="1"/>
      </rPr>
      <t xml:space="preserve">9.9</t>
    </r>
    <r>
      <rPr>
        <sz val="10"/>
        <rFont val="WenQuanYi Zen Hei"/>
        <family val="2"/>
      </rPr>
      <t xml:space="preserve">位・</t>
    </r>
    <r>
      <rPr>
        <sz val="10"/>
        <rFont val="Meiryo UI"/>
        <family val="0"/>
        <charset val="1"/>
      </rPr>
      <t xml:space="preserve">CTR4.0%</t>
    </r>
    <r>
      <rPr>
        <sz val="10"/>
        <rFont val="WenQuanYi Zen Hei"/>
        <family val="2"/>
      </rPr>
      <t xml:space="preserve">） </t>
    </r>
    <r>
      <rPr>
        <sz val="10"/>
        <rFont val="Meiryo UI"/>
        <family val="0"/>
        <charset val="1"/>
      </rPr>
      <t xml:space="preserve">/ ntt</t>
    </r>
    <r>
      <rPr>
        <sz val="10"/>
        <rFont val="WenQuanYi Zen Hei"/>
        <family val="2"/>
      </rPr>
      <t xml:space="preserve">データ 適性検査 落ちた（</t>
    </r>
    <r>
      <rPr>
        <sz val="10"/>
        <rFont val="Meiryo UI"/>
        <family val="0"/>
        <charset val="1"/>
      </rPr>
      <t xml:space="preserve">107</t>
    </r>
    <r>
      <rPr>
        <sz val="10"/>
        <rFont val="WenQuanYi Zen Hei"/>
        <family val="2"/>
      </rPr>
      <t xml:space="preserve">表示・</t>
    </r>
    <r>
      <rPr>
        <sz val="10"/>
        <rFont val="Meiryo UI"/>
        <family val="0"/>
        <charset val="1"/>
      </rPr>
      <t xml:space="preserve">6.9</t>
    </r>
    <r>
      <rPr>
        <sz val="10"/>
        <rFont val="WenQuanYi Zen Hei"/>
        <family val="2"/>
      </rPr>
      <t xml:space="preserve">位・</t>
    </r>
    <r>
      <rPr>
        <sz val="10"/>
        <rFont val="Meiryo UI"/>
        <family val="0"/>
        <charset val="1"/>
      </rPr>
      <t xml:space="preserve">CTR4.7%</t>
    </r>
    <r>
      <rPr>
        <sz val="10"/>
        <rFont val="WenQuanYi Zen Hei"/>
        <family val="2"/>
      </rPr>
      <t xml:space="preserve">）</t>
    </r>
  </si>
  <si>
    <r>
      <rPr>
        <sz val="10"/>
        <rFont val="Meiryo UI"/>
        <family val="0"/>
        <charset val="1"/>
      </rPr>
      <t xml:space="preserve">9.9</t>
    </r>
    <r>
      <rPr>
        <sz val="10"/>
        <rFont val="WenQuanYi Zen Hei"/>
        <family val="2"/>
      </rPr>
      <t xml:space="preserve">位・</t>
    </r>
    <r>
      <rPr>
        <sz val="10"/>
        <rFont val="Meiryo UI"/>
        <family val="0"/>
        <charset val="1"/>
      </rPr>
      <t xml:space="preserve">CTR5.4%</t>
    </r>
    <r>
      <rPr>
        <sz val="10"/>
        <rFont val="WenQuanYi Zen Hei"/>
        <family val="2"/>
      </rPr>
      <t xml:space="preserve">で水準並み以上。取りこぼしクエリ：</t>
    </r>
    <r>
      <rPr>
        <sz val="10"/>
        <rFont val="Meiryo UI"/>
        <family val="0"/>
        <charset val="1"/>
      </rPr>
      <t xml:space="preserve">ntt</t>
    </r>
    <r>
      <rPr>
        <sz val="10"/>
        <rFont val="WenQuanYi Zen Hei"/>
        <family val="2"/>
      </rPr>
      <t xml:space="preserve">データ 適性検査 中途（</t>
    </r>
    <r>
      <rPr>
        <sz val="10"/>
        <rFont val="Meiryo UI"/>
        <family val="0"/>
        <charset val="1"/>
      </rPr>
      <t xml:space="preserve">173</t>
    </r>
    <r>
      <rPr>
        <sz val="10"/>
        <rFont val="WenQuanYi Zen Hei"/>
        <family val="2"/>
      </rPr>
      <t xml:space="preserve">表示・</t>
    </r>
    <r>
      <rPr>
        <sz val="10"/>
        <rFont val="Meiryo UI"/>
        <family val="0"/>
        <charset val="1"/>
      </rPr>
      <t xml:space="preserve">9.9</t>
    </r>
    <r>
      <rPr>
        <sz val="10"/>
        <rFont val="WenQuanYi Zen Hei"/>
        <family val="2"/>
      </rPr>
      <t xml:space="preserve">位）。</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</si>
  <si>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t>
    </r>
    <r>
      <rPr>
        <sz val="10"/>
        <rFont val="Meiryo UI"/>
        <family val="0"/>
        <charset val="1"/>
      </rPr>
      <t xml:space="preserve">ntt</t>
    </r>
    <r>
      <rPr>
        <sz val="10"/>
        <rFont val="WenQuanYi Zen Hei"/>
        <family val="2"/>
      </rPr>
      <t xml:space="preserve">データ 適性検査 中途」向けの見出し追加と導線の設置に留める。</t>
    </r>
  </si>
  <si>
    <r>
      <rPr>
        <sz val="10"/>
        <rFont val="WenQuanYi Zen Hei"/>
        <family val="2"/>
      </rPr>
      <t xml:space="preserve">大きな変更は不要。タイトルに「</t>
    </r>
    <r>
      <rPr>
        <sz val="10"/>
        <rFont val="Meiryo UI"/>
        <family val="0"/>
        <charset val="1"/>
      </rPr>
      <t xml:space="preserve">ntt</t>
    </r>
    <r>
      <rPr>
        <sz val="10"/>
        <rFont val="WenQuanYi Zen Hei"/>
        <family val="2"/>
      </rPr>
      <t xml:space="preserve">データ 適性検査 落ちた 中途」が入っていなければ追加。</t>
    </r>
  </si>
  <si>
    <t xml:space="preserve">/40s-tenshoku-agent-katsuyo/</t>
  </si>
  <si>
    <r>
      <rPr>
        <sz val="10"/>
        <rFont val="Meiryo UI"/>
        <family val="0"/>
        <charset val="1"/>
      </rPr>
      <t xml:space="preserve">3</t>
    </r>
    <r>
      <rPr>
        <sz val="10"/>
        <rFont val="WenQuanYi Zen Hei"/>
        <family val="2"/>
      </rPr>
      <t xml:space="preserve">か月の表示</t>
    </r>
    <r>
      <rPr>
        <sz val="10"/>
        <rFont val="Meiryo UI"/>
        <family val="0"/>
        <charset val="1"/>
      </rPr>
      <t xml:space="preserve">45</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</si>
  <si>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【エージェント使い方】競合相手：</t>
    </r>
    <r>
      <rPr>
        <sz val="10"/>
        <rFont val="Meiryo UI"/>
        <family val="0"/>
        <charset val="1"/>
      </rPr>
      <t xml:space="preserve">/tensyoku-agent-misuterareru/</t>
    </r>
    <r>
      <rPr>
        <sz val="10"/>
        <rFont val="WenQuanYi Zen Hei"/>
        <family val="2"/>
      </rPr>
      <t xml:space="preserve">、</t>
    </r>
    <r>
      <rPr>
        <sz val="10"/>
        <rFont val="Meiryo UI"/>
        <family val="0"/>
        <charset val="1"/>
      </rPr>
      <t xml:space="preserve">/tenshoku-agent-kashikoi-tsukaikata/</t>
    </r>
  </si>
  <si>
    <t xml:space="preserve">/20dai-kohan-tenshoku-genjitsu/</t>
  </si>
  <si>
    <r>
      <rPr>
        <sz val="10"/>
        <rFont val="Meiryo UI"/>
        <family val="0"/>
        <charset val="1"/>
      </rPr>
      <t xml:space="preserve">20</t>
    </r>
    <r>
      <rPr>
        <sz val="10"/>
        <rFont val="WenQuanYi Zen Hei"/>
        <family val="2"/>
      </rPr>
      <t xml:space="preserve">代転職</t>
    </r>
  </si>
  <si>
    <r>
      <rPr>
        <sz val="10"/>
        <rFont val="WenQuanYi Zen Hei"/>
        <family val="2"/>
      </rPr>
      <t xml:space="preserve">富士通 年収 </t>
    </r>
    <r>
      <rPr>
        <sz val="10"/>
        <rFont val="Meiryo UI"/>
        <family val="0"/>
        <charset val="1"/>
      </rPr>
      <t xml:space="preserve">20</t>
    </r>
    <r>
      <rPr>
        <sz val="10"/>
        <rFont val="WenQuanYi Zen Hei"/>
        <family val="2"/>
      </rPr>
      <t xml:space="preserve">代（</t>
    </r>
    <r>
      <rPr>
        <sz val="10"/>
        <rFont val="Meiryo UI"/>
        <family val="0"/>
        <charset val="1"/>
      </rPr>
      <t xml:space="preserve">28</t>
    </r>
    <r>
      <rPr>
        <sz val="10"/>
        <rFont val="WenQuanYi Zen Hei"/>
        <family val="2"/>
      </rPr>
      <t xml:space="preserve">表示・</t>
    </r>
    <r>
      <rPr>
        <sz val="10"/>
        <rFont val="Meiryo UI"/>
        <family val="0"/>
        <charset val="1"/>
      </rPr>
      <t xml:space="preserve">10.1</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</si>
  <si>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Meiryo UI"/>
        <family val="0"/>
        <charset val="1"/>
      </rPr>
      <t xml:space="preserve">3</t>
    </r>
    <r>
      <rPr>
        <sz val="10"/>
        <rFont val="WenQuanYi Zen Hei"/>
        <family val="2"/>
      </rPr>
      <t xml:space="preserve">か月の表示</t>
    </r>
    <r>
      <rPr>
        <sz val="10"/>
        <rFont val="Meiryo UI"/>
        <family val="0"/>
        <charset val="1"/>
      </rPr>
      <t xml:space="preserve">22</t>
    </r>
    <r>
      <rPr>
        <sz val="10"/>
        <rFont val="WenQuanYi Zen Hei"/>
        <family val="2"/>
      </rPr>
      <t xml:space="preserve">回でほぼ評価されていない。検索需要が小さいか、同テーマの他記事に評価を取られている。</t>
    </r>
  </si>
  <si>
    <t xml:space="preserve">/techgo-hyouban-jinji/</t>
  </si>
  <si>
    <t xml:space="preserve">TechGo</t>
  </si>
  <si>
    <r>
      <rPr>
        <sz val="10"/>
        <rFont val="WenQuanYi Zen Hei"/>
        <family val="2"/>
      </rPr>
      <t xml:space="preserve">平均</t>
    </r>
    <r>
      <rPr>
        <sz val="10"/>
        <rFont val="Meiryo UI"/>
        <family val="0"/>
        <charset val="1"/>
      </rPr>
      <t xml:space="preserve">12.7</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</si>
  <si>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r>
      <rPr>
        <sz val="10"/>
        <rFont val="WenQuanYi Zen Hei"/>
        <family val="2"/>
      </rPr>
      <t xml:space="preserve">要提携確認</t>
    </r>
    <r>
      <rPr>
        <sz val="10"/>
        <rFont val="Meiryo UI"/>
        <family val="0"/>
        <charset val="1"/>
      </rPr>
      <t xml:space="preserve">(TechGo)</t>
    </r>
  </si>
  <si>
    <t xml:space="preserve">/kibotaishoku-mensetsu-riyu/</t>
  </si>
  <si>
    <t xml:space="preserve">希望退職</t>
  </si>
  <si>
    <r>
      <rPr>
        <sz val="10"/>
        <rFont val="Meiryo UI"/>
        <family val="0"/>
        <charset val="1"/>
      </rPr>
      <t xml:space="preserve">3</t>
    </r>
    <r>
      <rPr>
        <sz val="10"/>
        <rFont val="WenQuanYi Zen Hei"/>
        <family val="2"/>
      </rPr>
      <t xml:space="preserve">か月の表示</t>
    </r>
    <r>
      <rPr>
        <sz val="10"/>
        <rFont val="Meiryo UI"/>
        <family val="0"/>
        <charset val="1"/>
      </rPr>
      <t xml:space="preserve">14</t>
    </r>
    <r>
      <rPr>
        <sz val="10"/>
        <rFont val="WenQuanYi Zen Hei"/>
        <family val="2"/>
      </rPr>
      <t xml:space="preserve">回でほぼ評価されていない。検索需要が小さいか、同テーマの他記事に評価を取られている。</t>
    </r>
  </si>
  <si>
    <t xml:space="preserve">/agent-review/</t>
  </si>
  <si>
    <r>
      <rPr>
        <sz val="10"/>
        <rFont val="Meiryo UI"/>
        <family val="0"/>
        <charset val="1"/>
      </rPr>
      <t xml:space="preserve">3</t>
    </r>
    <r>
      <rPr>
        <sz val="10"/>
        <rFont val="WenQuanYi Zen Hei"/>
        <family val="2"/>
      </rPr>
      <t xml:space="preserve">か月の表示</t>
    </r>
    <r>
      <rPr>
        <sz val="10"/>
        <rFont val="Meiryo UI"/>
        <family val="0"/>
        <charset val="1"/>
      </rPr>
      <t xml:space="preserve">1</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</si>
  <si>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【エージェント総合】競合相手：</t>
    </r>
    <r>
      <rPr>
        <sz val="10"/>
        <rFont val="Meiryo UI"/>
        <family val="0"/>
        <charset val="1"/>
      </rPr>
      <t xml:space="preserve">/it-tensyoku-agent-osusume/</t>
    </r>
  </si>
  <si>
    <r>
      <rPr>
        <sz val="10"/>
        <rFont val="WenQuanYi Zen Hei"/>
        <family val="2"/>
      </rPr>
      <t xml:space="preserve">【統合対象】</t>
    </r>
    <r>
      <rPr>
        <sz val="10"/>
        <rFont val="Meiryo UI"/>
        <family val="0"/>
        <charset val="1"/>
      </rPr>
      <t xml:space="preserve">/it-tensyoku-agent-osusume/</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agent-review</t>
    </r>
    <r>
      <rPr>
        <sz val="10"/>
        <rFont val="WenQuanYi Zen Hei"/>
        <family val="2"/>
      </rPr>
      <t xml:space="preserve">を</t>
    </r>
    <r>
      <rPr>
        <sz val="10"/>
        <rFont val="Meiryo UI"/>
        <family val="0"/>
        <charset val="1"/>
      </rPr>
      <t xml:space="preserve">it-tensyoku-agent-osusume</t>
    </r>
    <r>
      <rPr>
        <sz val="10"/>
        <rFont val="WenQuanYi Zen Hei"/>
        <family val="2"/>
      </rPr>
      <t xml:space="preserve">へ統合し、おすすめ記事をサイト内の収益ハブに。）</t>
    </r>
  </si>
  <si>
    <t xml:space="preserve">/40dai-it-keiken-tanaoroshi/</t>
  </si>
  <si>
    <r>
      <rPr>
        <sz val="10"/>
        <rFont val="Meiryo UI"/>
        <family val="0"/>
        <charset val="1"/>
      </rPr>
      <t xml:space="preserve">40</t>
    </r>
    <r>
      <rPr>
        <sz val="10"/>
        <rFont val="WenQuanYi Zen Hei"/>
        <family val="2"/>
      </rPr>
      <t xml:space="preserve">代キャリア</t>
    </r>
  </si>
  <si>
    <r>
      <rPr>
        <sz val="10"/>
        <rFont val="Meiryo UI"/>
        <family val="0"/>
        <charset val="1"/>
      </rPr>
      <t xml:space="preserve">3</t>
    </r>
    <r>
      <rPr>
        <sz val="10"/>
        <rFont val="WenQuanYi Zen Hei"/>
        <family val="2"/>
      </rPr>
      <t xml:space="preserve">か月の表示</t>
    </r>
    <r>
      <rPr>
        <sz val="10"/>
        <rFont val="Meiryo UI"/>
        <family val="0"/>
        <charset val="1"/>
      </rPr>
      <t xml:space="preserve">21</t>
    </r>
    <r>
      <rPr>
        <sz val="10"/>
        <rFont val="WenQuanYi Zen Hei"/>
        <family val="2"/>
      </rPr>
      <t xml:space="preserve">回でほぼ評価されていない。検索需要が小さいか、同テーマの他記事に評価を取られている。</t>
    </r>
  </si>
  <si>
    <t xml:space="preserve">/reference-check-jinji-kaisetsu/</t>
  </si>
  <si>
    <t xml:space="preserve">リファレンスチェック</t>
  </si>
  <si>
    <r>
      <rPr>
        <sz val="10"/>
        <rFont val="Meiryo UI"/>
        <family val="0"/>
        <charset val="1"/>
      </rPr>
      <t xml:space="preserve">3</t>
    </r>
    <r>
      <rPr>
        <sz val="10"/>
        <rFont val="WenQuanYi Zen Hei"/>
        <family val="2"/>
      </rPr>
      <t xml:space="preserve">か月の表示</t>
    </r>
    <r>
      <rPr>
        <sz val="10"/>
        <rFont val="Meiryo UI"/>
        <family val="0"/>
        <charset val="1"/>
      </rPr>
      <t xml:space="preserve">20</t>
    </r>
    <r>
      <rPr>
        <sz val="10"/>
        <rFont val="WenQuanYi Zen Hei"/>
        <family val="2"/>
      </rPr>
      <t xml:space="preserve">回でほぼ評価されていない。検索需要が小さいか、同テーマの他記事に評価を取られている。</t>
    </r>
  </si>
  <si>
    <t xml:space="preserve">/accenture-business-consultant-tenshoku/</t>
  </si>
  <si>
    <r>
      <rPr>
        <sz val="10"/>
        <rFont val="WenQuanYi Zen Hei"/>
        <family val="2"/>
      </rPr>
      <t xml:space="preserve">平均</t>
    </r>
    <r>
      <rPr>
        <sz val="10"/>
        <rFont val="Meiryo UI"/>
        <family val="0"/>
        <charset val="1"/>
      </rPr>
      <t xml:space="preserve">15.7</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t>
    </r>
  </si>
  <si>
    <t xml:space="preserve">/it-tensyoku-saishu-mensetsu-taisaku/</t>
  </si>
  <si>
    <r>
      <rPr>
        <sz val="10"/>
        <rFont val="WenQuanYi Zen Hei"/>
        <family val="2"/>
      </rPr>
      <t xml:space="preserve">転職 最終面接 顔合わせ（</t>
    </r>
    <r>
      <rPr>
        <sz val="10"/>
        <rFont val="Meiryo UI"/>
        <family val="0"/>
        <charset val="1"/>
      </rPr>
      <t xml:space="preserve">29</t>
    </r>
    <r>
      <rPr>
        <sz val="10"/>
        <rFont val="WenQuanYi Zen Hei"/>
        <family val="2"/>
      </rPr>
      <t xml:space="preserve">表示・</t>
    </r>
    <r>
      <rPr>
        <sz val="10"/>
        <rFont val="Meiryo UI"/>
        <family val="0"/>
        <charset val="1"/>
      </rPr>
      <t xml:space="preserve">37.1</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最終面接 即日内定（</t>
    </r>
    <r>
      <rPr>
        <sz val="10"/>
        <rFont val="Meiryo UI"/>
        <family val="0"/>
        <charset val="1"/>
      </rPr>
      <t xml:space="preserve">7</t>
    </r>
    <r>
      <rPr>
        <sz val="10"/>
        <rFont val="WenQuanYi Zen Hei"/>
        <family val="2"/>
      </rPr>
      <t xml:space="preserve">表示・</t>
    </r>
    <r>
      <rPr>
        <sz val="10"/>
        <rFont val="Meiryo UI"/>
        <family val="0"/>
        <charset val="1"/>
      </rPr>
      <t xml:space="preserve">9.1</t>
    </r>
    <r>
      <rPr>
        <sz val="10"/>
        <rFont val="WenQuanYi Zen Hei"/>
        <family val="2"/>
      </rPr>
      <t xml:space="preserve">位・</t>
    </r>
    <r>
      <rPr>
        <sz val="10"/>
        <rFont val="Meiryo UI"/>
        <family val="0"/>
        <charset val="1"/>
      </rPr>
      <t xml:space="preserve">CTR14.3%</t>
    </r>
    <r>
      <rPr>
        <sz val="10"/>
        <rFont val="WenQuanYi Zen Hei"/>
        <family val="2"/>
      </rPr>
      <t xml:space="preserve">） </t>
    </r>
    <r>
      <rPr>
        <sz val="10"/>
        <rFont val="Meiryo UI"/>
        <family val="0"/>
        <charset val="1"/>
      </rPr>
      <t xml:space="preserve">/ ntt</t>
    </r>
    <r>
      <rPr>
        <sz val="10"/>
        <rFont val="WenQuanYi Zen Hei"/>
        <family val="2"/>
      </rPr>
      <t xml:space="preserve">データ 最終面接 中途（</t>
    </r>
    <r>
      <rPr>
        <sz val="10"/>
        <rFont val="Meiryo UI"/>
        <family val="0"/>
        <charset val="1"/>
      </rPr>
      <t xml:space="preserve">5</t>
    </r>
    <r>
      <rPr>
        <sz val="10"/>
        <rFont val="WenQuanYi Zen Hei"/>
        <family val="2"/>
      </rPr>
      <t xml:space="preserve">表示・</t>
    </r>
    <r>
      <rPr>
        <sz val="10"/>
        <rFont val="Meiryo UI"/>
        <family val="0"/>
        <charset val="1"/>
      </rPr>
      <t xml:space="preserve">31.2</t>
    </r>
    <r>
      <rPr>
        <sz val="10"/>
        <rFont val="WenQuanYi Zen Hei"/>
        <family val="2"/>
      </rPr>
      <t xml:space="preserve">位・</t>
    </r>
    <r>
      <rPr>
        <sz val="10"/>
        <rFont val="Meiryo UI"/>
        <family val="0"/>
        <charset val="1"/>
      </rPr>
      <t xml:space="preserve">CTR20.0%</t>
    </r>
    <r>
      <rPr>
        <sz val="10"/>
        <rFont val="WenQuanYi Zen Hei"/>
        <family val="2"/>
      </rPr>
      <t xml:space="preserve">）</t>
    </r>
  </si>
  <si>
    <r>
      <rPr>
        <sz val="10"/>
        <rFont val="WenQuanYi Zen Hei"/>
        <family val="2"/>
      </rPr>
      <t xml:space="preserve">平均</t>
    </r>
    <r>
      <rPr>
        <sz val="10"/>
        <rFont val="Meiryo UI"/>
        <family val="0"/>
        <charset val="1"/>
      </rPr>
      <t xml:space="preserve">20.7</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ページ目以降。検索意図とのズレか、内容不足。取りこぼしクエリ：最終面接 即日内定（</t>
    </r>
    <r>
      <rPr>
        <sz val="10"/>
        <rFont val="Meiryo UI"/>
        <family val="0"/>
        <charset val="1"/>
      </rPr>
      <t xml:space="preserve">7</t>
    </r>
    <r>
      <rPr>
        <sz val="10"/>
        <rFont val="WenQuanYi Zen Hei"/>
        <family val="2"/>
      </rPr>
      <t xml:space="preserve">表示・</t>
    </r>
    <r>
      <rPr>
        <sz val="10"/>
        <rFont val="Meiryo UI"/>
        <family val="0"/>
        <charset val="1"/>
      </rPr>
      <t xml:space="preserve">9.1</t>
    </r>
    <r>
      <rPr>
        <sz val="10"/>
        <rFont val="WenQuanYi Zen Hei"/>
        <family val="2"/>
      </rPr>
      <t xml:space="preserve">位）。</t>
    </r>
  </si>
  <si>
    <r>
      <rPr>
        <sz val="10"/>
        <rFont val="WenQuanYi Zen Hei"/>
        <family val="2"/>
      </rPr>
      <t xml:space="preserve">【面接対策】競合相手：</t>
    </r>
    <r>
      <rPr>
        <sz val="10"/>
        <rFont val="Meiryo UI"/>
        <family val="0"/>
        <charset val="1"/>
      </rPr>
      <t xml:space="preserve">/2ji-mensetsu-taisaku-tensyoku-mikeiken/</t>
    </r>
    <r>
      <rPr>
        <sz val="10"/>
        <rFont val="WenQuanYi Zen Hei"/>
        <family val="2"/>
      </rPr>
      <t xml:space="preserve">、</t>
    </r>
    <r>
      <rPr>
        <sz val="10"/>
        <rFont val="Meiryo UI"/>
        <family val="0"/>
        <charset val="1"/>
      </rPr>
      <t xml:space="preserve">/it-tensyoku-mikeiken-1ji-mensetsu/</t>
    </r>
    <r>
      <rPr>
        <sz val="10"/>
        <rFont val="WenQuanYi Zen Hei"/>
        <family val="2"/>
      </rPr>
      <t xml:space="preserve">、</t>
    </r>
    <r>
      <rPr>
        <sz val="10"/>
        <rFont val="Meiryo UI"/>
        <family val="0"/>
        <charset val="1"/>
      </rPr>
      <t xml:space="preserve">/it-interview-points/</t>
    </r>
    <r>
      <rPr>
        <sz val="10"/>
        <rFont val="WenQuanYi Zen Hei"/>
        <family val="2"/>
      </rPr>
      <t xml:space="preserve">、</t>
    </r>
    <r>
      <rPr>
        <sz val="10"/>
        <rFont val="Meiryo UI"/>
        <family val="0"/>
        <charset val="1"/>
      </rPr>
      <t xml:space="preserve">/online-interview-tips-from-it-hr/</t>
    </r>
    <r>
      <rPr>
        <sz val="10"/>
        <rFont val="WenQuanYi Zen Hei"/>
        <family val="2"/>
      </rPr>
      <t xml:space="preserve">、</t>
    </r>
    <r>
      <rPr>
        <sz val="10"/>
        <rFont val="Meiryo UI"/>
        <family val="0"/>
        <charset val="1"/>
      </rPr>
      <t xml:space="preserve">/tensyoku-mensetsu-gyakushitsumon/</t>
    </r>
  </si>
  <si>
    <r>
      <rPr>
        <sz val="10"/>
        <rFont val="WenQuanYi Zen Hei"/>
        <family val="2"/>
      </rPr>
      <t xml:space="preserve">【差別化して残す】担当：最終面接の対策として残し、ハブと相互リンク。親記事（</t>
    </r>
    <r>
      <rPr>
        <sz val="10"/>
        <rFont val="Meiryo UI"/>
        <family val="0"/>
        <charset val="1"/>
      </rPr>
      <t xml:space="preserve">/2ji-mensetsu-taisaku-tensyoku-mikeiken/</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2</t>
    </r>
    <r>
      <rPr>
        <sz val="10"/>
        <rFont val="WenQuanYi Zen Hei"/>
        <family val="2"/>
      </rPr>
      <t xml:space="preserve">ページ目以降。上位記事の見出し構成と比べ、「最終面接 即日内定」への答えを冒頭に追加。網羅性を補っても上がらなければ統合を検討。</t>
    </r>
  </si>
  <si>
    <t xml:space="preserve">順位の改善が先。タイトルは「転職 最終面接 顔合わせ」を含む形に整える程度に。</t>
  </si>
  <si>
    <t xml:space="preserve">/online-interview-tips-from-it-hr/</t>
  </si>
  <si>
    <r>
      <rPr>
        <sz val="10"/>
        <rFont val="Meiryo UI"/>
        <family val="0"/>
        <charset val="1"/>
      </rPr>
      <t xml:space="preserve">3</t>
    </r>
    <r>
      <rPr>
        <sz val="10"/>
        <rFont val="WenQuanYi Zen Hei"/>
        <family val="2"/>
      </rPr>
      <t xml:space="preserve">か月の表示</t>
    </r>
    <r>
      <rPr>
        <sz val="10"/>
        <rFont val="Meiryo UI"/>
        <family val="0"/>
        <charset val="1"/>
      </rPr>
      <t xml:space="preserve">33</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</si>
  <si>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【面接対策】競合相手：</t>
    </r>
    <r>
      <rPr>
        <sz val="10"/>
        <rFont val="Meiryo UI"/>
        <family val="0"/>
        <charset val="1"/>
      </rPr>
      <t xml:space="preserve">/2ji-mensetsu-taisaku-tensyoku-mikeiken/</t>
    </r>
    <r>
      <rPr>
        <sz val="10"/>
        <rFont val="WenQuanYi Zen Hei"/>
        <family val="2"/>
      </rPr>
      <t xml:space="preserve">、</t>
    </r>
    <r>
      <rPr>
        <sz val="10"/>
        <rFont val="Meiryo UI"/>
        <family val="0"/>
        <charset val="1"/>
      </rPr>
      <t xml:space="preserve">/it-tensyoku-mikeiken-1ji-mensetsu/</t>
    </r>
    <r>
      <rPr>
        <sz val="10"/>
        <rFont val="WenQuanYi Zen Hei"/>
        <family val="2"/>
      </rPr>
      <t xml:space="preserve">、</t>
    </r>
    <r>
      <rPr>
        <sz val="10"/>
        <rFont val="Meiryo UI"/>
        <family val="0"/>
        <charset val="1"/>
      </rPr>
      <t xml:space="preserve">/it-tensyoku-saishu-mensetsu-taisaku/</t>
    </r>
    <r>
      <rPr>
        <sz val="10"/>
        <rFont val="WenQuanYi Zen Hei"/>
        <family val="2"/>
      </rPr>
      <t xml:space="preserve">、</t>
    </r>
    <r>
      <rPr>
        <sz val="10"/>
        <rFont val="Meiryo UI"/>
        <family val="0"/>
        <charset val="1"/>
      </rPr>
      <t xml:space="preserve">/it-interview-points/</t>
    </r>
    <r>
      <rPr>
        <sz val="10"/>
        <rFont val="WenQuanYi Zen Hei"/>
        <family val="2"/>
      </rPr>
      <t xml:space="preserve">、</t>
    </r>
    <r>
      <rPr>
        <sz val="10"/>
        <rFont val="Meiryo UI"/>
        <family val="0"/>
        <charset val="1"/>
      </rPr>
      <t xml:space="preserve">/tensyoku-mensetsu-gyakushitsumon/</t>
    </r>
  </si>
  <si>
    <r>
      <rPr>
        <sz val="10"/>
        <rFont val="WenQuanYi Zen Hei"/>
        <family val="2"/>
      </rPr>
      <t xml:space="preserve">【差別化して残す】担当：オンライン面接のコツとして残し、ハブと相互リンク。親記事（</t>
    </r>
    <r>
      <rPr>
        <sz val="10"/>
        <rFont val="Meiryo UI"/>
        <family val="0"/>
        <charset val="1"/>
      </rPr>
      <t xml:space="preserve">/2ji-mensetsu-taisaku-tensyoku-mikeiken/</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表示がほぼないため、①需要がない→内部リンク用として残す、②同テーマの記事に評価を取られている→統合、のどちらかを判断。追記は後回し。</t>
    </r>
  </si>
  <si>
    <t xml:space="preserve">/document-screening-1minute/</t>
  </si>
  <si>
    <r>
      <rPr>
        <sz val="10"/>
        <rFont val="Meiryo UI"/>
        <family val="0"/>
        <charset val="1"/>
      </rPr>
      <t xml:space="preserve">7.9</t>
    </r>
    <r>
      <rPr>
        <sz val="10"/>
        <rFont val="WenQuanYi Zen Hei"/>
        <family val="2"/>
      </rPr>
      <t xml:space="preserve">位・</t>
    </r>
    <r>
      <rPr>
        <sz val="10"/>
        <rFont val="Meiryo UI"/>
        <family val="0"/>
        <charset val="1"/>
      </rPr>
      <t xml:space="preserve">CTR0.0%</t>
    </r>
    <r>
      <rPr>
        <sz val="10"/>
        <rFont val="WenQuanYi Zen Hei"/>
        <family val="2"/>
      </rPr>
      <t xml:space="preserve">で水準並み以上。</t>
    </r>
  </si>
  <si>
    <t xml:space="preserve">/sier-consul-webkei-chigai/</t>
  </si>
  <si>
    <r>
      <rPr>
        <sz val="10"/>
        <rFont val="Meiryo UI"/>
        <family val="0"/>
        <charset val="1"/>
      </rPr>
      <t xml:space="preserve">sier </t>
    </r>
    <r>
      <rPr>
        <sz val="10"/>
        <rFont val="WenQuanYi Zen Hei"/>
        <family val="2"/>
      </rPr>
      <t xml:space="preserve">コンサル 違い（</t>
    </r>
    <r>
      <rPr>
        <sz val="10"/>
        <rFont val="Meiryo UI"/>
        <family val="0"/>
        <charset val="1"/>
      </rPr>
      <t xml:space="preserve">37</t>
    </r>
    <r>
      <rPr>
        <sz val="10"/>
        <rFont val="WenQuanYi Zen Hei"/>
        <family val="2"/>
      </rPr>
      <t xml:space="preserve">表示・</t>
    </r>
    <r>
      <rPr>
        <sz val="10"/>
        <rFont val="Meiryo UI"/>
        <family val="0"/>
        <charset val="1"/>
      </rPr>
      <t xml:space="preserve">29.8</t>
    </r>
    <r>
      <rPr>
        <sz val="10"/>
        <rFont val="WenQuanYi Zen Hei"/>
        <family val="2"/>
      </rPr>
      <t xml:space="preserve">位・</t>
    </r>
    <r>
      <rPr>
        <sz val="10"/>
        <rFont val="Meiryo UI"/>
        <family val="0"/>
        <charset val="1"/>
      </rPr>
      <t xml:space="preserve">CTR0.0%</t>
    </r>
    <r>
      <rPr>
        <sz val="10"/>
        <rFont val="WenQuanYi Zen Hei"/>
        <family val="2"/>
      </rPr>
      <t xml:space="preserve">）</t>
    </r>
  </si>
  <si>
    <r>
      <rPr>
        <sz val="10"/>
        <rFont val="WenQuanYi Zen Hei"/>
        <family val="2"/>
      </rPr>
      <t xml:space="preserve">平均</t>
    </r>
    <r>
      <rPr>
        <sz val="10"/>
        <rFont val="Meiryo UI"/>
        <family val="0"/>
        <charset val="1"/>
      </rPr>
      <t xml:space="preserve">24.9</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ページ目以降。検索意図とのズレか、内容不足。取りこぼしクエリ：</t>
    </r>
    <r>
      <rPr>
        <sz val="10"/>
        <rFont val="Meiryo UI"/>
        <family val="0"/>
        <charset val="1"/>
      </rPr>
      <t xml:space="preserve">sier </t>
    </r>
    <r>
      <rPr>
        <sz val="10"/>
        <rFont val="WenQuanYi Zen Hei"/>
        <family val="2"/>
      </rPr>
      <t xml:space="preserve">コンサル 違い（</t>
    </r>
    <r>
      <rPr>
        <sz val="10"/>
        <rFont val="Meiryo UI"/>
        <family val="0"/>
        <charset val="1"/>
      </rPr>
      <t xml:space="preserve">37</t>
    </r>
    <r>
      <rPr>
        <sz val="10"/>
        <rFont val="WenQuanYi Zen Hei"/>
        <family val="2"/>
      </rPr>
      <t xml:space="preserve">表示・</t>
    </r>
    <r>
      <rPr>
        <sz val="10"/>
        <rFont val="Meiryo UI"/>
        <family val="0"/>
        <charset val="1"/>
      </rPr>
      <t xml:space="preserve">29.8</t>
    </r>
    <r>
      <rPr>
        <sz val="10"/>
        <rFont val="WenQuanYi Zen Hei"/>
        <family val="2"/>
      </rPr>
      <t xml:space="preserve">位）。</t>
    </r>
  </si>
  <si>
    <r>
      <rPr>
        <sz val="10"/>
        <rFont val="WenQuanYi Zen Hei"/>
        <family val="2"/>
      </rPr>
      <t xml:space="preserve">【</t>
    </r>
    <r>
      <rPr>
        <sz val="10"/>
        <rFont val="Meiryo UI"/>
        <family val="0"/>
        <charset val="1"/>
      </rPr>
      <t xml:space="preserve">SIer</t>
    </r>
    <r>
      <rPr>
        <sz val="10"/>
        <rFont val="WenQuanYi Zen Hei"/>
        <family val="2"/>
      </rPr>
      <t xml:space="preserve">比較】競合相手：</t>
    </r>
    <r>
      <rPr>
        <sz val="10"/>
        <rFont val="Meiryo UI"/>
        <family val="0"/>
        <charset val="1"/>
      </rPr>
      <t xml:space="preserve">/major-sier-6-comparison/</t>
    </r>
    <r>
      <rPr>
        <sz val="10"/>
        <rFont val="WenQuanYi Zen Hei"/>
        <family val="2"/>
      </rPr>
      <t xml:space="preserve">、</t>
    </r>
    <r>
      <rPr>
        <sz val="10"/>
        <rFont val="Meiryo UI"/>
        <family val="0"/>
        <charset val="1"/>
      </rPr>
      <t xml:space="preserve">/sier-tensyoku-jittai/</t>
    </r>
  </si>
  <si>
    <r>
      <rPr>
        <sz val="10"/>
        <rFont val="Meiryo UI"/>
        <family val="0"/>
        <charset val="1"/>
      </rPr>
      <t xml:space="preserve">2</t>
    </r>
    <r>
      <rPr>
        <sz val="10"/>
        <rFont val="WenQuanYi Zen Hei"/>
        <family val="2"/>
      </rPr>
      <t xml:space="preserve">ページ目以降。上位記事の見出し構成と比べ、「</t>
    </r>
    <r>
      <rPr>
        <sz val="10"/>
        <rFont val="Meiryo UI"/>
        <family val="0"/>
        <charset val="1"/>
      </rPr>
      <t xml:space="preserve">sier </t>
    </r>
    <r>
      <rPr>
        <sz val="10"/>
        <rFont val="WenQuanYi Zen Hei"/>
        <family val="2"/>
      </rPr>
      <t xml:space="preserve">コンサル 違い」への答えを冒頭に追加。網羅性を補っても上がらなければ統合を検討。</t>
    </r>
  </si>
  <si>
    <r>
      <rPr>
        <sz val="10"/>
        <rFont val="WenQuanYi Zen Hei"/>
        <family val="2"/>
      </rPr>
      <t xml:space="preserve">順位の改善が先。タイトルは「</t>
    </r>
    <r>
      <rPr>
        <sz val="10"/>
        <rFont val="Meiryo UI"/>
        <family val="0"/>
        <charset val="1"/>
      </rPr>
      <t xml:space="preserve">sier </t>
    </r>
    <r>
      <rPr>
        <sz val="10"/>
        <rFont val="WenQuanYi Zen Hei"/>
        <family val="2"/>
      </rPr>
      <t xml:space="preserve">コンサル 違い」を含む形に整える程度に。</t>
    </r>
  </si>
  <si>
    <r>
      <rPr>
        <sz val="10"/>
        <rFont val="WenQuanYi Zen Hei"/>
        <family val="2"/>
      </rPr>
      <t xml:space="preserve">一覧表・ランキングの直後に「自分の経験でどの</t>
    </r>
    <r>
      <rPr>
        <sz val="10"/>
        <rFont val="Meiryo UI"/>
        <family val="0"/>
        <charset val="1"/>
      </rPr>
      <t xml:space="preserve">Tier</t>
    </r>
    <r>
      <rPr>
        <sz val="10"/>
        <rFont val="WenQuanYi Zen Hei"/>
        <family val="2"/>
      </rPr>
      <t xml:space="preserve">に入れるかはスカウトを受けると分かる」→</t>
    </r>
    <r>
      <rPr>
        <sz val="10"/>
        <rFont val="Meiryo UI"/>
        <family val="0"/>
        <charset val="1"/>
      </rPr>
      <t xml:space="preserve">Geekly(A8)</t>
    </r>
    <r>
      <rPr>
        <sz val="10"/>
        <rFont val="WenQuanYi Zen Hei"/>
        <family val="2"/>
      </rPr>
      <t xml:space="preserve">。</t>
    </r>
  </si>
  <si>
    <t xml:space="preserve">/kyuujinhyou-aimai-hyougen-black/</t>
  </si>
  <si>
    <r>
      <rPr>
        <sz val="10"/>
        <rFont val="Meiryo UI"/>
        <family val="0"/>
        <charset val="1"/>
      </rPr>
      <t xml:space="preserve">3</t>
    </r>
    <r>
      <rPr>
        <sz val="10"/>
        <rFont val="WenQuanYi Zen Hei"/>
        <family val="2"/>
      </rPr>
      <t xml:space="preserve">か月の表示</t>
    </r>
    <r>
      <rPr>
        <sz val="10"/>
        <rFont val="Meiryo UI"/>
        <family val="0"/>
        <charset val="1"/>
      </rPr>
      <t xml:space="preserve">17</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</si>
  <si>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【求人票の危険ワード】競合相手：</t>
    </r>
    <r>
      <rPr>
        <sz val="10"/>
        <rFont val="Meiryo UI"/>
        <family val="0"/>
        <charset val="1"/>
      </rPr>
      <t xml:space="preserve">/athome-kyujin-black-tensyoku/</t>
    </r>
    <r>
      <rPr>
        <sz val="10"/>
        <rFont val="WenQuanYi Zen Hei"/>
        <family val="2"/>
      </rPr>
      <t xml:space="preserve">、</t>
    </r>
    <r>
      <rPr>
        <sz val="10"/>
        <rFont val="Meiryo UI"/>
        <family val="0"/>
        <charset val="1"/>
      </rPr>
      <t xml:space="preserve">/annual-holidays-few-job-posting-warning/</t>
    </r>
    <r>
      <rPr>
        <sz val="10"/>
        <rFont val="WenQuanYi Zen Hei"/>
        <family val="2"/>
      </rPr>
      <t xml:space="preserve">、</t>
    </r>
    <r>
      <rPr>
        <sz val="10"/>
        <rFont val="Meiryo UI"/>
        <family val="0"/>
        <charset val="1"/>
      </rPr>
      <t xml:space="preserve">/tairyo-boshu-kyujin-black-kigyo/</t>
    </r>
    <r>
      <rPr>
        <sz val="10"/>
        <rFont val="WenQuanYi Zen Hei"/>
        <family val="2"/>
      </rPr>
      <t xml:space="preserve">、</t>
    </r>
    <r>
      <rPr>
        <sz val="10"/>
        <rFont val="Meiryo UI"/>
        <family val="0"/>
        <charset val="1"/>
      </rPr>
      <t xml:space="preserve">/kanbu-kouho-kyuujin-black/</t>
    </r>
    <r>
      <rPr>
        <sz val="10"/>
        <rFont val="WenQuanYi Zen Hei"/>
        <family val="2"/>
      </rPr>
      <t xml:space="preserve">、</t>
    </r>
    <r>
      <rPr>
        <sz val="10"/>
        <rFont val="Meiryo UI"/>
        <family val="0"/>
        <charset val="1"/>
      </rPr>
      <t xml:space="preserve">/job-posting-high-salary-black-company-warning/</t>
    </r>
  </si>
  <si>
    <t xml:space="preserve">/kibotaishoku-oujirubeki-ka/</t>
  </si>
  <si>
    <r>
      <rPr>
        <sz val="10"/>
        <rFont val="Meiryo UI"/>
        <family val="0"/>
        <charset val="1"/>
      </rPr>
      <t xml:space="preserve">3</t>
    </r>
    <r>
      <rPr>
        <sz val="10"/>
        <rFont val="WenQuanYi Zen Hei"/>
        <family val="2"/>
      </rPr>
      <t xml:space="preserve">か月の表示</t>
    </r>
    <r>
      <rPr>
        <sz val="10"/>
        <rFont val="Meiryo UI"/>
        <family val="0"/>
        <charset val="1"/>
      </rPr>
      <t xml:space="preserve">16</t>
    </r>
    <r>
      <rPr>
        <sz val="10"/>
        <rFont val="WenQuanYi Zen Hei"/>
        <family val="2"/>
      </rPr>
      <t xml:space="preserve">回でほぼ評価されていない。検索需要が小さいか、同テーマの他記事に評価を取られている。</t>
    </r>
  </si>
  <si>
    <t xml:space="preserve">/it-interview-points/</t>
  </si>
  <si>
    <r>
      <rPr>
        <sz val="10"/>
        <rFont val="Meiryo UI"/>
        <family val="0"/>
        <charset val="1"/>
      </rPr>
      <t xml:space="preserve">3</t>
    </r>
    <r>
      <rPr>
        <sz val="10"/>
        <rFont val="WenQuanYi Zen Hei"/>
        <family val="2"/>
      </rPr>
      <t xml:space="preserve">か月の表示</t>
    </r>
    <r>
      <rPr>
        <sz val="10"/>
        <rFont val="Meiryo UI"/>
        <family val="0"/>
        <charset val="1"/>
      </rPr>
      <t xml:space="preserve">7</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</si>
  <si>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【面接対策】競合相手：</t>
    </r>
    <r>
      <rPr>
        <sz val="10"/>
        <rFont val="Meiryo UI"/>
        <family val="0"/>
        <charset val="1"/>
      </rPr>
      <t xml:space="preserve">/2ji-mensetsu-taisaku-tensyoku-mikeiken/</t>
    </r>
    <r>
      <rPr>
        <sz val="10"/>
        <rFont val="WenQuanYi Zen Hei"/>
        <family val="2"/>
      </rPr>
      <t xml:space="preserve">、</t>
    </r>
    <r>
      <rPr>
        <sz val="10"/>
        <rFont val="Meiryo UI"/>
        <family val="0"/>
        <charset val="1"/>
      </rPr>
      <t xml:space="preserve">/it-tensyoku-mikeiken-1ji-mensetsu/</t>
    </r>
    <r>
      <rPr>
        <sz val="10"/>
        <rFont val="WenQuanYi Zen Hei"/>
        <family val="2"/>
      </rPr>
      <t xml:space="preserve">、</t>
    </r>
    <r>
      <rPr>
        <sz val="10"/>
        <rFont val="Meiryo UI"/>
        <family val="0"/>
        <charset val="1"/>
      </rPr>
      <t xml:space="preserve">/it-tensyoku-saishu-mensetsu-taisaku/</t>
    </r>
    <r>
      <rPr>
        <sz val="10"/>
        <rFont val="WenQuanYi Zen Hei"/>
        <family val="2"/>
      </rPr>
      <t xml:space="preserve">、</t>
    </r>
    <r>
      <rPr>
        <sz val="10"/>
        <rFont val="Meiryo UI"/>
        <family val="0"/>
        <charset val="1"/>
      </rPr>
      <t xml:space="preserve">/online-interview-tips-from-it-hr/</t>
    </r>
    <r>
      <rPr>
        <sz val="10"/>
        <rFont val="WenQuanYi Zen Hei"/>
        <family val="2"/>
      </rPr>
      <t xml:space="preserve">、</t>
    </r>
    <r>
      <rPr>
        <sz val="10"/>
        <rFont val="Meiryo UI"/>
        <family val="0"/>
        <charset val="1"/>
      </rPr>
      <t xml:space="preserve">/tensyoku-mensetsu-gyakushitsumon/</t>
    </r>
  </si>
  <si>
    <r>
      <rPr>
        <sz val="10"/>
        <rFont val="WenQuanYi Zen Hei"/>
        <family val="2"/>
      </rPr>
      <t xml:space="preserve">【統合対象】</t>
    </r>
    <r>
      <rPr>
        <sz val="10"/>
        <rFont val="Meiryo UI"/>
        <family val="0"/>
        <charset val="1"/>
      </rPr>
      <t xml:space="preserve">/2ji-mensetsu-taisaku-tensyoku-mikeiken/</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IT</t>
    </r>
    <r>
      <rPr>
        <sz val="10"/>
        <rFont val="WenQuanYi Zen Hei"/>
        <family val="2"/>
      </rPr>
      <t xml:space="preserve">転職の面接対策」ハブ記事を作り（または</t>
    </r>
    <r>
      <rPr>
        <sz val="10"/>
        <rFont val="Meiryo UI"/>
        <family val="0"/>
        <charset val="1"/>
      </rPr>
      <t xml:space="preserve">2ji-mensetsu</t>
    </r>
    <r>
      <rPr>
        <sz val="10"/>
        <rFont val="WenQuanYi Zen Hei"/>
        <family val="2"/>
      </rPr>
      <t xml:space="preserve">を親に）、一次・二次・最終・逆質問・オンラインを章立てで統合または相互リンク。）</t>
    </r>
  </si>
  <si>
    <t xml:space="preserve">/it-tenshoku-taishoku-tsutaekata/</t>
  </si>
  <si>
    <t xml:space="preserve">退職</t>
  </si>
  <si>
    <r>
      <rPr>
        <sz val="10"/>
        <rFont val="Meiryo UI"/>
        <family val="0"/>
        <charset val="1"/>
      </rPr>
      <t xml:space="preserve">3</t>
    </r>
    <r>
      <rPr>
        <sz val="10"/>
        <rFont val="WenQuanYi Zen Hei"/>
        <family val="2"/>
      </rPr>
      <t xml:space="preserve">か月の表示</t>
    </r>
    <r>
      <rPr>
        <sz val="10"/>
        <rFont val="Meiryo UI"/>
        <family val="0"/>
        <charset val="1"/>
      </rPr>
      <t xml:space="preserve">8</t>
    </r>
    <r>
      <rPr>
        <sz val="10"/>
        <rFont val="WenQuanYi Zen Hei"/>
        <family val="2"/>
      </rPr>
      <t xml:space="preserve">回でほぼ評価されていない。検索需要が小さいか、同テーマの他記事に評価を取られている。</t>
    </r>
  </si>
  <si>
    <t xml:space="preserve">/tensyoku-riyu-negative/</t>
  </si>
  <si>
    <r>
      <rPr>
        <sz val="10"/>
        <rFont val="Meiryo UI"/>
        <family val="0"/>
        <charset val="1"/>
      </rPr>
      <t xml:space="preserve">3</t>
    </r>
    <r>
      <rPr>
        <sz val="10"/>
        <rFont val="WenQuanYi Zen Hei"/>
        <family val="2"/>
      </rPr>
      <t xml:space="preserve">か月の表示</t>
    </r>
    <r>
      <rPr>
        <sz val="10"/>
        <rFont val="Meiryo UI"/>
        <family val="0"/>
        <charset val="1"/>
      </rPr>
      <t xml:space="preserve">29</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</si>
  <si>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【転職理由】競合相手：</t>
    </r>
    <r>
      <rPr>
        <sz val="10"/>
        <rFont val="Meiryo UI"/>
        <family val="0"/>
        <charset val="1"/>
      </rPr>
      <t xml:space="preserve">/tensyoku-riyu-mensetsu-tsutaekata/</t>
    </r>
  </si>
  <si>
    <r>
      <rPr>
        <sz val="10"/>
        <rFont val="WenQuanYi Zen Hei"/>
        <family val="2"/>
      </rPr>
      <t xml:space="preserve">【統合対象】</t>
    </r>
    <r>
      <rPr>
        <sz val="10"/>
        <rFont val="Meiryo UI"/>
        <family val="0"/>
        <charset val="1"/>
      </rPr>
      <t xml:space="preserve">/tensyoku-riyu-mensetsu-tsutaekata/</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negative</t>
    </r>
    <r>
      <rPr>
        <sz val="10"/>
        <rFont val="WenQuanYi Zen Hei"/>
        <family val="2"/>
      </rPr>
      <t xml:space="preserve">を</t>
    </r>
    <r>
      <rPr>
        <sz val="10"/>
        <rFont val="Meiryo UI"/>
        <family val="0"/>
        <charset val="1"/>
      </rPr>
      <t xml:space="preserve">tsutaekata</t>
    </r>
    <r>
      <rPr>
        <sz val="10"/>
        <rFont val="WenQuanYi Zen Hei"/>
        <family val="2"/>
      </rPr>
      <t xml:space="preserve">へ統合（</t>
    </r>
    <r>
      <rPr>
        <sz val="10"/>
        <rFont val="Meiryo UI"/>
        <family val="0"/>
        <charset val="1"/>
      </rPr>
      <t xml:space="preserve">301</t>
    </r>
    <r>
      <rPr>
        <sz val="10"/>
        <rFont val="WenQuanYi Zen Hei"/>
        <family val="2"/>
      </rPr>
      <t xml:space="preserve">）。）</t>
    </r>
  </si>
  <si>
    <t xml:space="preserve">/ai-jidai-engineer-skill/</t>
  </si>
  <si>
    <r>
      <rPr>
        <sz val="10"/>
        <rFont val="Meiryo UI"/>
        <family val="0"/>
        <charset val="1"/>
      </rPr>
      <t xml:space="preserve">3</t>
    </r>
    <r>
      <rPr>
        <sz val="10"/>
        <rFont val="WenQuanYi Zen Hei"/>
        <family val="2"/>
      </rPr>
      <t xml:space="preserve">か月の表示</t>
    </r>
    <r>
      <rPr>
        <sz val="10"/>
        <rFont val="Meiryo UI"/>
        <family val="0"/>
        <charset val="1"/>
      </rPr>
      <t xml:space="preserve">32</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</si>
  <si>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t>
    </r>
    <r>
      <rPr>
        <sz val="10"/>
        <rFont val="Meiryo UI"/>
        <family val="0"/>
        <charset val="1"/>
      </rPr>
      <t xml:space="preserve">AI</t>
    </r>
    <r>
      <rPr>
        <sz val="10"/>
        <rFont val="WenQuanYi Zen Hei"/>
        <family val="2"/>
      </rPr>
      <t xml:space="preserve">時代のキャリア】競合相手：</t>
    </r>
    <r>
      <rPr>
        <sz val="10"/>
        <rFont val="Meiryo UI"/>
        <family val="0"/>
        <charset val="1"/>
      </rPr>
      <t xml:space="preserve">/engineer-ai-nakunaru/</t>
    </r>
    <r>
      <rPr>
        <sz val="10"/>
        <rFont val="WenQuanYi Zen Hei"/>
        <family val="2"/>
      </rPr>
      <t xml:space="preserve">、</t>
    </r>
    <r>
      <rPr>
        <sz val="10"/>
        <rFont val="Meiryo UI"/>
        <family val="0"/>
        <charset val="1"/>
      </rPr>
      <t xml:space="preserve">/engineer-touta-ikinokoru/</t>
    </r>
  </si>
  <si>
    <r>
      <rPr>
        <sz val="10"/>
        <rFont val="WenQuanYi Zen Hei"/>
        <family val="2"/>
      </rPr>
      <t xml:space="preserve">【統合対象】</t>
    </r>
    <r>
      <rPr>
        <sz val="10"/>
        <rFont val="Meiryo UI"/>
        <family val="0"/>
        <charset val="1"/>
      </rPr>
      <t xml:space="preserve">/engineer-ai-nakunaru/</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engineer-ai-nakunaru</t>
    </r>
    <r>
      <rPr>
        <sz val="10"/>
        <rFont val="WenQuanYi Zen Hei"/>
        <family val="2"/>
      </rPr>
      <t xml:space="preserve">を親に、</t>
    </r>
    <r>
      <rPr>
        <sz val="10"/>
        <rFont val="Meiryo UI"/>
        <family val="0"/>
        <charset val="1"/>
      </rPr>
      <t xml:space="preserve">skill</t>
    </r>
    <r>
      <rPr>
        <sz val="10"/>
        <rFont val="WenQuanYi Zen Hei"/>
        <family val="2"/>
      </rPr>
      <t xml:space="preserve">・</t>
    </r>
    <r>
      <rPr>
        <sz val="10"/>
        <rFont val="Meiryo UI"/>
        <family val="0"/>
        <charset val="1"/>
      </rPr>
      <t xml:space="preserve">touta-ikinokoru</t>
    </r>
    <r>
      <rPr>
        <sz val="10"/>
        <rFont val="WenQuanYi Zen Hei"/>
        <family val="2"/>
      </rPr>
      <t xml:space="preserve">を統合または差別化。）</t>
    </r>
  </si>
  <si>
    <t xml:space="preserve">/sier-ses-docchi/</t>
  </si>
  <si>
    <r>
      <rPr>
        <sz val="10"/>
        <rFont val="WenQuanYi Zen Hei"/>
        <family val="2"/>
      </rPr>
      <t xml:space="preserve">平均</t>
    </r>
    <r>
      <rPr>
        <sz val="10"/>
        <rFont val="Meiryo UI"/>
        <family val="0"/>
        <charset val="1"/>
      </rPr>
      <t xml:space="preserve">20.4</t>
    </r>
    <r>
      <rPr>
        <sz val="10"/>
        <rFont val="WenQuanYi Zen Hei"/>
        <family val="2"/>
      </rPr>
      <t xml:space="preserve">位で</t>
    </r>
    <r>
      <rPr>
        <sz val="10"/>
        <rFont val="Meiryo UI"/>
        <family val="0"/>
        <charset val="1"/>
      </rPr>
      <t xml:space="preserve">2</t>
    </r>
    <r>
      <rPr>
        <sz val="10"/>
        <rFont val="WenQuanYi Zen Hei"/>
        <family val="2"/>
      </rPr>
      <t xml:space="preserve">ページ目以降。検索意図とのズレか、内容不足。</t>
    </r>
  </si>
  <si>
    <r>
      <rPr>
        <sz val="10"/>
        <rFont val="WenQuanYi Zen Hei"/>
        <family val="2"/>
      </rPr>
      <t xml:space="preserve">【</t>
    </r>
    <r>
      <rPr>
        <sz val="10"/>
        <rFont val="Meiryo UI"/>
        <family val="0"/>
        <charset val="1"/>
      </rPr>
      <t xml:space="preserve">SES</t>
    </r>
    <r>
      <rPr>
        <sz val="10"/>
        <rFont val="WenQuanYi Zen Hei"/>
        <family val="2"/>
      </rPr>
      <t xml:space="preserve">】競合相手：</t>
    </r>
    <r>
      <rPr>
        <sz val="10"/>
        <rFont val="Meiryo UI"/>
        <family val="0"/>
        <charset val="1"/>
      </rPr>
      <t xml:space="preserve">/ses-syoryu-toritekiho-tenshoku/</t>
    </r>
    <r>
      <rPr>
        <sz val="10"/>
        <rFont val="WenQuanYi Zen Hei"/>
        <family val="2"/>
      </rPr>
      <t xml:space="preserve">、</t>
    </r>
    <r>
      <rPr>
        <sz val="10"/>
        <rFont val="Meiryo UI"/>
        <family val="0"/>
        <charset val="1"/>
      </rPr>
      <t xml:space="preserve">/ses-kigyou-miwakekata-erabikata/</t>
    </r>
    <r>
      <rPr>
        <sz val="10"/>
        <rFont val="WenQuanYi Zen Hei"/>
        <family val="2"/>
      </rPr>
      <t xml:space="preserve">、</t>
    </r>
    <r>
      <rPr>
        <sz val="10"/>
        <rFont val="Meiryo UI"/>
        <family val="0"/>
        <charset val="1"/>
      </rPr>
      <t xml:space="preserve">/seishain-haken-ses-chigai/</t>
    </r>
  </si>
  <si>
    <r>
      <rPr>
        <sz val="10"/>
        <rFont val="WenQuanYi Zen Hei"/>
        <family val="2"/>
      </rPr>
      <t xml:space="preserve">【差別化して残す】担当：</t>
    </r>
    <r>
      <rPr>
        <sz val="10"/>
        <rFont val="Meiryo UI"/>
        <family val="0"/>
        <charset val="1"/>
      </rPr>
      <t xml:space="preserve">SIer</t>
    </r>
    <r>
      <rPr>
        <sz val="10"/>
        <rFont val="WenQuanYi Zen Hei"/>
        <family val="2"/>
      </rPr>
      <t xml:space="preserve">と</t>
    </r>
    <r>
      <rPr>
        <sz val="10"/>
        <rFont val="Meiryo UI"/>
        <family val="0"/>
        <charset val="1"/>
      </rPr>
      <t xml:space="preserve">SES</t>
    </r>
    <r>
      <rPr>
        <sz val="10"/>
        <rFont val="WenQuanYi Zen Hei"/>
        <family val="2"/>
      </rPr>
      <t xml:space="preserve">どっちに行くべきかだけを担当。親記事（</t>
    </r>
    <r>
      <rPr>
        <sz val="10"/>
        <rFont val="Meiryo UI"/>
        <family val="0"/>
        <charset val="1"/>
      </rPr>
      <t xml:space="preserve">/ses-kigyou-miwakekata-erabikata/</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2</t>
    </r>
    <r>
      <rPr>
        <sz val="10"/>
        <rFont val="WenQuanYi Zen Hei"/>
        <family val="2"/>
      </rPr>
      <t xml:space="preserve">ページ目以降。上位記事の見出し構成と比べ、記事の主要キーワード（</t>
    </r>
    <r>
      <rPr>
        <sz val="10"/>
        <rFont val="Meiryo UI"/>
        <family val="0"/>
        <charset val="1"/>
      </rPr>
      <t xml:space="preserve">GSC</t>
    </r>
    <r>
      <rPr>
        <sz val="10"/>
        <rFont val="WenQuanYi Zen Hei"/>
        <family val="2"/>
      </rPr>
      <t xml:space="preserve">で記事</t>
    </r>
    <r>
      <rPr>
        <sz val="10"/>
        <rFont val="Meiryo UI"/>
        <family val="0"/>
        <charset val="1"/>
      </rPr>
      <t xml:space="preserve">URL</t>
    </r>
    <r>
      <rPr>
        <sz val="10"/>
        <rFont val="WenQuanYi Zen Hei"/>
        <family val="2"/>
      </rPr>
      <t xml:space="preserve">を絞り込んで表示クエリを確認）への答えを冒頭に追加。網羅性を補っても上がらなければ統合を検討。</t>
    </r>
  </si>
  <si>
    <t xml:space="preserve">/tensyoku-kaisuu-ooi-furi/</t>
  </si>
  <si>
    <t xml:space="preserve">転職回数</t>
  </si>
  <si>
    <t xml:space="preserve">/sier-tensyoku-jittai/</t>
  </si>
  <si>
    <r>
      <rPr>
        <sz val="10"/>
        <rFont val="WenQuanYi Zen Hei"/>
        <family val="2"/>
      </rPr>
      <t xml:space="preserve">【</t>
    </r>
    <r>
      <rPr>
        <sz val="10"/>
        <rFont val="Meiryo UI"/>
        <family val="0"/>
        <charset val="1"/>
      </rPr>
      <t xml:space="preserve">SIer</t>
    </r>
    <r>
      <rPr>
        <sz val="10"/>
        <rFont val="WenQuanYi Zen Hei"/>
        <family val="2"/>
      </rPr>
      <t xml:space="preserve">比較】競合相手：</t>
    </r>
    <r>
      <rPr>
        <sz val="10"/>
        <rFont val="Meiryo UI"/>
        <family val="0"/>
        <charset val="1"/>
      </rPr>
      <t xml:space="preserve">/major-sier-6-comparison/</t>
    </r>
    <r>
      <rPr>
        <sz val="10"/>
        <rFont val="WenQuanYi Zen Hei"/>
        <family val="2"/>
      </rPr>
      <t xml:space="preserve">、</t>
    </r>
    <r>
      <rPr>
        <sz val="10"/>
        <rFont val="Meiryo UI"/>
        <family val="0"/>
        <charset val="1"/>
      </rPr>
      <t xml:space="preserve">/sier-consul-webkei-chigai/</t>
    </r>
  </si>
  <si>
    <t xml:space="preserve">/otsuka-shokai-tenshoku-kitsui/</t>
  </si>
  <si>
    <r>
      <rPr>
        <sz val="10"/>
        <rFont val="WenQuanYi Zen Hei"/>
        <family val="2"/>
      </rPr>
      <t xml:space="preserve">大塚商会 転勤（</t>
    </r>
    <r>
      <rPr>
        <sz val="10"/>
        <rFont val="Meiryo UI"/>
        <family val="0"/>
        <charset val="1"/>
      </rPr>
      <t xml:space="preserve">68</t>
    </r>
    <r>
      <rPr>
        <sz val="10"/>
        <rFont val="WenQuanYi Zen Hei"/>
        <family val="2"/>
      </rPr>
      <t xml:space="preserve">表示・</t>
    </r>
    <r>
      <rPr>
        <sz val="10"/>
        <rFont val="Meiryo UI"/>
        <family val="0"/>
        <charset val="1"/>
      </rPr>
      <t xml:space="preserve">9.2</t>
    </r>
    <r>
      <rPr>
        <sz val="10"/>
        <rFont val="WenQuanYi Zen Hei"/>
        <family val="2"/>
      </rPr>
      <t xml:space="preserve">位・</t>
    </r>
    <r>
      <rPr>
        <sz val="10"/>
        <rFont val="Meiryo UI"/>
        <family val="0"/>
        <charset val="1"/>
      </rPr>
      <t xml:space="preserve">CTR0.0%</t>
    </r>
    <r>
      <rPr>
        <sz val="10"/>
        <rFont val="WenQuanYi Zen Hei"/>
        <family val="2"/>
      </rPr>
      <t xml:space="preserve">） </t>
    </r>
    <r>
      <rPr>
        <sz val="10"/>
        <rFont val="Meiryo UI"/>
        <family val="0"/>
        <charset val="1"/>
      </rPr>
      <t xml:space="preserve">/ </t>
    </r>
    <r>
      <rPr>
        <sz val="10"/>
        <rFont val="WenQuanYi Zen Hei"/>
        <family val="2"/>
      </rPr>
      <t xml:space="preserve">大塚商会 </t>
    </r>
    <r>
      <rPr>
        <sz val="10"/>
        <rFont val="Meiryo UI"/>
        <family val="0"/>
        <charset val="1"/>
      </rPr>
      <t xml:space="preserve">se </t>
    </r>
    <r>
      <rPr>
        <sz val="10"/>
        <rFont val="WenQuanYi Zen Hei"/>
        <family val="2"/>
      </rPr>
      <t xml:space="preserve">激務（</t>
    </r>
    <r>
      <rPr>
        <sz val="10"/>
        <rFont val="Meiryo UI"/>
        <family val="0"/>
        <charset val="1"/>
      </rPr>
      <t xml:space="preserve">26</t>
    </r>
    <r>
      <rPr>
        <sz val="10"/>
        <rFont val="WenQuanYi Zen Hei"/>
        <family val="2"/>
      </rPr>
      <t xml:space="preserve">表示・</t>
    </r>
    <r>
      <rPr>
        <sz val="10"/>
        <rFont val="Meiryo UI"/>
        <family val="0"/>
        <charset val="1"/>
      </rPr>
      <t xml:space="preserve">6.2</t>
    </r>
    <r>
      <rPr>
        <sz val="10"/>
        <rFont val="WenQuanYi Zen Hei"/>
        <family val="2"/>
      </rPr>
      <t xml:space="preserve">位・</t>
    </r>
    <r>
      <rPr>
        <sz val="10"/>
        <rFont val="Meiryo UI"/>
        <family val="0"/>
        <charset val="1"/>
      </rPr>
      <t xml:space="preserve">CTR3.9%</t>
    </r>
    <r>
      <rPr>
        <sz val="10"/>
        <rFont val="WenQuanYi Zen Hei"/>
        <family val="2"/>
      </rPr>
      <t xml:space="preserve">）</t>
    </r>
  </si>
  <si>
    <r>
      <rPr>
        <sz val="10"/>
        <rFont val="Meiryo UI"/>
        <family val="0"/>
        <charset val="1"/>
      </rPr>
      <t xml:space="preserve">9.6</t>
    </r>
    <r>
      <rPr>
        <sz val="10"/>
        <rFont val="WenQuanYi Zen Hei"/>
        <family val="2"/>
      </rPr>
      <t xml:space="preserve">位で</t>
    </r>
    <r>
      <rPr>
        <sz val="10"/>
        <rFont val="Meiryo UI"/>
        <family val="0"/>
        <charset val="1"/>
      </rPr>
      <t xml:space="preserve">CTR1.1%</t>
    </r>
    <r>
      <rPr>
        <sz val="10"/>
        <rFont val="WenQuanYi Zen Hei"/>
        <family val="2"/>
      </rPr>
      <t xml:space="preserve">（同順位の目標</t>
    </r>
    <r>
      <rPr>
        <sz val="10"/>
        <rFont val="Meiryo UI"/>
        <family val="0"/>
        <charset val="1"/>
      </rPr>
      <t xml:space="preserve">4%</t>
    </r>
    <r>
      <rPr>
        <sz val="10"/>
        <rFont val="WenQuanYi Zen Hei"/>
        <family val="2"/>
      </rPr>
      <t xml:space="preserve">を大きく下回る）。タイトル・説明文が検索意図に合っていない可能性。直近</t>
    </r>
    <r>
      <rPr>
        <sz val="10"/>
        <rFont val="Meiryo UI"/>
        <family val="0"/>
        <charset val="1"/>
      </rPr>
      <t xml:space="preserve">28</t>
    </r>
    <r>
      <rPr>
        <sz val="10"/>
        <rFont val="WenQuanYi Zen Hei"/>
        <family val="2"/>
      </rPr>
      <t xml:space="preserve">日は検索結果に表示されていない（評価が他記事に移った可能性）。取りこぼしクエリ：大塚商会 転勤（</t>
    </r>
    <r>
      <rPr>
        <sz val="10"/>
        <rFont val="Meiryo UI"/>
        <family val="0"/>
        <charset val="1"/>
      </rPr>
      <t xml:space="preserve">68</t>
    </r>
    <r>
      <rPr>
        <sz val="10"/>
        <rFont val="WenQuanYi Zen Hei"/>
        <family val="2"/>
      </rPr>
      <t xml:space="preserve">表示・</t>
    </r>
    <r>
      <rPr>
        <sz val="10"/>
        <rFont val="Meiryo UI"/>
        <family val="0"/>
        <charset val="1"/>
      </rPr>
      <t xml:space="preserve">9.2</t>
    </r>
    <r>
      <rPr>
        <sz val="10"/>
        <rFont val="WenQuanYi Zen Hei"/>
        <family val="2"/>
      </rPr>
      <t xml:space="preserve">位）。</t>
    </r>
  </si>
  <si>
    <r>
      <rPr>
        <sz val="10"/>
        <rFont val="WenQuanYi Zen Hei"/>
        <family val="2"/>
      </rPr>
      <t xml:space="preserve">順位は</t>
    </r>
    <r>
      <rPr>
        <sz val="10"/>
        <rFont val="Meiryo UI"/>
        <family val="0"/>
        <charset val="1"/>
      </rPr>
      <t xml:space="preserve">1</t>
    </r>
    <r>
      <rPr>
        <sz val="10"/>
        <rFont val="WenQuanYi Zen Hei"/>
        <family val="2"/>
      </rPr>
      <t xml:space="preserve">ページ目。本文は大きく変えず、「大塚商会 転勤」向けの見出し追加と導線の設置に留める。</t>
    </r>
  </si>
  <si>
    <r>
      <rPr>
        <sz val="10"/>
        <rFont val="Meiryo UI"/>
        <family val="0"/>
        <charset val="1"/>
      </rPr>
      <t xml:space="preserve">CTR</t>
    </r>
    <r>
      <rPr>
        <sz val="10"/>
        <rFont val="WenQuanYi Zen Hei"/>
        <family val="2"/>
      </rPr>
      <t xml:space="preserve">が低い。タイトル先頭に「大塚商会 転勤」を入れ、疑問形のクエリには説明文の冒頭で答えを言い切る。「現役</t>
    </r>
    <r>
      <rPr>
        <sz val="10"/>
        <rFont val="Meiryo UI"/>
        <family val="0"/>
        <charset val="1"/>
      </rPr>
      <t xml:space="preserve">IT</t>
    </r>
    <r>
      <rPr>
        <sz val="10"/>
        <rFont val="WenQuanYi Zen Hei"/>
        <family val="2"/>
      </rPr>
      <t xml:space="preserve">人事」の要素は残す。</t>
    </r>
  </si>
  <si>
    <t xml:space="preserve">/ai-buntai-rirekisho-syokumukerekisho/</t>
  </si>
  <si>
    <r>
      <rPr>
        <sz val="10"/>
        <rFont val="Meiryo UI"/>
        <family val="0"/>
        <charset val="1"/>
      </rPr>
      <t xml:space="preserve">3</t>
    </r>
    <r>
      <rPr>
        <sz val="10"/>
        <rFont val="WenQuanYi Zen Hei"/>
        <family val="2"/>
      </rPr>
      <t xml:space="preserve">か月の表示</t>
    </r>
    <r>
      <rPr>
        <sz val="10"/>
        <rFont val="Meiryo UI"/>
        <family val="0"/>
        <charset val="1"/>
      </rPr>
      <t xml:space="preserve">4</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</si>
  <si>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t>
    </r>
    <r>
      <rPr>
        <sz val="10"/>
        <rFont val="Meiryo UI"/>
        <family val="0"/>
        <charset val="1"/>
      </rPr>
      <t xml:space="preserve">AI</t>
    </r>
    <r>
      <rPr>
        <sz val="10"/>
        <rFont val="WenQuanYi Zen Hei"/>
        <family val="2"/>
      </rPr>
      <t xml:space="preserve">応募書類】競合相手：</t>
    </r>
    <r>
      <rPr>
        <sz val="10"/>
        <rFont val="Meiryo UI"/>
        <family val="0"/>
        <charset val="1"/>
      </rPr>
      <t xml:space="preserve">/rirekisho-ai-bareru/</t>
    </r>
    <r>
      <rPr>
        <sz val="10"/>
        <rFont val="WenQuanYi Zen Hei"/>
        <family val="2"/>
      </rPr>
      <t xml:space="preserve">、</t>
    </r>
    <r>
      <rPr>
        <sz val="10"/>
        <rFont val="Meiryo UI"/>
        <family val="0"/>
        <charset val="1"/>
      </rPr>
      <t xml:space="preserve">/shokumukeirekisho-ai-chatgpt-sakusei/</t>
    </r>
    <r>
      <rPr>
        <sz val="10"/>
        <rFont val="WenQuanYi Zen Hei"/>
        <family val="2"/>
      </rPr>
      <t xml:space="preserve">、</t>
    </r>
    <r>
      <rPr>
        <sz val="10"/>
        <rFont val="Meiryo UI"/>
        <family val="0"/>
        <charset val="1"/>
      </rPr>
      <t xml:space="preserve">/ai-mensetsu-shorui-senko/</t>
    </r>
  </si>
  <si>
    <r>
      <rPr>
        <sz val="10"/>
        <rFont val="WenQuanYi Zen Hei"/>
        <family val="2"/>
      </rPr>
      <t xml:space="preserve">【統合対象】</t>
    </r>
    <r>
      <rPr>
        <sz val="10"/>
        <rFont val="Meiryo UI"/>
        <family val="0"/>
        <charset val="1"/>
      </rPr>
      <t xml:space="preserve">/rirekisho-ai-bareru/</t>
    </r>
    <r>
      <rPr>
        <sz val="10"/>
        <rFont val="WenQuanYi Zen Hei"/>
        <family val="2"/>
      </rPr>
      <t xml:space="preserve">へ統合し、本記事の</t>
    </r>
    <r>
      <rPr>
        <sz val="10"/>
        <rFont val="Meiryo UI"/>
        <family val="0"/>
        <charset val="1"/>
      </rPr>
      <t xml:space="preserve">URL</t>
    </r>
    <r>
      <rPr>
        <sz val="10"/>
        <rFont val="WenQuanYi Zen Hei"/>
        <family val="2"/>
      </rPr>
      <t xml:space="preserve">は</t>
    </r>
    <r>
      <rPr>
        <sz val="10"/>
        <rFont val="Meiryo UI"/>
        <family val="0"/>
        <charset val="1"/>
      </rPr>
      <t xml:space="preserve">301</t>
    </r>
    <r>
      <rPr>
        <sz val="10"/>
        <rFont val="WenQuanYi Zen Hei"/>
        <family val="2"/>
      </rPr>
      <t xml:space="preserve">リダイレクト。統合前に、本記事だけにある情報（数字・事例・人事の本音）を親記事へ移す。（グループ方針：</t>
    </r>
    <r>
      <rPr>
        <sz val="10"/>
        <rFont val="Meiryo UI"/>
        <family val="0"/>
        <charset val="1"/>
      </rPr>
      <t xml:space="preserve">ai-buntai</t>
    </r>
    <r>
      <rPr>
        <sz val="10"/>
        <rFont val="WenQuanYi Zen Hei"/>
        <family val="2"/>
      </rPr>
      <t xml:space="preserve">（表示ほぼゼロ）を</t>
    </r>
    <r>
      <rPr>
        <sz val="10"/>
        <rFont val="Meiryo UI"/>
        <family val="0"/>
        <charset val="1"/>
      </rPr>
      <t xml:space="preserve">rirekisho-ai-bareru</t>
    </r>
    <r>
      <rPr>
        <sz val="10"/>
        <rFont val="WenQuanYi Zen Hei"/>
        <family val="2"/>
      </rPr>
      <t xml:space="preserve">へ統合し</t>
    </r>
    <r>
      <rPr>
        <sz val="10"/>
        <rFont val="Meiryo UI"/>
        <family val="0"/>
        <charset val="1"/>
      </rPr>
      <t xml:space="preserve">301</t>
    </r>
    <r>
      <rPr>
        <sz val="10"/>
        <rFont val="WenQuanYi Zen Hei"/>
        <family val="2"/>
      </rPr>
      <t xml:space="preserve">。</t>
    </r>
    <r>
      <rPr>
        <sz val="10"/>
        <rFont val="Meiryo UI"/>
        <family val="0"/>
        <charset val="1"/>
      </rPr>
      <t xml:space="preserve">shokumukeirekisho-ai-chatgpt-sakusei</t>
    </r>
    <r>
      <rPr>
        <sz val="10"/>
        <rFont val="WenQuanYi Zen Hei"/>
        <family val="2"/>
      </rPr>
      <t xml:space="preserve">は「作り方・プロンプト」に特化しタイトルから「バレる」を外す。</t>
    </r>
    <r>
      <rPr>
        <sz val="10"/>
        <rFont val="Meiryo UI"/>
        <family val="0"/>
        <charset val="1"/>
      </rPr>
      <t xml:space="preserve">ai-mensetsu-shorui-senko</t>
    </r>
    <r>
      <rPr>
        <sz val="10"/>
        <rFont val="WenQuanYi Zen Hei"/>
        <family val="2"/>
      </rPr>
      <t xml:space="preserve">は「</t>
    </r>
    <r>
      <rPr>
        <sz val="10"/>
        <rFont val="Meiryo UI"/>
        <family val="0"/>
        <charset val="1"/>
      </rPr>
      <t xml:space="preserve">AI</t>
    </r>
    <r>
      <rPr>
        <sz val="10"/>
        <rFont val="WenQuanYi Zen Hei"/>
        <family val="2"/>
      </rPr>
      <t xml:space="preserve">面接・</t>
    </r>
    <r>
      <rPr>
        <sz val="10"/>
        <rFont val="Meiryo UI"/>
        <family val="0"/>
        <charset val="1"/>
      </rPr>
      <t xml:space="preserve">AI</t>
    </r>
    <r>
      <rPr>
        <sz val="10"/>
        <rFont val="WenQuanYi Zen Hei"/>
        <family val="2"/>
      </rPr>
      <t xml:space="preserve">書類選考（企業側が</t>
    </r>
    <r>
      <rPr>
        <sz val="10"/>
        <rFont val="Meiryo UI"/>
        <family val="0"/>
        <charset val="1"/>
      </rPr>
      <t xml:space="preserve">AI</t>
    </r>
    <r>
      <rPr>
        <sz val="10"/>
        <rFont val="WenQuanYi Zen Hei"/>
        <family val="2"/>
      </rPr>
      <t xml:space="preserve">を使う話）」に差別化。）</t>
    </r>
  </si>
  <si>
    <t xml:space="preserve">/tensyoku-jikopr-kakikata-tsutaekata/</t>
  </si>
  <si>
    <r>
      <rPr>
        <sz val="10"/>
        <rFont val="WenQuanYi Zen Hei"/>
        <family val="2"/>
      </rPr>
      <t xml:space="preserve">自己</t>
    </r>
    <r>
      <rPr>
        <sz val="10"/>
        <rFont val="Meiryo UI"/>
        <family val="0"/>
        <charset val="1"/>
      </rPr>
      <t xml:space="preserve">PR</t>
    </r>
  </si>
  <si>
    <t xml:space="preserve">/tensyoku-mensetsu-gyakushitsumon/</t>
  </si>
  <si>
    <r>
      <rPr>
        <sz val="10"/>
        <rFont val="Meiryo UI"/>
        <family val="0"/>
        <charset val="1"/>
      </rPr>
      <t xml:space="preserve">3</t>
    </r>
    <r>
      <rPr>
        <sz val="10"/>
        <rFont val="WenQuanYi Zen Hei"/>
        <family val="2"/>
      </rPr>
      <t xml:space="preserve">か月の表示</t>
    </r>
    <r>
      <rPr>
        <sz val="10"/>
        <rFont val="Meiryo UI"/>
        <family val="0"/>
        <charset val="1"/>
      </rPr>
      <t xml:space="preserve">24</t>
    </r>
    <r>
      <rPr>
        <sz val="10"/>
        <rFont val="WenQuanYi Zen Hei"/>
        <family val="2"/>
      </rPr>
      <t xml:space="preserve">回でほぼ評価されていない。検索需要が小さいか、同テーマの他記事に評価を取られている。</t>
    </r>
  </si>
  <si>
    <r>
      <rPr>
        <sz val="10"/>
        <rFont val="WenQuanYi Zen Hei"/>
        <family val="2"/>
      </rPr>
      <t xml:space="preserve">【面接対策】競合相手：</t>
    </r>
    <r>
      <rPr>
        <sz val="10"/>
        <rFont val="Meiryo UI"/>
        <family val="0"/>
        <charset val="1"/>
      </rPr>
      <t xml:space="preserve">/2ji-mensetsu-taisaku-tensyoku-mikeiken/</t>
    </r>
    <r>
      <rPr>
        <sz val="10"/>
        <rFont val="WenQuanYi Zen Hei"/>
        <family val="2"/>
      </rPr>
      <t xml:space="preserve">、</t>
    </r>
    <r>
      <rPr>
        <sz val="10"/>
        <rFont val="Meiryo UI"/>
        <family val="0"/>
        <charset val="1"/>
      </rPr>
      <t xml:space="preserve">/it-tensyoku-mikeiken-1ji-mensetsu/</t>
    </r>
    <r>
      <rPr>
        <sz val="10"/>
        <rFont val="WenQuanYi Zen Hei"/>
        <family val="2"/>
      </rPr>
      <t xml:space="preserve">、</t>
    </r>
    <r>
      <rPr>
        <sz val="10"/>
        <rFont val="Meiryo UI"/>
        <family val="0"/>
        <charset val="1"/>
      </rPr>
      <t xml:space="preserve">/it-tensyoku-saishu-mensetsu-taisaku/</t>
    </r>
    <r>
      <rPr>
        <sz val="10"/>
        <rFont val="WenQuanYi Zen Hei"/>
        <family val="2"/>
      </rPr>
      <t xml:space="preserve">、</t>
    </r>
    <r>
      <rPr>
        <sz val="10"/>
        <rFont val="Meiryo UI"/>
        <family val="0"/>
        <charset val="1"/>
      </rPr>
      <t xml:space="preserve">/it-interview-points/</t>
    </r>
    <r>
      <rPr>
        <sz val="10"/>
        <rFont val="WenQuanYi Zen Hei"/>
        <family val="2"/>
      </rPr>
      <t xml:space="preserve">、</t>
    </r>
    <r>
      <rPr>
        <sz val="10"/>
        <rFont val="Meiryo UI"/>
        <family val="0"/>
        <charset val="1"/>
      </rPr>
      <t xml:space="preserve">/online-interview-tips-from-it-hr/</t>
    </r>
  </si>
  <si>
    <r>
      <rPr>
        <sz val="10"/>
        <rFont val="WenQuanYi Zen Hei"/>
        <family val="2"/>
      </rPr>
      <t xml:space="preserve">【差別化して残す】担当：逆質問として残し、ハブと相互リンク。親記事（</t>
    </r>
    <r>
      <rPr>
        <sz val="10"/>
        <rFont val="Meiryo UI"/>
        <family val="0"/>
        <charset val="1"/>
      </rPr>
      <t xml:space="preserve">/2ji-mensetsu-taisaku-tensyoku-mikeiken/</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表示がほぼないため、①需要がない→内部リンク用として残す、②同テーマの記事に評価を取られている→統合、のどちらかを判断。追記は後回し。</t>
    </r>
  </si>
  <si>
    <t xml:space="preserve">/document-screening-pass-rate/</t>
  </si>
  <si>
    <r>
      <rPr>
        <sz val="10"/>
        <rFont val="Meiryo UI"/>
        <family val="0"/>
        <charset val="1"/>
      </rPr>
      <t xml:space="preserve">ntt</t>
    </r>
    <r>
      <rPr>
        <sz val="10"/>
        <rFont val="WenQuanYi Zen Hei"/>
        <family val="2"/>
      </rPr>
      <t xml:space="preserve">データ 書類選考通過率 中途（</t>
    </r>
    <r>
      <rPr>
        <sz val="10"/>
        <rFont val="Meiryo UI"/>
        <family val="0"/>
        <charset val="1"/>
      </rPr>
      <t xml:space="preserve">117</t>
    </r>
    <r>
      <rPr>
        <sz val="10"/>
        <rFont val="WenQuanYi Zen Hei"/>
        <family val="2"/>
      </rPr>
      <t xml:space="preserve">表示・</t>
    </r>
    <r>
      <rPr>
        <sz val="10"/>
        <rFont val="Meiryo UI"/>
        <family val="0"/>
        <charset val="1"/>
      </rPr>
      <t xml:space="preserve">7.1</t>
    </r>
    <r>
      <rPr>
        <sz val="10"/>
        <rFont val="WenQuanYi Zen Hei"/>
        <family val="2"/>
      </rPr>
      <t xml:space="preserve">位・</t>
    </r>
    <r>
      <rPr>
        <sz val="10"/>
        <rFont val="Meiryo UI"/>
        <family val="0"/>
        <charset val="1"/>
      </rPr>
      <t xml:space="preserve">CTR8.6%</t>
    </r>
    <r>
      <rPr>
        <sz val="10"/>
        <rFont val="WenQuanYi Zen Hei"/>
        <family val="2"/>
      </rPr>
      <t xml:space="preserve">） </t>
    </r>
    <r>
      <rPr>
        <sz val="10"/>
        <rFont val="Meiryo UI"/>
        <family val="0"/>
        <charset val="1"/>
      </rPr>
      <t xml:space="preserve">/ ntt</t>
    </r>
    <r>
      <rPr>
        <sz val="10"/>
        <rFont val="WenQuanYi Zen Hei"/>
        <family val="2"/>
      </rPr>
      <t xml:space="preserve">データ 書類選考 通過率 中途（</t>
    </r>
    <r>
      <rPr>
        <sz val="10"/>
        <rFont val="Meiryo UI"/>
        <family val="0"/>
        <charset val="1"/>
      </rPr>
      <t xml:space="preserve">79</t>
    </r>
    <r>
      <rPr>
        <sz val="10"/>
        <rFont val="WenQuanYi Zen Hei"/>
        <family val="2"/>
      </rPr>
      <t xml:space="preserve">表示・</t>
    </r>
    <r>
      <rPr>
        <sz val="10"/>
        <rFont val="Meiryo UI"/>
        <family val="0"/>
        <charset val="1"/>
      </rPr>
      <t xml:space="preserve">9.7</t>
    </r>
    <r>
      <rPr>
        <sz val="10"/>
        <rFont val="WenQuanYi Zen Hei"/>
        <family val="2"/>
      </rPr>
      <t xml:space="preserve">位・</t>
    </r>
    <r>
      <rPr>
        <sz val="10"/>
        <rFont val="Meiryo UI"/>
        <family val="0"/>
        <charset val="1"/>
      </rPr>
      <t xml:space="preserve">CTR2.5%</t>
    </r>
    <r>
      <rPr>
        <sz val="10"/>
        <rFont val="WenQuanYi Zen Hei"/>
        <family val="2"/>
      </rPr>
      <t xml:space="preserve">） </t>
    </r>
    <r>
      <rPr>
        <sz val="10"/>
        <rFont val="Meiryo UI"/>
        <family val="0"/>
        <charset val="1"/>
      </rPr>
      <t xml:space="preserve">/ ntt</t>
    </r>
    <r>
      <rPr>
        <sz val="10"/>
        <rFont val="WenQuanYi Zen Hei"/>
        <family val="2"/>
      </rPr>
      <t xml:space="preserve">データ 中途採用 通過率（</t>
    </r>
    <r>
      <rPr>
        <sz val="10"/>
        <rFont val="Meiryo UI"/>
        <family val="0"/>
        <charset val="1"/>
      </rPr>
      <t xml:space="preserve">53</t>
    </r>
    <r>
      <rPr>
        <sz val="10"/>
        <rFont val="WenQuanYi Zen Hei"/>
        <family val="2"/>
      </rPr>
      <t xml:space="preserve">表示・</t>
    </r>
    <r>
      <rPr>
        <sz val="10"/>
        <rFont val="Meiryo UI"/>
        <family val="0"/>
        <charset val="1"/>
      </rPr>
      <t xml:space="preserve">7.6</t>
    </r>
    <r>
      <rPr>
        <sz val="10"/>
        <rFont val="WenQuanYi Zen Hei"/>
        <family val="2"/>
      </rPr>
      <t xml:space="preserve">位・</t>
    </r>
    <r>
      <rPr>
        <sz val="10"/>
        <rFont val="Meiryo UI"/>
        <family val="0"/>
        <charset val="1"/>
      </rPr>
      <t xml:space="preserve">CTR5.7%</t>
    </r>
    <r>
      <rPr>
        <sz val="10"/>
        <rFont val="WenQuanYi Zen Hei"/>
        <family val="2"/>
      </rPr>
      <t xml:space="preserve">）</t>
    </r>
  </si>
  <si>
    <r>
      <rPr>
        <sz val="10"/>
        <rFont val="WenQuanYi Zen Hei"/>
        <family val="2"/>
      </rPr>
      <t xml:space="preserve">平均</t>
    </r>
    <r>
      <rPr>
        <sz val="10"/>
        <rFont val="Meiryo UI"/>
        <family val="0"/>
        <charset val="1"/>
      </rPr>
      <t xml:space="preserve">11.6</t>
    </r>
    <r>
      <rPr>
        <sz val="10"/>
        <rFont val="WenQuanYi Zen Hei"/>
        <family val="2"/>
      </rPr>
      <t xml:space="preserve">位で</t>
    </r>
    <r>
      <rPr>
        <sz val="10"/>
        <rFont val="Meiryo UI"/>
        <family val="0"/>
        <charset val="1"/>
      </rPr>
      <t xml:space="preserve">1</t>
    </r>
    <r>
      <rPr>
        <sz val="10"/>
        <rFont val="WenQuanYi Zen Hei"/>
        <family val="2"/>
      </rPr>
      <t xml:space="preserve">ページ目の手前（あと一歩）。取りこぼしクエリ：</t>
    </r>
    <r>
      <rPr>
        <sz val="10"/>
        <rFont val="Meiryo UI"/>
        <family val="0"/>
        <charset val="1"/>
      </rPr>
      <t xml:space="preserve">ntt</t>
    </r>
    <r>
      <rPr>
        <sz val="10"/>
        <rFont val="WenQuanYi Zen Hei"/>
        <family val="2"/>
      </rPr>
      <t xml:space="preserve">データ 書類選考 通過率 中途（</t>
    </r>
    <r>
      <rPr>
        <sz val="10"/>
        <rFont val="Meiryo UI"/>
        <family val="0"/>
        <charset val="1"/>
      </rPr>
      <t xml:space="preserve">79</t>
    </r>
    <r>
      <rPr>
        <sz val="10"/>
        <rFont val="WenQuanYi Zen Hei"/>
        <family val="2"/>
      </rPr>
      <t xml:space="preserve">表示・</t>
    </r>
    <r>
      <rPr>
        <sz val="10"/>
        <rFont val="Meiryo UI"/>
        <family val="0"/>
        <charset val="1"/>
      </rPr>
      <t xml:space="preserve">9.7</t>
    </r>
    <r>
      <rPr>
        <sz val="10"/>
        <rFont val="WenQuanYi Zen Hei"/>
        <family val="2"/>
      </rPr>
      <t xml:space="preserve">位）。</t>
    </r>
  </si>
  <si>
    <r>
      <rPr>
        <sz val="10"/>
        <rFont val="WenQuanYi Zen Hei"/>
        <family val="2"/>
      </rPr>
      <t xml:space="preserve">【書類選考落ち】競合相手：</t>
    </r>
    <r>
      <rPr>
        <sz val="10"/>
        <rFont val="Meiryo UI"/>
        <family val="0"/>
        <charset val="1"/>
      </rPr>
      <t xml:space="preserve">/chuto-syorui-senko-ochiru/</t>
    </r>
    <r>
      <rPr>
        <sz val="10"/>
        <rFont val="WenQuanYi Zen Hei"/>
        <family val="2"/>
      </rPr>
      <t xml:space="preserve">、</t>
    </r>
    <r>
      <rPr>
        <sz val="10"/>
        <rFont val="Meiryo UI"/>
        <family val="0"/>
        <charset val="1"/>
      </rPr>
      <t xml:space="preserve">/it-tensyoku-syorui-ochiru-riyu/</t>
    </r>
    <r>
      <rPr>
        <sz val="10"/>
        <rFont val="WenQuanYi Zen Hei"/>
        <family val="2"/>
      </rPr>
      <t xml:space="preserve">、</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/document-screening-cutoff/</t>
    </r>
    <r>
      <rPr>
        <sz val="10"/>
        <rFont val="WenQuanYi Zen Hei"/>
        <family val="2"/>
      </rPr>
      <t xml:space="preserve">、</t>
    </r>
    <r>
      <rPr>
        <sz val="10"/>
        <rFont val="Meiryo UI"/>
        <family val="0"/>
        <charset val="1"/>
      </rPr>
      <t xml:space="preserve">/document-screening-1minute/</t>
    </r>
    <r>
      <rPr>
        <sz val="10"/>
        <rFont val="WenQuanYi Zen Hei"/>
        <family val="2"/>
      </rPr>
      <t xml:space="preserve">ほか</t>
    </r>
  </si>
  <si>
    <r>
      <rPr>
        <sz val="10"/>
        <rFont val="WenQuanYi Zen Hei"/>
        <family val="2"/>
      </rPr>
      <t xml:space="preserve">【差別化して残す】担当：書類選考の通過率データだけを担当（企業別の通過率は各企業記事へ）。親記事（</t>
    </r>
    <r>
      <rPr>
        <sz val="10"/>
        <rFont val="Meiryo UI"/>
        <family val="0"/>
        <charset val="1"/>
      </rPr>
      <t xml:space="preserve">/chuto-syorui-senko-ochiru/</t>
    </r>
    <r>
      <rPr>
        <sz val="10"/>
        <rFont val="WenQuanYi Zen Hei"/>
        <family val="2"/>
      </rPr>
      <t xml:space="preserve">）と重複する説明は</t>
    </r>
    <r>
      <rPr>
        <sz val="10"/>
        <rFont val="Meiryo UI"/>
        <family val="0"/>
        <charset val="1"/>
      </rPr>
      <t xml:space="preserve">3</t>
    </r>
    <r>
      <rPr>
        <sz val="10"/>
        <rFont val="WenQuanYi Zen Hei"/>
        <family val="2"/>
      </rPr>
      <t xml:space="preserve">行要約＋リンクに置き換える。
</t>
    </r>
    <r>
      <rPr>
        <sz val="10"/>
        <rFont val="Meiryo UI"/>
        <family val="0"/>
        <charset val="1"/>
      </rPr>
      <t xml:space="preserve">1</t>
    </r>
    <r>
      <rPr>
        <sz val="10"/>
        <rFont val="WenQuanYi Zen Hei"/>
        <family val="2"/>
      </rPr>
      <t xml:space="preserve">ページ目の手前。「</t>
    </r>
    <r>
      <rPr>
        <sz val="10"/>
        <rFont val="Meiryo UI"/>
        <family val="0"/>
        <charset val="1"/>
      </rPr>
      <t xml:space="preserve">ntt</t>
    </r>
    <r>
      <rPr>
        <sz val="10"/>
        <rFont val="WenQuanYi Zen Hei"/>
        <family val="2"/>
      </rPr>
      <t xml:space="preserve">データ 書類選考 通過率 中途」を含む見出しを追加して網羅性を補強し、同テーマの上位記事から内部リンクを追加して</t>
    </r>
    <r>
      <rPr>
        <sz val="10"/>
        <rFont val="Meiryo UI"/>
        <family val="0"/>
        <charset val="1"/>
      </rPr>
      <t xml:space="preserve">1</t>
    </r>
    <r>
      <rPr>
        <sz val="10"/>
        <rFont val="WenQuanYi Zen Hei"/>
        <family val="2"/>
      </rPr>
      <t xml:space="preserve">ページ目入りを狙う。</t>
    </r>
  </si>
  <si>
    <r>
      <rPr>
        <sz val="10"/>
        <rFont val="WenQuanYi Zen Hei"/>
        <family val="2"/>
      </rPr>
      <t xml:space="preserve">順位の改善が先。タイトルは「</t>
    </r>
    <r>
      <rPr>
        <sz val="10"/>
        <rFont val="Meiryo UI"/>
        <family val="0"/>
        <charset val="1"/>
      </rPr>
      <t xml:space="preserve">ntt</t>
    </r>
    <r>
      <rPr>
        <sz val="10"/>
        <rFont val="WenQuanYi Zen Hei"/>
        <family val="2"/>
      </rPr>
      <t xml:space="preserve">データ 書類選考通過率 中途」を含む形に整える程度に。</t>
    </r>
  </si>
  <si>
    <t xml:space="preserve">/it-tensyoku-ochiru-kyotsu/</t>
  </si>
  <si>
    <r>
      <rPr>
        <sz val="10"/>
        <rFont val="WenQuanYi Zen Hei"/>
        <family val="2"/>
      </rPr>
      <t xml:space="preserve">書類選考で落ちる人の履歴書・職務経歴書に共通する原因は何ですか？（</t>
    </r>
    <r>
      <rPr>
        <sz val="10"/>
        <rFont val="Meiryo UI"/>
        <family val="0"/>
        <charset val="1"/>
      </rPr>
      <t xml:space="preserve">29</t>
    </r>
    <r>
      <rPr>
        <sz val="10"/>
        <rFont val="WenQuanYi Zen Hei"/>
        <family val="2"/>
      </rPr>
      <t xml:space="preserve">表示・</t>
    </r>
    <r>
      <rPr>
        <sz val="10"/>
        <rFont val="Meiryo UI"/>
        <family val="0"/>
        <charset val="1"/>
      </rPr>
      <t xml:space="preserve">21.2</t>
    </r>
    <r>
      <rPr>
        <sz val="10"/>
        <rFont val="WenQuanYi Zen Hei"/>
        <family val="2"/>
      </rPr>
      <t xml:space="preserve">位・</t>
    </r>
    <r>
      <rPr>
        <sz val="10"/>
        <rFont val="Meiryo UI"/>
        <family val="0"/>
        <charset val="1"/>
      </rPr>
      <t xml:space="preserve">CTR0.0%</t>
    </r>
    <r>
      <rPr>
        <sz val="10"/>
        <rFont val="WenQuanYi Zen Hei"/>
        <family val="2"/>
      </rPr>
      <t xml:space="preserve">）</t>
    </r>
  </si>
  <si>
    <t xml:space="preserve">/uzuz-hyouban-jinji/</t>
  </si>
  <si>
    <t xml:space="preserve">UZUZ</t>
  </si>
  <si>
    <r>
      <rPr>
        <sz val="10"/>
        <rFont val="WenQuanYi Zen Hei"/>
        <family val="2"/>
      </rPr>
      <t xml:space="preserve">要提携確認</t>
    </r>
    <r>
      <rPr>
        <sz val="10"/>
        <rFont val="Meiryo UI"/>
        <family val="0"/>
        <charset val="1"/>
      </rPr>
      <t xml:space="preserve">(UZUZ)/</t>
    </r>
    <r>
      <rPr>
        <sz val="10"/>
        <rFont val="WenQuanYi Zen Hei"/>
        <family val="2"/>
      </rPr>
      <t xml:space="preserve">第二新卒エージェント</t>
    </r>
    <r>
      <rPr>
        <sz val="10"/>
        <rFont val="Meiryo UI"/>
        <family val="0"/>
        <charset val="1"/>
      </rPr>
      <t xml:space="preserve">neo(A8)</t>
    </r>
  </si>
  <si>
    <t xml:space="preserve">/engineer-touta-ikinokoru/</t>
  </si>
  <si>
    <r>
      <rPr>
        <sz val="10"/>
        <rFont val="WenQuanYi Zen Hei"/>
        <family val="2"/>
      </rPr>
      <t xml:space="preserve">【</t>
    </r>
    <r>
      <rPr>
        <sz val="10"/>
        <rFont val="Meiryo UI"/>
        <family val="0"/>
        <charset val="1"/>
      </rPr>
      <t xml:space="preserve">AI</t>
    </r>
    <r>
      <rPr>
        <sz val="10"/>
        <rFont val="WenQuanYi Zen Hei"/>
        <family val="2"/>
      </rPr>
      <t xml:space="preserve">時代のキャリア】競合相手：</t>
    </r>
    <r>
      <rPr>
        <sz val="10"/>
        <rFont val="Meiryo UI"/>
        <family val="0"/>
        <charset val="1"/>
      </rPr>
      <t xml:space="preserve">/engineer-ai-nakunaru/</t>
    </r>
    <r>
      <rPr>
        <sz val="10"/>
        <rFont val="WenQuanYi Zen Hei"/>
        <family val="2"/>
      </rPr>
      <t xml:space="preserve">、</t>
    </r>
    <r>
      <rPr>
        <sz val="10"/>
        <rFont val="Meiryo UI"/>
        <family val="0"/>
        <charset val="1"/>
      </rPr>
      <t xml:space="preserve">/ai-jidai-engineer-skill/</t>
    </r>
  </si>
  <si>
    <t xml:space="preserve">/contact/</t>
  </si>
  <si>
    <t xml:space="preserve">サイト基本ページ（集客対象外）</t>
  </si>
  <si>
    <r>
      <rPr>
        <sz val="10"/>
        <rFont val="WenQuanYi Zen Hei"/>
        <family val="2"/>
      </rPr>
      <t xml:space="preserve">対応不要（</t>
    </r>
    <r>
      <rPr>
        <sz val="10"/>
        <rFont val="Meiryo UI"/>
        <family val="0"/>
        <charset val="1"/>
      </rPr>
      <t xml:space="preserve">noindex</t>
    </r>
    <r>
      <rPr>
        <sz val="10"/>
        <rFont val="WenQuanYi Zen Hei"/>
        <family val="2"/>
      </rPr>
      <t xml:space="preserve">にはしない）。</t>
    </r>
  </si>
  <si>
    <t xml:space="preserve">/disclaimer/</t>
  </si>
  <si>
    <r>
      <rPr>
        <b val="true"/>
        <sz val="14"/>
        <color rgb="FF1F3864"/>
        <rFont val="WenQuanYi Zen Hei"/>
        <family val="2"/>
      </rPr>
      <t xml:space="preserve">重点</t>
    </r>
    <r>
      <rPr>
        <b val="true"/>
        <sz val="14"/>
        <color rgb="FF1F3864"/>
        <rFont val="Meiryo UI"/>
        <family val="0"/>
        <charset val="1"/>
      </rPr>
      <t xml:space="preserve">9</t>
    </r>
    <r>
      <rPr>
        <b val="true"/>
        <sz val="14"/>
        <color rgb="FF1F3864"/>
        <rFont val="WenQuanYi Zen Hei"/>
        <family val="2"/>
      </rPr>
      <t xml:space="preserve">記事のアクションプラン</t>
    </r>
  </si>
  <si>
    <t xml:space="preserve">記事ごとに「データ分析 → カニバリ → タイトル・説明文 → アフィリエイト導線」の順で記載</t>
  </si>
  <si>
    <r>
      <rPr>
        <b val="true"/>
        <sz val="12"/>
        <color rgb="FFFFFFFF"/>
        <rFont val="WenQuanYi Zen Hei"/>
        <family val="2"/>
      </rPr>
      <t xml:space="preserve">優先</t>
    </r>
    <r>
      <rPr>
        <b val="true"/>
        <sz val="12"/>
        <color rgb="FFFFFFFF"/>
        <rFont val="Meiryo UI"/>
        <family val="0"/>
        <charset val="1"/>
      </rPr>
      <t xml:space="preserve">1</t>
    </r>
    <r>
      <rPr>
        <b val="true"/>
        <sz val="12"/>
        <color rgb="FFFFFFFF"/>
        <rFont val="WenQuanYi Zen Hei"/>
        <family val="2"/>
      </rPr>
      <t xml:space="preserve">　</t>
    </r>
    <r>
      <rPr>
        <b val="true"/>
        <sz val="12"/>
        <color rgb="FFFFFFFF"/>
        <rFont val="Meiryo UI"/>
        <family val="0"/>
        <charset val="1"/>
      </rPr>
      <t xml:space="preserve">/tenshokukaigi-kuchikomi-mikata-tsukaikata/</t>
    </r>
  </si>
  <si>
    <r>
      <rPr>
        <b val="true"/>
        <sz val="10"/>
        <rFont val="WenQuanYi Zen Hei"/>
        <family val="2"/>
      </rPr>
      <t xml:space="preserve">対象</t>
    </r>
    <r>
      <rPr>
        <b val="true"/>
        <sz val="10"/>
        <rFont val="Meiryo UI"/>
        <family val="0"/>
        <charset val="1"/>
      </rPr>
      <t xml:space="preserve">URL</t>
    </r>
  </si>
  <si>
    <t xml:space="preserve">https://saiyo-ura.com/tenshokukaigi-kuchikomi-mikata-tsukaikata/</t>
  </si>
  <si>
    <t xml:space="preserve">主要指標</t>
  </si>
  <si>
    <r>
      <rPr>
        <sz val="10"/>
        <rFont val="Meiryo UI"/>
        <family val="0"/>
        <charset val="1"/>
      </rPr>
      <t xml:space="preserve">3</t>
    </r>
    <r>
      <rPr>
        <sz val="10"/>
        <rFont val="WenQuanYi Zen Hei"/>
        <family val="2"/>
      </rPr>
      <t xml:space="preserve">か月：表示</t>
    </r>
    <r>
      <rPr>
        <sz val="10"/>
        <rFont val="Meiryo UI"/>
        <family val="0"/>
        <charset val="1"/>
      </rPr>
      <t xml:space="preserve">15,283</t>
    </r>
    <r>
      <rPr>
        <sz val="10"/>
        <rFont val="WenQuanYi Zen Hei"/>
        <family val="2"/>
      </rPr>
      <t xml:space="preserve">・クリック</t>
    </r>
    <r>
      <rPr>
        <sz val="10"/>
        <rFont val="Meiryo UI"/>
        <family val="0"/>
        <charset val="1"/>
      </rPr>
      <t xml:space="preserve">147</t>
    </r>
    <r>
      <rPr>
        <sz val="10"/>
        <rFont val="WenQuanYi Zen Hei"/>
        <family val="2"/>
      </rPr>
      <t xml:space="preserve">・</t>
    </r>
    <r>
      <rPr>
        <sz val="10"/>
        <rFont val="Meiryo UI"/>
        <family val="0"/>
        <charset val="1"/>
      </rPr>
      <t xml:space="preserve">CTR1.0%</t>
    </r>
    <r>
      <rPr>
        <sz val="10"/>
        <rFont val="WenQuanYi Zen Hei"/>
        <family val="2"/>
      </rPr>
      <t xml:space="preserve">・平均</t>
    </r>
    <r>
      <rPr>
        <sz val="10"/>
        <rFont val="Meiryo UI"/>
        <family val="0"/>
        <charset val="1"/>
      </rPr>
      <t xml:space="preserve">9.7</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1.9</t>
    </r>
    <r>
      <rPr>
        <sz val="10"/>
        <rFont val="WenQuanYi Zen Hei"/>
        <family val="2"/>
      </rPr>
      <t xml:space="preserve">（以前</t>
    </r>
    <r>
      <rPr>
        <sz val="10"/>
        <rFont val="Meiryo UI"/>
        <family val="0"/>
        <charset val="1"/>
      </rPr>
      <t xml:space="preserve">1.5</t>
    </r>
    <r>
      <rPr>
        <sz val="10"/>
        <rFont val="WenQuanYi Zen Hei"/>
        <family val="2"/>
      </rPr>
      <t xml:space="preserve">）・平均</t>
    </r>
    <r>
      <rPr>
        <sz val="10"/>
        <rFont val="Meiryo UI"/>
        <family val="0"/>
        <charset val="1"/>
      </rPr>
      <t xml:space="preserve">9.5</t>
    </r>
    <r>
      <rPr>
        <sz val="10"/>
        <rFont val="WenQuanYi Zen Hei"/>
        <family val="2"/>
      </rPr>
      <t xml:space="preserve">位</t>
    </r>
  </si>
  <si>
    <t xml:space="preserve">現在のデータからの分析</t>
  </si>
  <si>
    <t xml:space="preserve">カニバリの有無と解消案</t>
  </si>
  <si>
    <r>
      <rPr>
        <sz val="10"/>
        <rFont val="WenQuanYi Zen Hei"/>
        <family val="2"/>
      </rPr>
      <t xml:space="preserve">判定：強　【転職会議】競合相手：</t>
    </r>
    <r>
      <rPr>
        <sz val="10"/>
        <rFont val="Meiryo UI"/>
        <family val="0"/>
        <charset val="1"/>
      </rPr>
      <t xml:space="preserve">/tenshokukaigi-openwork-comparison/</t>
    </r>
    <r>
      <rPr>
        <sz val="10"/>
        <rFont val="WenQuanYi Zen Hei"/>
        <family val="2"/>
      </rPr>
      <t xml:space="preserve">、</t>
    </r>
    <r>
      <rPr>
        <sz val="10"/>
        <rFont val="Meiryo UI"/>
        <family val="0"/>
        <charset val="1"/>
      </rPr>
      <t xml:space="preserve">/tenshokukaigi-cancel-withdrawal/</t>
    </r>
    <r>
      <rPr>
        <sz val="10"/>
        <rFont val="WenQuanYi Zen Hei"/>
        <family val="2"/>
      </rPr>
      <t xml:space="preserve">、</t>
    </r>
    <r>
      <rPr>
        <sz val="10"/>
        <rFont val="Meiryo UI"/>
        <family val="0"/>
        <charset val="1"/>
      </rPr>
      <t xml:space="preserve">/tenshokukaigi-toroku-bareru/
</t>
    </r>
    <r>
      <rPr>
        <sz val="10"/>
        <rFont val="WenQuanYi Zen Hei"/>
        <family val="2"/>
      </rPr>
      <t xml:space="preserve">統合ではなく役割分担。</t>
    </r>
    <r>
      <rPr>
        <sz val="10"/>
        <rFont val="Meiryo UI"/>
        <family val="0"/>
        <charset val="1"/>
      </rPr>
      <t xml:space="preserve">kuchikomi-mikata-tsukaikata</t>
    </r>
    <r>
      <rPr>
        <sz val="10"/>
        <rFont val="WenQuanYi Zen Hei"/>
        <family val="2"/>
      </rPr>
      <t xml:space="preserve">＝総合（見る方法・評判・危ない）、</t>
    </r>
    <r>
      <rPr>
        <sz val="10"/>
        <rFont val="Meiryo UI"/>
        <family val="0"/>
        <charset val="1"/>
      </rPr>
      <t xml:space="preserve">openwork-comparison</t>
    </r>
    <r>
      <rPr>
        <sz val="10"/>
        <rFont val="WenQuanYi Zen Hei"/>
        <family val="2"/>
      </rPr>
      <t xml:space="preserve">＝比較のみ、</t>
    </r>
    <r>
      <rPr>
        <sz val="10"/>
        <rFont val="Meiryo UI"/>
        <family val="0"/>
        <charset val="1"/>
      </rPr>
      <t xml:space="preserve">toroku-bareru</t>
    </r>
    <r>
      <rPr>
        <sz val="10"/>
        <rFont val="WenQuanYi Zen Hei"/>
        <family val="2"/>
      </rPr>
      <t xml:space="preserve">＝身バレのみ、</t>
    </r>
    <r>
      <rPr>
        <sz val="10"/>
        <rFont val="Meiryo UI"/>
        <family val="0"/>
        <charset val="1"/>
      </rPr>
      <t xml:space="preserve">cancel-withdrawal</t>
    </r>
    <r>
      <rPr>
        <sz val="10"/>
        <rFont val="WenQuanYi Zen Hei"/>
        <family val="2"/>
      </rPr>
      <t xml:space="preserve">＝退会のみ。重複セクションは</t>
    </r>
    <r>
      <rPr>
        <sz val="10"/>
        <rFont val="Meiryo UI"/>
        <family val="0"/>
        <charset val="1"/>
      </rPr>
      <t xml:space="preserve">3</t>
    </r>
    <r>
      <rPr>
        <sz val="10"/>
        <rFont val="WenQuanYi Zen Hei"/>
        <family val="2"/>
      </rPr>
      <t xml:space="preserve">行要約＋リンクに。
転職会議系の親記事に位置付け、「危ない？評判は？」「無料で見る裏ワザ」「登録せずに見る方法」の見出しを追加。比較・身バレ・退会の詳細は各専門記事に任せて</t>
    </r>
    <r>
      <rPr>
        <sz val="10"/>
        <rFont val="Meiryo UI"/>
        <family val="0"/>
        <charset val="1"/>
      </rPr>
      <t xml:space="preserve">3</t>
    </r>
    <r>
      <rPr>
        <sz val="10"/>
        <rFont val="WenQuanYi Zen Hei"/>
        <family val="2"/>
      </rPr>
      <t xml:space="preserve">行要約＋リンク。冒頭に目的別リンク（比較／バレる／退会）。</t>
    </r>
  </si>
  <si>
    <r>
      <rPr>
        <b val="true"/>
        <sz val="10"/>
        <rFont val="Meiryo UI"/>
        <family val="0"/>
        <charset val="1"/>
      </rPr>
      <t xml:space="preserve">SEO</t>
    </r>
    <r>
      <rPr>
        <b val="true"/>
        <sz val="10"/>
        <rFont val="WenQuanYi Zen Hei"/>
        <family val="2"/>
      </rPr>
      <t xml:space="preserve">（</t>
    </r>
    <r>
      <rPr>
        <b val="true"/>
        <sz val="10"/>
        <rFont val="Meiryo UI"/>
        <family val="0"/>
        <charset val="1"/>
      </rPr>
      <t xml:space="preserve">CTR</t>
    </r>
    <r>
      <rPr>
        <b val="true"/>
        <sz val="10"/>
        <rFont val="WenQuanYi Zen Hei"/>
        <family val="2"/>
      </rPr>
      <t xml:space="preserve">）改善案：タイトル・説明文</t>
    </r>
  </si>
  <si>
    <t xml:space="preserve">アフィリエイト導線の改善案</t>
  </si>
  <si>
    <r>
      <rPr>
        <b val="true"/>
        <sz val="10"/>
        <rFont val="WenQuanYi Zen Hei"/>
        <family val="2"/>
      </rPr>
      <t xml:space="preserve">推奨案件（</t>
    </r>
    <r>
      <rPr>
        <b val="true"/>
        <sz val="10"/>
        <rFont val="Meiryo UI"/>
        <family val="0"/>
        <charset val="1"/>
      </rPr>
      <t xml:space="preserve">ASP</t>
    </r>
    <r>
      <rPr>
        <b val="true"/>
        <sz val="10"/>
        <rFont val="WenQuanYi Zen Hei"/>
        <family val="2"/>
      </rPr>
      <t xml:space="preserve">）</t>
    </r>
  </si>
  <si>
    <t xml:space="preserve">関連クエリ（推定）</t>
  </si>
  <si>
    <r>
      <rPr>
        <b val="true"/>
        <sz val="12"/>
        <color rgb="FFFFFFFF"/>
        <rFont val="WenQuanYi Zen Hei"/>
        <family val="2"/>
      </rPr>
      <t xml:space="preserve">優先</t>
    </r>
    <r>
      <rPr>
        <b val="true"/>
        <sz val="12"/>
        <color rgb="FFFFFFFF"/>
        <rFont val="Meiryo UI"/>
        <family val="0"/>
        <charset val="1"/>
      </rPr>
      <t xml:space="preserve">2</t>
    </r>
    <r>
      <rPr>
        <b val="true"/>
        <sz val="12"/>
        <color rgb="FFFFFFFF"/>
        <rFont val="WenQuanYi Zen Hei"/>
        <family val="2"/>
      </rPr>
      <t xml:space="preserve">　</t>
    </r>
    <r>
      <rPr>
        <b val="true"/>
        <sz val="12"/>
        <color rgb="FFFFFFFF"/>
        <rFont val="Meiryo UI"/>
        <family val="0"/>
        <charset val="1"/>
      </rPr>
      <t xml:space="preserve">/openwork-tsukaikata/</t>
    </r>
  </si>
  <si>
    <t xml:space="preserve">https://saiyo-ura.com/openwork-tsukaikata/</t>
  </si>
  <si>
    <r>
      <rPr>
        <sz val="10"/>
        <rFont val="Meiryo UI"/>
        <family val="0"/>
        <charset val="1"/>
      </rPr>
      <t xml:space="preserve">3</t>
    </r>
    <r>
      <rPr>
        <sz val="10"/>
        <rFont val="WenQuanYi Zen Hei"/>
        <family val="2"/>
      </rPr>
      <t xml:space="preserve">か月：表示</t>
    </r>
    <r>
      <rPr>
        <sz val="10"/>
        <rFont val="Meiryo UI"/>
        <family val="0"/>
        <charset val="1"/>
      </rPr>
      <t xml:space="preserve">25,323</t>
    </r>
    <r>
      <rPr>
        <sz val="10"/>
        <rFont val="WenQuanYi Zen Hei"/>
        <family val="2"/>
      </rPr>
      <t xml:space="preserve">・クリック</t>
    </r>
    <r>
      <rPr>
        <sz val="10"/>
        <rFont val="Meiryo UI"/>
        <family val="0"/>
        <charset val="1"/>
      </rPr>
      <t xml:space="preserve">1,004</t>
    </r>
    <r>
      <rPr>
        <sz val="10"/>
        <rFont val="WenQuanYi Zen Hei"/>
        <family val="2"/>
      </rPr>
      <t xml:space="preserve">・</t>
    </r>
    <r>
      <rPr>
        <sz val="10"/>
        <rFont val="Meiryo UI"/>
        <family val="0"/>
        <charset val="1"/>
      </rPr>
      <t xml:space="preserve">CTR4.0%</t>
    </r>
    <r>
      <rPr>
        <sz val="10"/>
        <rFont val="WenQuanYi Zen Hei"/>
        <family val="2"/>
      </rPr>
      <t xml:space="preserve">・平均</t>
    </r>
    <r>
      <rPr>
        <sz val="10"/>
        <rFont val="Meiryo UI"/>
        <family val="0"/>
        <charset val="1"/>
      </rPr>
      <t xml:space="preserve">6.5</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13.4</t>
    </r>
    <r>
      <rPr>
        <sz val="10"/>
        <rFont val="WenQuanYi Zen Hei"/>
        <family val="2"/>
      </rPr>
      <t xml:space="preserve">（以前</t>
    </r>
    <r>
      <rPr>
        <sz val="10"/>
        <rFont val="Meiryo UI"/>
        <family val="0"/>
        <charset val="1"/>
      </rPr>
      <t xml:space="preserve">9.8</t>
    </r>
    <r>
      <rPr>
        <sz val="10"/>
        <rFont val="WenQuanYi Zen Hei"/>
        <family val="2"/>
      </rPr>
      <t xml:space="preserve">）・平均</t>
    </r>
    <r>
      <rPr>
        <sz val="10"/>
        <rFont val="Meiryo UI"/>
        <family val="0"/>
        <charset val="1"/>
      </rPr>
      <t xml:space="preserve">6.0</t>
    </r>
    <r>
      <rPr>
        <sz val="10"/>
        <rFont val="WenQuanYi Zen Hei"/>
        <family val="2"/>
      </rPr>
      <t xml:space="preserve">位</t>
    </r>
  </si>
  <si>
    <r>
      <rPr>
        <sz val="10"/>
        <rFont val="WenQuanYi Zen Hei"/>
        <family val="2"/>
      </rPr>
      <t xml:space="preserve">判定：中　【</t>
    </r>
    <r>
      <rPr>
        <sz val="10"/>
        <rFont val="Meiryo UI"/>
        <family val="0"/>
        <charset val="1"/>
      </rPr>
      <t xml:space="preserve">OpenWork</t>
    </r>
    <r>
      <rPr>
        <sz val="10"/>
        <rFont val="WenQuanYi Zen Hei"/>
        <family val="2"/>
      </rPr>
      <t xml:space="preserve">】競合相手：</t>
    </r>
    <r>
      <rPr>
        <sz val="10"/>
        <rFont val="Meiryo UI"/>
        <family val="0"/>
        <charset val="1"/>
      </rPr>
      <t xml:space="preserve">/openwork-graph-mikata/</t>
    </r>
    <r>
      <rPr>
        <sz val="10"/>
        <rFont val="WenQuanYi Zen Hei"/>
        <family val="2"/>
      </rPr>
      <t xml:space="preserve">、</t>
    </r>
    <r>
      <rPr>
        <sz val="10"/>
        <rFont val="Meiryo UI"/>
        <family val="0"/>
        <charset val="1"/>
      </rPr>
      <t xml:space="preserve">/openwork-white-company-mikata/</t>
    </r>
    <r>
      <rPr>
        <sz val="10"/>
        <rFont val="WenQuanYi Zen Hei"/>
        <family val="2"/>
      </rPr>
      <t xml:space="preserve">、</t>
    </r>
    <r>
      <rPr>
        <sz val="10"/>
        <rFont val="Meiryo UI"/>
        <family val="0"/>
        <charset val="1"/>
      </rPr>
      <t xml:space="preserve">/openwork-toroku-bareru/</t>
    </r>
    <r>
      <rPr>
        <sz val="10"/>
        <rFont val="WenQuanYi Zen Hei"/>
        <family val="2"/>
      </rPr>
      <t xml:space="preserve">、</t>
    </r>
    <r>
      <rPr>
        <sz val="10"/>
        <rFont val="Meiryo UI"/>
        <family val="0"/>
        <charset val="1"/>
      </rPr>
      <t xml:space="preserve">/openwork-hikaku-kinou/
tsukaikata</t>
    </r>
    <r>
      <rPr>
        <sz val="10"/>
        <rFont val="WenQuanYi Zen Hei"/>
        <family val="2"/>
      </rPr>
      <t xml:space="preserve">＝口コミを見る方法、</t>
    </r>
    <r>
      <rPr>
        <sz val="10"/>
        <rFont val="Meiryo UI"/>
        <family val="0"/>
        <charset val="1"/>
      </rPr>
      <t xml:space="preserve">graph-mikata</t>
    </r>
    <r>
      <rPr>
        <sz val="10"/>
        <rFont val="WenQuanYi Zen Hei"/>
        <family val="2"/>
      </rPr>
      <t xml:space="preserve">＝グラフ・形・点数、</t>
    </r>
    <r>
      <rPr>
        <sz val="10"/>
        <rFont val="Meiryo UI"/>
        <family val="0"/>
        <charset val="1"/>
      </rPr>
      <t xml:space="preserve">white-company</t>
    </r>
    <r>
      <rPr>
        <sz val="10"/>
        <rFont val="WenQuanYi Zen Hei"/>
        <family val="2"/>
      </rPr>
      <t xml:space="preserve">＝ホワイト企業の見分け方、</t>
    </r>
    <r>
      <rPr>
        <sz val="10"/>
        <rFont val="Meiryo UI"/>
        <family val="0"/>
        <charset val="1"/>
      </rPr>
      <t xml:space="preserve">toroku-bareru</t>
    </r>
    <r>
      <rPr>
        <sz val="10"/>
        <rFont val="WenQuanYi Zen Hei"/>
        <family val="2"/>
      </rPr>
      <t xml:space="preserve">＝バレる・企業ブロック。</t>
    </r>
    <r>
      <rPr>
        <sz val="10"/>
        <rFont val="Meiryo UI"/>
        <family val="0"/>
        <charset val="1"/>
      </rPr>
      <t xml:space="preserve">tsukaikata</t>
    </r>
    <r>
      <rPr>
        <sz val="10"/>
        <rFont val="WenQuanYi Zen Hei"/>
        <family val="2"/>
      </rPr>
      <t xml:space="preserve">のバレる解説を縮小し</t>
    </r>
    <r>
      <rPr>
        <sz val="10"/>
        <rFont val="Meiryo UI"/>
        <family val="0"/>
        <charset val="1"/>
      </rPr>
      <t xml:space="preserve">toroku-bareru</t>
    </r>
    <r>
      <rPr>
        <sz val="10"/>
        <rFont val="WenQuanYi Zen Hei"/>
        <family val="2"/>
      </rPr>
      <t xml:space="preserve">へリンク。</t>
    </r>
    <r>
      <rPr>
        <sz val="10"/>
        <rFont val="Meiryo UI"/>
        <family val="0"/>
        <charset val="1"/>
      </rPr>
      <t xml:space="preserve">hikaku-kinou</t>
    </r>
    <r>
      <rPr>
        <sz val="10"/>
        <rFont val="WenQuanYi Zen Hei"/>
        <family val="2"/>
      </rPr>
      <t xml:space="preserve">は統合候補。
バレる解説は</t>
    </r>
    <r>
      <rPr>
        <sz val="10"/>
        <rFont val="Meiryo UI"/>
        <family val="0"/>
        <charset val="1"/>
      </rPr>
      <t xml:space="preserve">3</t>
    </r>
    <r>
      <rPr>
        <sz val="10"/>
        <rFont val="WenQuanYi Zen Hei"/>
        <family val="2"/>
      </rPr>
      <t xml:space="preserve">行要約＋</t>
    </r>
    <r>
      <rPr>
        <sz val="10"/>
        <rFont val="Meiryo UI"/>
        <family val="0"/>
        <charset val="1"/>
      </rPr>
      <t xml:space="preserve">/openwork-toroku-bareru/</t>
    </r>
    <r>
      <rPr>
        <sz val="10"/>
        <rFont val="WenQuanYi Zen Hei"/>
        <family val="2"/>
      </rPr>
      <t xml:space="preserve">へのリンクに縮小し、「口コミを見る方法（投稿・</t>
    </r>
    <r>
      <rPr>
        <sz val="10"/>
        <rFont val="Meiryo UI"/>
        <family val="0"/>
        <charset val="1"/>
      </rPr>
      <t xml:space="preserve">Web</t>
    </r>
    <r>
      <rPr>
        <sz val="10"/>
        <rFont val="WenQuanYi Zen Hei"/>
        <family val="2"/>
      </rPr>
      <t xml:space="preserve">履歴書・学生）」「見れない時の対処」に集中。学生向け見出しを新設。「あてにならない」「サクラ」（計</t>
    </r>
    <r>
      <rPr>
        <sz val="10"/>
        <rFont val="Meiryo UI"/>
        <family val="0"/>
        <charset val="1"/>
      </rPr>
      <t xml:space="preserve">300</t>
    </r>
    <r>
      <rPr>
        <sz val="10"/>
        <rFont val="WenQuanYi Zen Hei"/>
        <family val="2"/>
      </rPr>
      <t xml:space="preserve">表示超）に答える見出しを追加。</t>
    </r>
  </si>
  <si>
    <r>
      <rPr>
        <b val="true"/>
        <sz val="12"/>
        <color rgb="FFFFFFFF"/>
        <rFont val="WenQuanYi Zen Hei"/>
        <family val="2"/>
      </rPr>
      <t xml:space="preserve">優先</t>
    </r>
    <r>
      <rPr>
        <b val="true"/>
        <sz val="12"/>
        <color rgb="FFFFFFFF"/>
        <rFont val="Meiryo UI"/>
        <family val="0"/>
        <charset val="1"/>
      </rPr>
      <t xml:space="preserve">3</t>
    </r>
    <r>
      <rPr>
        <b val="true"/>
        <sz val="12"/>
        <color rgb="FFFFFFFF"/>
        <rFont val="WenQuanYi Zen Hei"/>
        <family val="2"/>
      </rPr>
      <t xml:space="preserve">　</t>
    </r>
    <r>
      <rPr>
        <b val="true"/>
        <sz val="12"/>
        <color rgb="FFFFFFFF"/>
        <rFont val="Meiryo UI"/>
        <family val="0"/>
        <charset val="1"/>
      </rPr>
      <t xml:space="preserve">/openwork-graph-mikata/</t>
    </r>
  </si>
  <si>
    <t xml:space="preserve">https://saiyo-ura.com/openwork-graph-mikata/</t>
  </si>
  <si>
    <r>
      <rPr>
        <sz val="10"/>
        <rFont val="Meiryo UI"/>
        <family val="0"/>
        <charset val="1"/>
      </rPr>
      <t xml:space="preserve">3</t>
    </r>
    <r>
      <rPr>
        <sz val="10"/>
        <rFont val="WenQuanYi Zen Hei"/>
        <family val="2"/>
      </rPr>
      <t xml:space="preserve">か月：表示</t>
    </r>
    <r>
      <rPr>
        <sz val="10"/>
        <rFont val="Meiryo UI"/>
        <family val="0"/>
        <charset val="1"/>
      </rPr>
      <t xml:space="preserve">15,454</t>
    </r>
    <r>
      <rPr>
        <sz val="10"/>
        <rFont val="WenQuanYi Zen Hei"/>
        <family val="2"/>
      </rPr>
      <t xml:space="preserve">・クリック</t>
    </r>
    <r>
      <rPr>
        <sz val="10"/>
        <rFont val="Meiryo UI"/>
        <family val="0"/>
        <charset val="1"/>
      </rPr>
      <t xml:space="preserve">2,754</t>
    </r>
    <r>
      <rPr>
        <sz val="10"/>
        <rFont val="WenQuanYi Zen Hei"/>
        <family val="2"/>
      </rPr>
      <t xml:space="preserve">・</t>
    </r>
    <r>
      <rPr>
        <sz val="10"/>
        <rFont val="Meiryo UI"/>
        <family val="0"/>
        <charset val="1"/>
      </rPr>
      <t xml:space="preserve">CTR17.8%</t>
    </r>
    <r>
      <rPr>
        <sz val="10"/>
        <rFont val="WenQuanYi Zen Hei"/>
        <family val="2"/>
      </rPr>
      <t xml:space="preserve">・平均</t>
    </r>
    <r>
      <rPr>
        <sz val="10"/>
        <rFont val="Meiryo UI"/>
        <family val="0"/>
        <charset val="1"/>
      </rPr>
      <t xml:space="preserve">4.5</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27.3</t>
    </r>
    <r>
      <rPr>
        <sz val="10"/>
        <rFont val="WenQuanYi Zen Hei"/>
        <family val="2"/>
      </rPr>
      <t xml:space="preserve">（以前</t>
    </r>
    <r>
      <rPr>
        <sz val="10"/>
        <rFont val="Meiryo UI"/>
        <family val="0"/>
        <charset val="1"/>
      </rPr>
      <t xml:space="preserve">31.1</t>
    </r>
    <r>
      <rPr>
        <sz val="10"/>
        <rFont val="WenQuanYi Zen Hei"/>
        <family val="2"/>
      </rPr>
      <t xml:space="preserve">）・平均</t>
    </r>
    <r>
      <rPr>
        <sz val="10"/>
        <rFont val="Meiryo UI"/>
        <family val="0"/>
        <charset val="1"/>
      </rPr>
      <t xml:space="preserve">4.4</t>
    </r>
    <r>
      <rPr>
        <sz val="10"/>
        <rFont val="WenQuanYi Zen Hei"/>
        <family val="2"/>
      </rPr>
      <t xml:space="preserve">位</t>
    </r>
  </si>
  <si>
    <r>
      <rPr>
        <sz val="10"/>
        <rFont val="WenQuanYi Zen Hei"/>
        <family val="2"/>
      </rPr>
      <t xml:space="preserve">判定：中　【</t>
    </r>
    <r>
      <rPr>
        <sz val="10"/>
        <rFont val="Meiryo UI"/>
        <family val="0"/>
        <charset val="1"/>
      </rPr>
      <t xml:space="preserve">OpenWork</t>
    </r>
    <r>
      <rPr>
        <sz val="10"/>
        <rFont val="WenQuanYi Zen Hei"/>
        <family val="2"/>
      </rPr>
      <t xml:space="preserve">】競合相手：</t>
    </r>
    <r>
      <rPr>
        <sz val="10"/>
        <rFont val="Meiryo UI"/>
        <family val="0"/>
        <charset val="1"/>
      </rPr>
      <t xml:space="preserve">/openwork-tsukaikata/</t>
    </r>
    <r>
      <rPr>
        <sz val="10"/>
        <rFont val="WenQuanYi Zen Hei"/>
        <family val="2"/>
      </rPr>
      <t xml:space="preserve">、</t>
    </r>
    <r>
      <rPr>
        <sz val="10"/>
        <rFont val="Meiryo UI"/>
        <family val="0"/>
        <charset val="1"/>
      </rPr>
      <t xml:space="preserve">/openwork-white-company-mikata/</t>
    </r>
    <r>
      <rPr>
        <sz val="10"/>
        <rFont val="WenQuanYi Zen Hei"/>
        <family val="2"/>
      </rPr>
      <t xml:space="preserve">、</t>
    </r>
    <r>
      <rPr>
        <sz val="10"/>
        <rFont val="Meiryo UI"/>
        <family val="0"/>
        <charset val="1"/>
      </rPr>
      <t xml:space="preserve">/openwork-toroku-bareru/</t>
    </r>
    <r>
      <rPr>
        <sz val="10"/>
        <rFont val="WenQuanYi Zen Hei"/>
        <family val="2"/>
      </rPr>
      <t xml:space="preserve">、</t>
    </r>
    <r>
      <rPr>
        <sz val="10"/>
        <rFont val="Meiryo UI"/>
        <family val="0"/>
        <charset val="1"/>
      </rPr>
      <t xml:space="preserve">/openwork-hikaku-kinou/
tsukaikata</t>
    </r>
    <r>
      <rPr>
        <sz val="10"/>
        <rFont val="WenQuanYi Zen Hei"/>
        <family val="2"/>
      </rPr>
      <t xml:space="preserve">＝口コミを見る方法、</t>
    </r>
    <r>
      <rPr>
        <sz val="10"/>
        <rFont val="Meiryo UI"/>
        <family val="0"/>
        <charset val="1"/>
      </rPr>
      <t xml:space="preserve">graph-mikata</t>
    </r>
    <r>
      <rPr>
        <sz val="10"/>
        <rFont val="WenQuanYi Zen Hei"/>
        <family val="2"/>
      </rPr>
      <t xml:space="preserve">＝グラフ・形・点数、</t>
    </r>
    <r>
      <rPr>
        <sz val="10"/>
        <rFont val="Meiryo UI"/>
        <family val="0"/>
        <charset val="1"/>
      </rPr>
      <t xml:space="preserve">white-company</t>
    </r>
    <r>
      <rPr>
        <sz val="10"/>
        <rFont val="WenQuanYi Zen Hei"/>
        <family val="2"/>
      </rPr>
      <t xml:space="preserve">＝ホワイト企業の見分け方、</t>
    </r>
    <r>
      <rPr>
        <sz val="10"/>
        <rFont val="Meiryo UI"/>
        <family val="0"/>
        <charset val="1"/>
      </rPr>
      <t xml:space="preserve">toroku-bareru</t>
    </r>
    <r>
      <rPr>
        <sz val="10"/>
        <rFont val="WenQuanYi Zen Hei"/>
        <family val="2"/>
      </rPr>
      <t xml:space="preserve">＝バレる・企業ブロック。</t>
    </r>
    <r>
      <rPr>
        <sz val="10"/>
        <rFont val="Meiryo UI"/>
        <family val="0"/>
        <charset val="1"/>
      </rPr>
      <t xml:space="preserve">tsukaikata</t>
    </r>
    <r>
      <rPr>
        <sz val="10"/>
        <rFont val="WenQuanYi Zen Hei"/>
        <family val="2"/>
      </rPr>
      <t xml:space="preserve">のバレる解説を縮小し</t>
    </r>
    <r>
      <rPr>
        <sz val="10"/>
        <rFont val="Meiryo UI"/>
        <family val="0"/>
        <charset val="1"/>
      </rPr>
      <t xml:space="preserve">toroku-bareru</t>
    </r>
    <r>
      <rPr>
        <sz val="10"/>
        <rFont val="WenQuanYi Zen Hei"/>
        <family val="2"/>
      </rPr>
      <t xml:space="preserve">へリンク。</t>
    </r>
    <r>
      <rPr>
        <sz val="10"/>
        <rFont val="Meiryo UI"/>
        <family val="0"/>
        <charset val="1"/>
      </rPr>
      <t xml:space="preserve">hikaku-kinou</t>
    </r>
    <r>
      <rPr>
        <sz val="10"/>
        <rFont val="WenQuanYi Zen Hei"/>
        <family val="2"/>
      </rPr>
      <t xml:space="preserve">は統合候補。
本文の大幅リライトは禁止（順位を崩すリスク）。「ダイヤモンド型／逆ダイヤ型」（計</t>
    </r>
    <r>
      <rPr>
        <sz val="10"/>
        <rFont val="Meiryo UI"/>
        <family val="0"/>
        <charset val="1"/>
      </rPr>
      <t xml:space="preserve">260</t>
    </r>
    <r>
      <rPr>
        <sz val="10"/>
        <rFont val="WenQuanYi Zen Hei"/>
        <family val="2"/>
      </rPr>
      <t xml:space="preserve">表示超・</t>
    </r>
    <r>
      <rPr>
        <sz val="10"/>
        <rFont val="Meiryo UI"/>
        <family val="0"/>
        <charset val="1"/>
      </rPr>
      <t xml:space="preserve">5</t>
    </r>
    <r>
      <rPr>
        <sz val="10"/>
        <rFont val="WenQuanYi Zen Hei"/>
        <family val="2"/>
      </rPr>
      <t xml:space="preserve">〜</t>
    </r>
    <r>
      <rPr>
        <sz val="10"/>
        <rFont val="Meiryo UI"/>
        <family val="0"/>
        <charset val="1"/>
      </rPr>
      <t xml:space="preserve">6</t>
    </r>
    <r>
      <rPr>
        <sz val="10"/>
        <rFont val="WenQuanYi Zen Hei"/>
        <family val="2"/>
      </rPr>
      <t xml:space="preserve">位）と「評価の目安・何点以上・平均点」（計</t>
    </r>
    <r>
      <rPr>
        <sz val="10"/>
        <rFont val="Meiryo UI"/>
        <family val="0"/>
        <charset val="1"/>
      </rPr>
      <t xml:space="preserve">550</t>
    </r>
    <r>
      <rPr>
        <sz val="10"/>
        <rFont val="WenQuanYi Zen Hei"/>
        <family val="2"/>
      </rPr>
      <t xml:space="preserve">表示超）の小見出しを追加。目次見出しを検索語と同じ言葉にして、ジャンプリンク経由のクリックを増やす。</t>
    </r>
  </si>
  <si>
    <r>
      <rPr>
        <b val="true"/>
        <sz val="12"/>
        <color rgb="FFFFFFFF"/>
        <rFont val="WenQuanYi Zen Hei"/>
        <family val="2"/>
      </rPr>
      <t xml:space="preserve">優先</t>
    </r>
    <r>
      <rPr>
        <b val="true"/>
        <sz val="12"/>
        <color rgb="FFFFFFFF"/>
        <rFont val="Meiryo UI"/>
        <family val="0"/>
        <charset val="1"/>
      </rPr>
      <t xml:space="preserve">4</t>
    </r>
    <r>
      <rPr>
        <b val="true"/>
        <sz val="12"/>
        <color rgb="FFFFFFFF"/>
        <rFont val="WenQuanYi Zen Hei"/>
        <family val="2"/>
      </rPr>
      <t xml:space="preserve">　</t>
    </r>
    <r>
      <rPr>
        <b val="true"/>
        <sz val="12"/>
        <color rgb="FFFFFFFF"/>
        <rFont val="Meiryo UI"/>
        <family val="0"/>
        <charset val="1"/>
      </rPr>
      <t xml:space="preserve">/fujitsu-nenshu-hyouka-jinji-me/</t>
    </r>
  </si>
  <si>
    <t xml:space="preserve">https://saiyo-ura.com/fujitsu-nenshu-hyouka-jinji-me/</t>
  </si>
  <si>
    <r>
      <rPr>
        <sz val="10"/>
        <rFont val="Meiryo UI"/>
        <family val="0"/>
        <charset val="1"/>
      </rPr>
      <t xml:space="preserve">3</t>
    </r>
    <r>
      <rPr>
        <sz val="10"/>
        <rFont val="WenQuanYi Zen Hei"/>
        <family val="2"/>
      </rPr>
      <t xml:space="preserve">か月：表示</t>
    </r>
    <r>
      <rPr>
        <sz val="10"/>
        <rFont val="Meiryo UI"/>
        <family val="0"/>
        <charset val="1"/>
      </rPr>
      <t xml:space="preserve">17,389</t>
    </r>
    <r>
      <rPr>
        <sz val="10"/>
        <rFont val="WenQuanYi Zen Hei"/>
        <family val="2"/>
      </rPr>
      <t xml:space="preserve">・クリック</t>
    </r>
    <r>
      <rPr>
        <sz val="10"/>
        <rFont val="Meiryo UI"/>
        <family val="0"/>
        <charset val="1"/>
      </rPr>
      <t xml:space="preserve">906</t>
    </r>
    <r>
      <rPr>
        <sz val="10"/>
        <rFont val="WenQuanYi Zen Hei"/>
        <family val="2"/>
      </rPr>
      <t xml:space="preserve">・</t>
    </r>
    <r>
      <rPr>
        <sz val="10"/>
        <rFont val="Meiryo UI"/>
        <family val="0"/>
        <charset val="1"/>
      </rPr>
      <t xml:space="preserve">CTR5.2%</t>
    </r>
    <r>
      <rPr>
        <sz val="10"/>
        <rFont val="WenQuanYi Zen Hei"/>
        <family val="2"/>
      </rPr>
      <t xml:space="preserve">・平均</t>
    </r>
    <r>
      <rPr>
        <sz val="10"/>
        <rFont val="Meiryo UI"/>
        <family val="0"/>
        <charset val="1"/>
      </rPr>
      <t xml:space="preserve">6.8</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22.8</t>
    </r>
    <r>
      <rPr>
        <sz val="10"/>
        <rFont val="WenQuanYi Zen Hei"/>
        <family val="2"/>
      </rPr>
      <t xml:space="preserve">（以前</t>
    </r>
    <r>
      <rPr>
        <sz val="10"/>
        <rFont val="Meiryo UI"/>
        <family val="0"/>
        <charset val="1"/>
      </rPr>
      <t xml:space="preserve">4.2</t>
    </r>
    <r>
      <rPr>
        <sz val="10"/>
        <rFont val="WenQuanYi Zen Hei"/>
        <family val="2"/>
      </rPr>
      <t xml:space="preserve">）・平均</t>
    </r>
    <r>
      <rPr>
        <sz val="10"/>
        <rFont val="Meiryo UI"/>
        <family val="0"/>
        <charset val="1"/>
      </rPr>
      <t xml:space="preserve">5.8</t>
    </r>
    <r>
      <rPr>
        <sz val="10"/>
        <rFont val="WenQuanYi Zen Hei"/>
        <family val="2"/>
      </rPr>
      <t xml:space="preserve">位</t>
    </r>
  </si>
  <si>
    <r>
      <rPr>
        <sz val="10"/>
        <rFont val="WenQuanYi Zen Hei"/>
        <family val="2"/>
      </rPr>
      <t xml:space="preserve">判定：なし　同じ意図の記事なし
タイトル先頭を「富士通の年収」にして親キーワードを狙う。年齢別（</t>
    </r>
    <r>
      <rPr>
        <sz val="10"/>
        <rFont val="Meiryo UI"/>
        <family val="0"/>
        <charset val="1"/>
      </rPr>
      <t xml:space="preserve">30/35/40</t>
    </r>
    <r>
      <rPr>
        <sz val="10"/>
        <rFont val="WenQuanYi Zen Hei"/>
        <family val="2"/>
      </rPr>
      <t xml:space="preserve">歳）の年収表と、事業部長・執行役員の行を追加。「富士通 給料」（</t>
    </r>
    <r>
      <rPr>
        <sz val="10"/>
        <rFont val="Meiryo UI"/>
        <family val="0"/>
        <charset val="1"/>
      </rPr>
      <t xml:space="preserve">49</t>
    </r>
    <r>
      <rPr>
        <sz val="10"/>
        <rFont val="WenQuanYi Zen Hei"/>
        <family val="2"/>
      </rPr>
      <t xml:space="preserve">表示</t>
    </r>
    <r>
      <rPr>
        <sz val="10"/>
        <rFont val="Meiryo UI"/>
        <family val="0"/>
        <charset val="1"/>
      </rPr>
      <t xml:space="preserve">20.7</t>
    </r>
    <r>
      <rPr>
        <sz val="10"/>
        <rFont val="WenQuanYi Zen Hei"/>
        <family val="2"/>
      </rPr>
      <t xml:space="preserve">位）「給与体系」もカバー。最終更新日を明記。</t>
    </r>
  </si>
  <si>
    <r>
      <rPr>
        <b val="true"/>
        <sz val="12"/>
        <color rgb="FFFFFFFF"/>
        <rFont val="WenQuanYi Zen Hei"/>
        <family val="2"/>
      </rPr>
      <t xml:space="preserve">優先</t>
    </r>
    <r>
      <rPr>
        <b val="true"/>
        <sz val="12"/>
        <color rgb="FFFFFFFF"/>
        <rFont val="Meiryo UI"/>
        <family val="0"/>
        <charset val="1"/>
      </rPr>
      <t xml:space="preserve">5</t>
    </r>
    <r>
      <rPr>
        <b val="true"/>
        <sz val="12"/>
        <color rgb="FFFFFFFF"/>
        <rFont val="WenQuanYi Zen Hei"/>
        <family val="2"/>
      </rPr>
      <t xml:space="preserve">　</t>
    </r>
    <r>
      <rPr>
        <b val="true"/>
        <sz val="12"/>
        <color rgb="FFFFFFFF"/>
        <rFont val="Meiryo UI"/>
        <family val="0"/>
        <charset val="1"/>
      </rPr>
      <t xml:space="preserve">/recruit-agent-hyoban/</t>
    </r>
  </si>
  <si>
    <t xml:space="preserve">https://saiyo-ura.com/recruit-agent-hyoban/</t>
  </si>
  <si>
    <r>
      <rPr>
        <sz val="10"/>
        <rFont val="Meiryo UI"/>
        <family val="0"/>
        <charset val="1"/>
      </rPr>
      <t xml:space="preserve">3</t>
    </r>
    <r>
      <rPr>
        <sz val="10"/>
        <rFont val="WenQuanYi Zen Hei"/>
        <family val="2"/>
      </rPr>
      <t xml:space="preserve">か月：表示</t>
    </r>
    <r>
      <rPr>
        <sz val="10"/>
        <rFont val="Meiryo UI"/>
        <family val="0"/>
        <charset val="1"/>
      </rPr>
      <t xml:space="preserve">2,082</t>
    </r>
    <r>
      <rPr>
        <sz val="10"/>
        <rFont val="WenQuanYi Zen Hei"/>
        <family val="2"/>
      </rPr>
      <t xml:space="preserve">・クリック</t>
    </r>
    <r>
      <rPr>
        <sz val="10"/>
        <rFont val="Meiryo UI"/>
        <family val="0"/>
        <charset val="1"/>
      </rPr>
      <t xml:space="preserve">203</t>
    </r>
    <r>
      <rPr>
        <sz val="10"/>
        <rFont val="WenQuanYi Zen Hei"/>
        <family val="2"/>
      </rPr>
      <t xml:space="preserve">・</t>
    </r>
    <r>
      <rPr>
        <sz val="10"/>
        <rFont val="Meiryo UI"/>
        <family val="0"/>
        <charset val="1"/>
      </rPr>
      <t xml:space="preserve">CTR9.8%</t>
    </r>
    <r>
      <rPr>
        <sz val="10"/>
        <rFont val="WenQuanYi Zen Hei"/>
        <family val="2"/>
      </rPr>
      <t xml:space="preserve">・平均</t>
    </r>
    <r>
      <rPr>
        <sz val="10"/>
        <rFont val="Meiryo UI"/>
        <family val="0"/>
        <charset val="1"/>
      </rPr>
      <t xml:space="preserve">5.4</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6.2</t>
    </r>
    <r>
      <rPr>
        <sz val="10"/>
        <rFont val="WenQuanYi Zen Hei"/>
        <family val="2"/>
      </rPr>
      <t xml:space="preserve">（以前</t>
    </r>
    <r>
      <rPr>
        <sz val="10"/>
        <rFont val="Meiryo UI"/>
        <family val="0"/>
        <charset val="1"/>
      </rPr>
      <t xml:space="preserve">0.4</t>
    </r>
    <r>
      <rPr>
        <sz val="10"/>
        <rFont val="WenQuanYi Zen Hei"/>
        <family val="2"/>
      </rPr>
      <t xml:space="preserve">）・平均</t>
    </r>
    <r>
      <rPr>
        <sz val="10"/>
        <rFont val="Meiryo UI"/>
        <family val="0"/>
        <charset val="1"/>
      </rPr>
      <t xml:space="preserve">5.1</t>
    </r>
    <r>
      <rPr>
        <sz val="10"/>
        <rFont val="WenQuanYi Zen Hei"/>
        <family val="2"/>
      </rPr>
      <t xml:space="preserve">位</t>
    </r>
  </si>
  <si>
    <r>
      <rPr>
        <sz val="10"/>
        <rFont val="WenQuanYi Zen Hei"/>
        <family val="2"/>
      </rPr>
      <t xml:space="preserve">判定：強　【リクルートエージェント】競合相手：</t>
    </r>
    <r>
      <rPr>
        <sz val="10"/>
        <rFont val="Meiryo UI"/>
        <family val="0"/>
        <charset val="1"/>
      </rPr>
      <t xml:space="preserve">/recruit-agent-tsukaikata/
hyoban</t>
    </r>
    <r>
      <rPr>
        <sz val="10"/>
        <rFont val="WenQuanYi Zen Hei"/>
        <family val="2"/>
      </rPr>
      <t xml:space="preserve">＝評判・口コミ・向いてる人（登録前の判断）、</t>
    </r>
    <r>
      <rPr>
        <sz val="10"/>
        <rFont val="Meiryo UI"/>
        <family val="0"/>
        <charset val="1"/>
      </rPr>
      <t xml:space="preserve">tsukaikata</t>
    </r>
    <r>
      <rPr>
        <sz val="10"/>
        <rFont val="WenQuanYi Zen Hei"/>
        <family val="2"/>
      </rPr>
      <t xml:space="preserve">＝面接後アンケート・求人ポスト・面談（登録後の使い方）。</t>
    </r>
    <r>
      <rPr>
        <sz val="10"/>
        <rFont val="Meiryo UI"/>
        <family val="0"/>
        <charset val="1"/>
      </rPr>
      <t xml:space="preserve">hyoban</t>
    </r>
    <r>
      <rPr>
        <sz val="10"/>
        <rFont val="WenQuanYi Zen Hei"/>
        <family val="2"/>
      </rPr>
      <t xml:space="preserve">側のアンケート詳細は</t>
    </r>
    <r>
      <rPr>
        <sz val="10"/>
        <rFont val="Meiryo UI"/>
        <family val="0"/>
        <charset val="1"/>
      </rPr>
      <t xml:space="preserve">tsukaikata</t>
    </r>
    <r>
      <rPr>
        <sz val="10"/>
        <rFont val="WenQuanYi Zen Hei"/>
        <family val="2"/>
      </rPr>
      <t xml:space="preserve">へ移す。
担当を「評判・口コミ・ひどい・向いてる人」（登録前の判断）に限定。「面接後アンケート」「求人ポスト」の詳細は</t>
    </r>
    <r>
      <rPr>
        <sz val="10"/>
        <rFont val="Meiryo UI"/>
        <family val="0"/>
        <charset val="1"/>
      </rPr>
      <t xml:space="preserve">/recruit-agent-tsukaikata/</t>
    </r>
    <r>
      <rPr>
        <sz val="10"/>
        <rFont val="WenQuanYi Zen Hei"/>
        <family val="2"/>
      </rPr>
      <t xml:space="preserve">に移して要約＋リンク。「企業側（求人を出す側）から見た実態」という一次情報を見出しで強調。</t>
    </r>
  </si>
  <si>
    <r>
      <rPr>
        <b val="true"/>
        <sz val="12"/>
        <color rgb="FFFFFFFF"/>
        <rFont val="WenQuanYi Zen Hei"/>
        <family val="2"/>
      </rPr>
      <t xml:space="preserve">優先</t>
    </r>
    <r>
      <rPr>
        <b val="true"/>
        <sz val="12"/>
        <color rgb="FFFFFFFF"/>
        <rFont val="Meiryo UI"/>
        <family val="0"/>
        <charset val="1"/>
      </rPr>
      <t xml:space="preserve">6</t>
    </r>
    <r>
      <rPr>
        <b val="true"/>
        <sz val="12"/>
        <color rgb="FFFFFFFF"/>
        <rFont val="WenQuanYi Zen Hei"/>
        <family val="2"/>
      </rPr>
      <t xml:space="preserve">　</t>
    </r>
    <r>
      <rPr>
        <b val="true"/>
        <sz val="12"/>
        <color rgb="FFFFFFFF"/>
        <rFont val="Meiryo UI"/>
        <family val="0"/>
        <charset val="1"/>
      </rPr>
      <t xml:space="preserve">/ipa-exam-reform-2027/</t>
    </r>
  </si>
  <si>
    <t xml:space="preserve">https://saiyo-ura.com/ipa-exam-reform-2027/</t>
  </si>
  <si>
    <r>
      <rPr>
        <sz val="10"/>
        <rFont val="Meiryo UI"/>
        <family val="0"/>
        <charset val="1"/>
      </rPr>
      <t xml:space="preserve">3</t>
    </r>
    <r>
      <rPr>
        <sz val="10"/>
        <rFont val="WenQuanYi Zen Hei"/>
        <family val="2"/>
      </rPr>
      <t xml:space="preserve">か月：表示</t>
    </r>
    <r>
      <rPr>
        <sz val="10"/>
        <rFont val="Meiryo UI"/>
        <family val="0"/>
        <charset val="1"/>
      </rPr>
      <t xml:space="preserve">19,660</t>
    </r>
    <r>
      <rPr>
        <sz val="10"/>
        <rFont val="WenQuanYi Zen Hei"/>
        <family val="2"/>
      </rPr>
      <t xml:space="preserve">・クリック</t>
    </r>
    <r>
      <rPr>
        <sz val="10"/>
        <rFont val="Meiryo UI"/>
        <family val="0"/>
        <charset val="1"/>
      </rPr>
      <t xml:space="preserve">503</t>
    </r>
    <r>
      <rPr>
        <sz val="10"/>
        <rFont val="WenQuanYi Zen Hei"/>
        <family val="2"/>
      </rPr>
      <t xml:space="preserve">・</t>
    </r>
    <r>
      <rPr>
        <sz val="10"/>
        <rFont val="Meiryo UI"/>
        <family val="0"/>
        <charset val="1"/>
      </rPr>
      <t xml:space="preserve">CTR2.6%</t>
    </r>
    <r>
      <rPr>
        <sz val="10"/>
        <rFont val="WenQuanYi Zen Hei"/>
        <family val="2"/>
      </rPr>
      <t xml:space="preserve">・平均</t>
    </r>
    <r>
      <rPr>
        <sz val="10"/>
        <rFont val="Meiryo UI"/>
        <family val="0"/>
        <charset val="1"/>
      </rPr>
      <t xml:space="preserve">8.0</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9.6</t>
    </r>
    <r>
      <rPr>
        <sz val="10"/>
        <rFont val="WenQuanYi Zen Hei"/>
        <family val="2"/>
      </rPr>
      <t xml:space="preserve">（以前</t>
    </r>
    <r>
      <rPr>
        <sz val="10"/>
        <rFont val="Meiryo UI"/>
        <family val="0"/>
        <charset val="1"/>
      </rPr>
      <t xml:space="preserve">3.7</t>
    </r>
    <r>
      <rPr>
        <sz val="10"/>
        <rFont val="WenQuanYi Zen Hei"/>
        <family val="2"/>
      </rPr>
      <t xml:space="preserve">）・平均</t>
    </r>
    <r>
      <rPr>
        <sz val="10"/>
        <rFont val="Meiryo UI"/>
        <family val="0"/>
        <charset val="1"/>
      </rPr>
      <t xml:space="preserve">8.1</t>
    </r>
    <r>
      <rPr>
        <sz val="10"/>
        <rFont val="WenQuanYi Zen Hei"/>
        <family val="2"/>
      </rPr>
      <t xml:space="preserve">位</t>
    </r>
  </si>
  <si>
    <r>
      <rPr>
        <sz val="10"/>
        <rFont val="WenQuanYi Zen Hei"/>
        <family val="2"/>
      </rPr>
      <t xml:space="preserve">判定：中　【</t>
    </r>
    <r>
      <rPr>
        <sz val="10"/>
        <rFont val="Meiryo UI"/>
        <family val="0"/>
        <charset val="1"/>
      </rPr>
      <t xml:space="preserve">IPA</t>
    </r>
    <r>
      <rPr>
        <sz val="10"/>
        <rFont val="WenQuanYi Zen Hei"/>
        <family val="2"/>
      </rPr>
      <t xml:space="preserve">改編】競合相手：</t>
    </r>
    <r>
      <rPr>
        <sz val="10"/>
        <rFont val="Meiryo UI"/>
        <family val="0"/>
        <charset val="1"/>
      </rPr>
      <t xml:space="preserve">/ipa-exam-reform-career-impact/</t>
    </r>
    <r>
      <rPr>
        <sz val="10"/>
        <rFont val="WenQuanYi Zen Hei"/>
        <family val="2"/>
      </rPr>
      <t xml:space="preserve">、</t>
    </r>
    <r>
      <rPr>
        <sz val="10"/>
        <rFont val="Meiryo UI"/>
        <family val="0"/>
        <charset val="1"/>
      </rPr>
      <t xml:space="preserve">/professional-digital-skill-exam/</t>
    </r>
    <r>
      <rPr>
        <sz val="10"/>
        <rFont val="WenQuanYi Zen Hei"/>
        <family val="2"/>
      </rPr>
      <t xml:space="preserve">、</t>
    </r>
    <r>
      <rPr>
        <sz val="10"/>
        <rFont val="Meiryo UI"/>
        <family val="0"/>
        <charset val="1"/>
      </rPr>
      <t xml:space="preserve">/data-management-exam/
</t>
    </r>
    <r>
      <rPr>
        <sz val="10"/>
        <rFont val="WenQuanYi Zen Hei"/>
        <family val="2"/>
      </rPr>
      <t xml:space="preserve">応用情報の単独記事を新設（</t>
    </r>
    <r>
      <rPr>
        <sz val="10"/>
        <rFont val="Meiryo UI"/>
        <family val="0"/>
        <charset val="1"/>
      </rPr>
      <t xml:space="preserve">/ouyou-jouhou-haishi/ </t>
    </r>
    <r>
      <rPr>
        <sz val="10"/>
        <rFont val="WenQuanYi Zen Hei"/>
        <family val="2"/>
      </rPr>
      <t xml:space="preserve">仮）。総合記事は改編の全体像・試験別一覧のハブに。</t>
    </r>
    <r>
      <rPr>
        <sz val="10"/>
        <rFont val="Meiryo UI"/>
        <family val="0"/>
        <charset val="1"/>
      </rPr>
      <t xml:space="preserve">career-impact</t>
    </r>
    <r>
      <rPr>
        <sz val="10"/>
        <rFont val="WenQuanYi Zen Hei"/>
        <family val="2"/>
      </rPr>
      <t xml:space="preserve">は「転職・採用での評価」に特化。
新規記事</t>
    </r>
    <r>
      <rPr>
        <sz val="10"/>
        <rFont val="Meiryo UI"/>
        <family val="0"/>
        <charset val="1"/>
      </rPr>
      <t xml:space="preserve">/ouyou-jouhou-haishi/</t>
    </r>
    <r>
      <rPr>
        <sz val="10"/>
        <rFont val="WenQuanYi Zen Hei"/>
        <family val="2"/>
      </rPr>
      <t xml:space="preserve">（仮）を作成し「応用情報はなくなる？いつまで受けられる？」に特化。本記事の応用情報セクションは要約＋リンク。本記事は「改編の全体像・試験別一覧」のハブにし、高度試験の</t>
    </r>
    <r>
      <rPr>
        <sz val="10"/>
        <rFont val="Meiryo UI"/>
        <family val="0"/>
        <charset val="1"/>
      </rPr>
      <t xml:space="preserve">*-haishi</t>
    </r>
    <r>
      <rPr>
        <sz val="10"/>
        <rFont val="WenQuanYi Zen Hei"/>
        <family val="2"/>
      </rPr>
      <t xml:space="preserve">記事・</t>
    </r>
    <r>
      <rPr>
        <sz val="10"/>
        <rFont val="Meiryo UI"/>
        <family val="0"/>
        <charset val="1"/>
      </rPr>
      <t xml:space="preserve">IT</t>
    </r>
    <r>
      <rPr>
        <sz val="10"/>
        <rFont val="WenQuanYi Zen Hei"/>
        <family val="2"/>
      </rPr>
      <t xml:space="preserve">パスポート</t>
    </r>
    <r>
      <rPr>
        <sz val="10"/>
        <rFont val="Meiryo UI"/>
        <family val="0"/>
        <charset val="1"/>
      </rPr>
      <t xml:space="preserve">/</t>
    </r>
    <r>
      <rPr>
        <sz val="10"/>
        <rFont val="WenQuanYi Zen Hei"/>
        <family val="2"/>
      </rPr>
      <t xml:space="preserve">基本情報記事へ分岐。冒頭に最終更新日と「確定情報</t>
    </r>
    <r>
      <rPr>
        <sz val="10"/>
        <rFont val="Meiryo UI"/>
        <family val="0"/>
        <charset val="1"/>
      </rPr>
      <t xml:space="preserve">/</t>
    </r>
    <r>
      <rPr>
        <sz val="10"/>
        <rFont val="WenQuanYi Zen Hei"/>
        <family val="2"/>
      </rPr>
      <t xml:space="preserve">未確定情報」を明記。</t>
    </r>
  </si>
  <si>
    <r>
      <rPr>
        <b val="true"/>
        <sz val="12"/>
        <color rgb="FFFFFFFF"/>
        <rFont val="WenQuanYi Zen Hei"/>
        <family val="2"/>
      </rPr>
      <t xml:space="preserve">優先</t>
    </r>
    <r>
      <rPr>
        <b val="true"/>
        <sz val="12"/>
        <color rgb="FFFFFFFF"/>
        <rFont val="Meiryo UI"/>
        <family val="0"/>
        <charset val="1"/>
      </rPr>
      <t xml:space="preserve">7</t>
    </r>
    <r>
      <rPr>
        <b val="true"/>
        <sz val="12"/>
        <color rgb="FFFFFFFF"/>
        <rFont val="WenQuanYi Zen Hei"/>
        <family val="2"/>
      </rPr>
      <t xml:space="preserve">　</t>
    </r>
    <r>
      <rPr>
        <b val="true"/>
        <sz val="12"/>
        <color rgb="FFFFFFFF"/>
        <rFont val="Meiryo UI"/>
        <family val="0"/>
        <charset val="1"/>
      </rPr>
      <t xml:space="preserve">/rirekisho-ai-bareru/</t>
    </r>
  </si>
  <si>
    <t xml:space="preserve">https://saiyo-ura.com/rirekisho-ai-bareru/</t>
  </si>
  <si>
    <r>
      <rPr>
        <sz val="10"/>
        <rFont val="Meiryo UI"/>
        <family val="0"/>
        <charset val="1"/>
      </rPr>
      <t xml:space="preserve">3</t>
    </r>
    <r>
      <rPr>
        <sz val="10"/>
        <rFont val="WenQuanYi Zen Hei"/>
        <family val="2"/>
      </rPr>
      <t xml:space="preserve">か月：表示</t>
    </r>
    <r>
      <rPr>
        <sz val="10"/>
        <rFont val="Meiryo UI"/>
        <family val="0"/>
        <charset val="1"/>
      </rPr>
      <t xml:space="preserve">3,319</t>
    </r>
    <r>
      <rPr>
        <sz val="10"/>
        <rFont val="WenQuanYi Zen Hei"/>
        <family val="2"/>
      </rPr>
      <t xml:space="preserve">・クリック</t>
    </r>
    <r>
      <rPr>
        <sz val="10"/>
        <rFont val="Meiryo UI"/>
        <family val="0"/>
        <charset val="1"/>
      </rPr>
      <t xml:space="preserve">24</t>
    </r>
    <r>
      <rPr>
        <sz val="10"/>
        <rFont val="WenQuanYi Zen Hei"/>
        <family val="2"/>
      </rPr>
      <t xml:space="preserve">・</t>
    </r>
    <r>
      <rPr>
        <sz val="10"/>
        <rFont val="Meiryo UI"/>
        <family val="0"/>
        <charset val="1"/>
      </rPr>
      <t xml:space="preserve">CTR0.7%</t>
    </r>
    <r>
      <rPr>
        <sz val="10"/>
        <rFont val="WenQuanYi Zen Hei"/>
        <family val="2"/>
      </rPr>
      <t xml:space="preserve">・平均</t>
    </r>
    <r>
      <rPr>
        <sz val="10"/>
        <rFont val="Meiryo UI"/>
        <family val="0"/>
        <charset val="1"/>
      </rPr>
      <t xml:space="preserve">7.5</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0.5</t>
    </r>
    <r>
      <rPr>
        <sz val="10"/>
        <rFont val="WenQuanYi Zen Hei"/>
        <family val="2"/>
      </rPr>
      <t xml:space="preserve">（以前</t>
    </r>
    <r>
      <rPr>
        <sz val="10"/>
        <rFont val="Meiryo UI"/>
        <family val="0"/>
        <charset val="1"/>
      </rPr>
      <t xml:space="preserve">0.1</t>
    </r>
    <r>
      <rPr>
        <sz val="10"/>
        <rFont val="WenQuanYi Zen Hei"/>
        <family val="2"/>
      </rPr>
      <t xml:space="preserve">）・平均</t>
    </r>
    <r>
      <rPr>
        <sz val="10"/>
        <rFont val="Meiryo UI"/>
        <family val="0"/>
        <charset val="1"/>
      </rPr>
      <t xml:space="preserve">8.6</t>
    </r>
    <r>
      <rPr>
        <sz val="10"/>
        <rFont val="WenQuanYi Zen Hei"/>
        <family val="2"/>
      </rPr>
      <t xml:space="preserve">位</t>
    </r>
  </si>
  <si>
    <r>
      <rPr>
        <sz val="10"/>
        <rFont val="WenQuanYi Zen Hei"/>
        <family val="2"/>
      </rPr>
      <t xml:space="preserve">判定：強　【</t>
    </r>
    <r>
      <rPr>
        <sz val="10"/>
        <rFont val="Meiryo UI"/>
        <family val="0"/>
        <charset val="1"/>
      </rPr>
      <t xml:space="preserve">AI</t>
    </r>
    <r>
      <rPr>
        <sz val="10"/>
        <rFont val="WenQuanYi Zen Hei"/>
        <family val="2"/>
      </rPr>
      <t xml:space="preserve">応募書類】競合相手：</t>
    </r>
    <r>
      <rPr>
        <sz val="10"/>
        <rFont val="Meiryo UI"/>
        <family val="0"/>
        <charset val="1"/>
      </rPr>
      <t xml:space="preserve">/shokumukeirekisho-ai-chatgpt-sakusei/</t>
    </r>
    <r>
      <rPr>
        <sz val="10"/>
        <rFont val="WenQuanYi Zen Hei"/>
        <family val="2"/>
      </rPr>
      <t xml:space="preserve">、</t>
    </r>
    <r>
      <rPr>
        <sz val="10"/>
        <rFont val="Meiryo UI"/>
        <family val="0"/>
        <charset val="1"/>
      </rPr>
      <t xml:space="preserve">/ai-buntai-rirekisho-syokumukerekisho/</t>
    </r>
    <r>
      <rPr>
        <sz val="10"/>
        <rFont val="WenQuanYi Zen Hei"/>
        <family val="2"/>
      </rPr>
      <t xml:space="preserve">、</t>
    </r>
    <r>
      <rPr>
        <sz val="10"/>
        <rFont val="Meiryo UI"/>
        <family val="0"/>
        <charset val="1"/>
      </rPr>
      <t xml:space="preserve">/ai-mensetsu-shorui-senko/
ai-buntai</t>
    </r>
    <r>
      <rPr>
        <sz val="10"/>
        <rFont val="WenQuanYi Zen Hei"/>
        <family val="2"/>
      </rPr>
      <t xml:space="preserve">（表示ほぼゼロ）を</t>
    </r>
    <r>
      <rPr>
        <sz val="10"/>
        <rFont val="Meiryo UI"/>
        <family val="0"/>
        <charset val="1"/>
      </rPr>
      <t xml:space="preserve">rirekisho-ai-bareru</t>
    </r>
    <r>
      <rPr>
        <sz val="10"/>
        <rFont val="WenQuanYi Zen Hei"/>
        <family val="2"/>
      </rPr>
      <t xml:space="preserve">へ統合し</t>
    </r>
    <r>
      <rPr>
        <sz val="10"/>
        <rFont val="Meiryo UI"/>
        <family val="0"/>
        <charset val="1"/>
      </rPr>
      <t xml:space="preserve">301</t>
    </r>
    <r>
      <rPr>
        <sz val="10"/>
        <rFont val="WenQuanYi Zen Hei"/>
        <family val="2"/>
      </rPr>
      <t xml:space="preserve">。</t>
    </r>
    <r>
      <rPr>
        <sz val="10"/>
        <rFont val="Meiryo UI"/>
        <family val="0"/>
        <charset val="1"/>
      </rPr>
      <t xml:space="preserve">shokumukeirekisho-ai-chatgpt-sakusei</t>
    </r>
    <r>
      <rPr>
        <sz val="10"/>
        <rFont val="WenQuanYi Zen Hei"/>
        <family val="2"/>
      </rPr>
      <t xml:space="preserve">は「作り方・プロンプト」に特化しタイトルから「バレる」を外す。</t>
    </r>
    <r>
      <rPr>
        <sz val="10"/>
        <rFont val="Meiryo UI"/>
        <family val="0"/>
        <charset val="1"/>
      </rPr>
      <t xml:space="preserve">ai-mensetsu-shorui-senko</t>
    </r>
    <r>
      <rPr>
        <sz val="10"/>
        <rFont val="WenQuanYi Zen Hei"/>
        <family val="2"/>
      </rPr>
      <t xml:space="preserve">は「</t>
    </r>
    <r>
      <rPr>
        <sz val="10"/>
        <rFont val="Meiryo UI"/>
        <family val="0"/>
        <charset val="1"/>
      </rPr>
      <t xml:space="preserve">AI</t>
    </r>
    <r>
      <rPr>
        <sz val="10"/>
        <rFont val="WenQuanYi Zen Hei"/>
        <family val="2"/>
      </rPr>
      <t xml:space="preserve">面接・</t>
    </r>
    <r>
      <rPr>
        <sz val="10"/>
        <rFont val="Meiryo UI"/>
        <family val="0"/>
        <charset val="1"/>
      </rPr>
      <t xml:space="preserve">AI</t>
    </r>
    <r>
      <rPr>
        <sz val="10"/>
        <rFont val="WenQuanYi Zen Hei"/>
        <family val="2"/>
      </rPr>
      <t xml:space="preserve">書類選考（企業側が</t>
    </r>
    <r>
      <rPr>
        <sz val="10"/>
        <rFont val="Meiryo UI"/>
        <family val="0"/>
        <charset val="1"/>
      </rPr>
      <t xml:space="preserve">AI</t>
    </r>
    <r>
      <rPr>
        <sz val="10"/>
        <rFont val="WenQuanYi Zen Hei"/>
        <family val="2"/>
      </rPr>
      <t xml:space="preserve">を使う話）」に差別化。
</t>
    </r>
    <r>
      <rPr>
        <sz val="10"/>
        <rFont val="Meiryo UI"/>
        <family val="0"/>
        <charset val="1"/>
      </rPr>
      <t xml:space="preserve">AI×</t>
    </r>
    <r>
      <rPr>
        <sz val="10"/>
        <rFont val="WenQuanYi Zen Hei"/>
        <family val="2"/>
      </rPr>
      <t xml:space="preserve">応募書類の記事を整理。</t>
    </r>
    <r>
      <rPr>
        <sz val="10"/>
        <rFont val="Meiryo UI"/>
        <family val="0"/>
        <charset val="1"/>
      </rPr>
      <t xml:space="preserve">/ai-buntai-rirekisho-syokumukerekisho/</t>
    </r>
    <r>
      <rPr>
        <sz val="10"/>
        <rFont val="WenQuanYi Zen Hei"/>
        <family val="2"/>
      </rPr>
      <t xml:space="preserve">を本記事に統合して</t>
    </r>
    <r>
      <rPr>
        <sz val="10"/>
        <rFont val="Meiryo UI"/>
        <family val="0"/>
        <charset val="1"/>
      </rPr>
      <t xml:space="preserve">301</t>
    </r>
    <r>
      <rPr>
        <sz val="10"/>
        <rFont val="WenQuanYi Zen Hei"/>
        <family val="2"/>
      </rPr>
      <t xml:space="preserve">。</t>
    </r>
    <r>
      <rPr>
        <sz val="10"/>
        <rFont val="Meiryo UI"/>
        <family val="0"/>
        <charset val="1"/>
      </rPr>
      <t xml:space="preserve">/shokumukeirekisho-ai-chatgpt-sakusei/</t>
    </r>
    <r>
      <rPr>
        <sz val="10"/>
        <rFont val="WenQuanYi Zen Hei"/>
        <family val="2"/>
      </rPr>
      <t xml:space="preserve">は「作り方・プロンプト例」に特化し、タイトルから「バレる」を外す。本記事は履歴書・職務経歴書の両方の「バレる？」を担当し、職務経歴書の見出しを強化。「チャッピー」など俗称（</t>
    </r>
    <r>
      <rPr>
        <sz val="10"/>
        <rFont val="Meiryo UI"/>
        <family val="0"/>
        <charset val="1"/>
      </rPr>
      <t xml:space="preserve">33</t>
    </r>
    <r>
      <rPr>
        <sz val="10"/>
        <rFont val="WenQuanYi Zen Hei"/>
        <family val="2"/>
      </rPr>
      <t xml:space="preserve">表示）も本文で拾う。</t>
    </r>
  </si>
  <si>
    <r>
      <rPr>
        <b val="true"/>
        <sz val="12"/>
        <color rgb="FFFFFFFF"/>
        <rFont val="WenQuanYi Zen Hei"/>
        <family val="2"/>
      </rPr>
      <t xml:space="preserve">優先</t>
    </r>
    <r>
      <rPr>
        <b val="true"/>
        <sz val="12"/>
        <color rgb="FFFFFFFF"/>
        <rFont val="Meiryo UI"/>
        <family val="0"/>
        <charset val="1"/>
      </rPr>
      <t xml:space="preserve">8</t>
    </r>
    <r>
      <rPr>
        <b val="true"/>
        <sz val="12"/>
        <color rgb="FFFFFFFF"/>
        <rFont val="WenQuanYi Zen Hei"/>
        <family val="2"/>
      </rPr>
      <t xml:space="preserve">　</t>
    </r>
    <r>
      <rPr>
        <b val="true"/>
        <sz val="12"/>
        <color rgb="FFFFFFFF"/>
        <rFont val="Meiryo UI"/>
        <family val="0"/>
        <charset val="1"/>
      </rPr>
      <t xml:space="preserve">/instant-offer-one-interview-black-company-warning/</t>
    </r>
  </si>
  <si>
    <t xml:space="preserve">https://saiyo-ura.com/instant-offer-one-interview-black-company-warning/</t>
  </si>
  <si>
    <r>
      <rPr>
        <sz val="10"/>
        <rFont val="Meiryo UI"/>
        <family val="0"/>
        <charset val="1"/>
      </rPr>
      <t xml:space="preserve">3</t>
    </r>
    <r>
      <rPr>
        <sz val="10"/>
        <rFont val="WenQuanYi Zen Hei"/>
        <family val="2"/>
      </rPr>
      <t xml:space="preserve">か月：表示</t>
    </r>
    <r>
      <rPr>
        <sz val="10"/>
        <rFont val="Meiryo UI"/>
        <family val="0"/>
        <charset val="1"/>
      </rPr>
      <t xml:space="preserve">9,968</t>
    </r>
    <r>
      <rPr>
        <sz val="10"/>
        <rFont val="WenQuanYi Zen Hei"/>
        <family val="2"/>
      </rPr>
      <t xml:space="preserve">・クリック</t>
    </r>
    <r>
      <rPr>
        <sz val="10"/>
        <rFont val="Meiryo UI"/>
        <family val="0"/>
        <charset val="1"/>
      </rPr>
      <t xml:space="preserve">349</t>
    </r>
    <r>
      <rPr>
        <sz val="10"/>
        <rFont val="WenQuanYi Zen Hei"/>
        <family val="2"/>
      </rPr>
      <t xml:space="preserve">・</t>
    </r>
    <r>
      <rPr>
        <sz val="10"/>
        <rFont val="Meiryo UI"/>
        <family val="0"/>
        <charset val="1"/>
      </rPr>
      <t xml:space="preserve">CTR3.5%</t>
    </r>
    <r>
      <rPr>
        <sz val="10"/>
        <rFont val="WenQuanYi Zen Hei"/>
        <family val="2"/>
      </rPr>
      <t xml:space="preserve">・平均</t>
    </r>
    <r>
      <rPr>
        <sz val="10"/>
        <rFont val="Meiryo UI"/>
        <family val="0"/>
        <charset val="1"/>
      </rPr>
      <t xml:space="preserve">6.3</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2.1</t>
    </r>
    <r>
      <rPr>
        <sz val="10"/>
        <rFont val="WenQuanYi Zen Hei"/>
        <family val="2"/>
      </rPr>
      <t xml:space="preserve">（以前</t>
    </r>
    <r>
      <rPr>
        <sz val="10"/>
        <rFont val="Meiryo UI"/>
        <family val="0"/>
        <charset val="1"/>
      </rPr>
      <t xml:space="preserve">4.5</t>
    </r>
    <r>
      <rPr>
        <sz val="10"/>
        <rFont val="WenQuanYi Zen Hei"/>
        <family val="2"/>
      </rPr>
      <t xml:space="preserve">）・平均</t>
    </r>
    <r>
      <rPr>
        <sz val="10"/>
        <rFont val="Meiryo UI"/>
        <family val="0"/>
        <charset val="1"/>
      </rPr>
      <t xml:space="preserve">6.0</t>
    </r>
    <r>
      <rPr>
        <sz val="10"/>
        <rFont val="WenQuanYi Zen Hei"/>
        <family val="2"/>
      </rPr>
      <t xml:space="preserve">位</t>
    </r>
  </si>
  <si>
    <r>
      <rPr>
        <sz val="10"/>
        <rFont val="WenQuanYi Zen Hei"/>
        <family val="2"/>
      </rPr>
      <t xml:space="preserve">判定：小　【即内定】競合相手：</t>
    </r>
    <r>
      <rPr>
        <sz val="10"/>
        <rFont val="Meiryo UI"/>
        <family val="0"/>
        <charset val="1"/>
      </rPr>
      <t xml:space="preserve">/low-hiring-standards-black-company-risk/
</t>
    </r>
    <r>
      <rPr>
        <sz val="10"/>
        <rFont val="WenQuanYi Zen Hei"/>
        <family val="2"/>
      </rPr>
      <t xml:space="preserve">相互リンクのみ。
まずシークレットウィンドウで「面接</t>
    </r>
    <r>
      <rPr>
        <sz val="10"/>
        <rFont val="Meiryo UI"/>
        <family val="0"/>
        <charset val="1"/>
      </rPr>
      <t xml:space="preserve">1</t>
    </r>
    <r>
      <rPr>
        <sz val="10"/>
        <rFont val="WenQuanYi Zen Hei"/>
        <family val="2"/>
      </rPr>
      <t xml:space="preserve">回で内定 やばい」「即日内定 やばい」の検索結果を目視確認。「即日内定 やばい」</t>
    </r>
    <r>
      <rPr>
        <sz val="10"/>
        <rFont val="Meiryo UI"/>
        <family val="0"/>
        <charset val="1"/>
      </rPr>
      <t xml:space="preserve">308</t>
    </r>
    <r>
      <rPr>
        <sz val="10"/>
        <rFont val="WenQuanYi Zen Hei"/>
        <family val="2"/>
      </rPr>
      <t xml:space="preserve">表示</t>
    </r>
    <r>
      <rPr>
        <sz val="10"/>
        <rFont val="Meiryo UI"/>
        <family val="0"/>
        <charset val="1"/>
      </rPr>
      <t xml:space="preserve">5.5</t>
    </r>
    <r>
      <rPr>
        <sz val="10"/>
        <rFont val="WenQuanYi Zen Hei"/>
        <family val="2"/>
      </rPr>
      <t xml:space="preserve">位</t>
    </r>
    <r>
      <rPr>
        <sz val="10"/>
        <rFont val="Meiryo UI"/>
        <family val="0"/>
        <charset val="1"/>
      </rPr>
      <t xml:space="preserve">CTR2.6%</t>
    </r>
    <r>
      <rPr>
        <sz val="10"/>
        <rFont val="WenQuanYi Zen Hei"/>
        <family val="2"/>
      </rPr>
      <t xml:space="preserve">、「</t>
    </r>
    <r>
      <rPr>
        <sz val="10"/>
        <rFont val="Meiryo UI"/>
        <family val="0"/>
        <charset val="1"/>
      </rPr>
      <t xml:space="preserve">1day</t>
    </r>
    <r>
      <rPr>
        <sz val="10"/>
        <rFont val="WenQuanYi Zen Hei"/>
        <family val="2"/>
      </rPr>
      <t xml:space="preserve">選考会 やばい」（計</t>
    </r>
    <r>
      <rPr>
        <sz val="10"/>
        <rFont val="Meiryo UI"/>
        <family val="0"/>
        <charset val="1"/>
      </rPr>
      <t xml:space="preserve">175</t>
    </r>
    <r>
      <rPr>
        <sz val="10"/>
        <rFont val="WenQuanYi Zen Hei"/>
        <family val="2"/>
      </rPr>
      <t xml:space="preserve">表示・</t>
    </r>
    <r>
      <rPr>
        <sz val="10"/>
        <rFont val="Meiryo UI"/>
        <family val="0"/>
        <charset val="1"/>
      </rPr>
      <t xml:space="preserve">22</t>
    </r>
    <r>
      <rPr>
        <sz val="10"/>
        <rFont val="WenQuanYi Zen Hei"/>
        <family val="2"/>
      </rPr>
      <t xml:space="preserve">〜</t>
    </r>
    <r>
      <rPr>
        <sz val="10"/>
        <rFont val="Meiryo UI"/>
        <family val="0"/>
        <charset val="1"/>
      </rPr>
      <t xml:space="preserve">24</t>
    </r>
    <r>
      <rPr>
        <sz val="10"/>
        <rFont val="WenQuanYi Zen Hei"/>
        <family val="2"/>
      </rPr>
      <t xml:space="preserve">位）に答える見出しを追加。「面接</t>
    </r>
    <r>
      <rPr>
        <sz val="10"/>
        <rFont val="Meiryo UI"/>
        <family val="0"/>
        <charset val="1"/>
      </rPr>
      <t xml:space="preserve">1</t>
    </r>
    <r>
      <rPr>
        <sz val="10"/>
        <rFont val="WenQuanYi Zen Hei"/>
        <family val="2"/>
      </rPr>
      <t xml:space="preserve">回 ホワイト」（</t>
    </r>
    <r>
      <rPr>
        <sz val="10"/>
        <rFont val="Meiryo UI"/>
        <family val="0"/>
        <charset val="1"/>
      </rPr>
      <t xml:space="preserve">208</t>
    </r>
    <r>
      <rPr>
        <sz val="10"/>
        <rFont val="WenQuanYi Zen Hei"/>
        <family val="2"/>
      </rPr>
      <t xml:space="preserve">表示</t>
    </r>
    <r>
      <rPr>
        <sz val="10"/>
        <rFont val="Meiryo UI"/>
        <family val="0"/>
        <charset val="1"/>
      </rPr>
      <t xml:space="preserve">3.1</t>
    </r>
    <r>
      <rPr>
        <sz val="10"/>
        <rFont val="WenQuanYi Zen Hei"/>
        <family val="2"/>
      </rPr>
      <t xml:space="preserve">位）向けに「ホワイトな場合」の見出しを強化。</t>
    </r>
    <r>
      <rPr>
        <sz val="10"/>
        <rFont val="Meiryo UI"/>
        <family val="0"/>
        <charset val="1"/>
      </rPr>
      <t xml:space="preserve">/low-hiring-standards-black-company-risk/</t>
    </r>
    <r>
      <rPr>
        <sz val="10"/>
        <rFont val="WenQuanYi Zen Hei"/>
        <family val="2"/>
      </rPr>
      <t xml:space="preserve">と相互リンク。</t>
    </r>
  </si>
  <si>
    <r>
      <rPr>
        <b val="true"/>
        <sz val="12"/>
        <color rgb="FFFFFFFF"/>
        <rFont val="WenQuanYi Zen Hei"/>
        <family val="2"/>
      </rPr>
      <t xml:space="preserve">優先</t>
    </r>
    <r>
      <rPr>
        <b val="true"/>
        <sz val="12"/>
        <color rgb="FFFFFFFF"/>
        <rFont val="Meiryo UI"/>
        <family val="0"/>
        <charset val="1"/>
      </rPr>
      <t xml:space="preserve">9</t>
    </r>
    <r>
      <rPr>
        <b val="true"/>
        <sz val="12"/>
        <color rgb="FFFFFFFF"/>
        <rFont val="WenQuanYi Zen Hei"/>
        <family val="2"/>
      </rPr>
      <t xml:space="preserve">　</t>
    </r>
    <r>
      <rPr>
        <b val="true"/>
        <sz val="12"/>
        <color rgb="FFFFFFFF"/>
        <rFont val="Meiryo UI"/>
        <family val="0"/>
        <charset val="1"/>
      </rPr>
      <t xml:space="preserve">/it-tensyoku-agent-osusume/</t>
    </r>
  </si>
  <si>
    <t xml:space="preserve">https://saiyo-ura.com/it-tensyoku-agent-osusume/</t>
  </si>
  <si>
    <r>
      <rPr>
        <sz val="10"/>
        <rFont val="Meiryo UI"/>
        <family val="0"/>
        <charset val="1"/>
      </rPr>
      <t xml:space="preserve">3</t>
    </r>
    <r>
      <rPr>
        <sz val="10"/>
        <rFont val="WenQuanYi Zen Hei"/>
        <family val="2"/>
      </rPr>
      <t xml:space="preserve">か月：表示</t>
    </r>
    <r>
      <rPr>
        <sz val="10"/>
        <rFont val="Meiryo UI"/>
        <family val="0"/>
        <charset val="1"/>
      </rPr>
      <t xml:space="preserve">72</t>
    </r>
    <r>
      <rPr>
        <sz val="10"/>
        <rFont val="WenQuanYi Zen Hei"/>
        <family val="2"/>
      </rPr>
      <t xml:space="preserve">・クリック</t>
    </r>
    <r>
      <rPr>
        <sz val="10"/>
        <rFont val="Meiryo UI"/>
        <family val="0"/>
        <charset val="1"/>
      </rPr>
      <t xml:space="preserve">0</t>
    </r>
    <r>
      <rPr>
        <sz val="10"/>
        <rFont val="WenQuanYi Zen Hei"/>
        <family val="2"/>
      </rPr>
      <t xml:space="preserve">・</t>
    </r>
    <r>
      <rPr>
        <sz val="10"/>
        <rFont val="Meiryo UI"/>
        <family val="0"/>
        <charset val="1"/>
      </rPr>
      <t xml:space="preserve">CTR0.0%</t>
    </r>
    <r>
      <rPr>
        <sz val="10"/>
        <rFont val="WenQuanYi Zen Hei"/>
        <family val="2"/>
      </rPr>
      <t xml:space="preserve">・平均</t>
    </r>
    <r>
      <rPr>
        <sz val="10"/>
        <rFont val="Meiryo UI"/>
        <family val="0"/>
        <charset val="1"/>
      </rPr>
      <t xml:space="preserve">11.9</t>
    </r>
    <r>
      <rPr>
        <sz val="10"/>
        <rFont val="WenQuanYi Zen Hei"/>
        <family val="2"/>
      </rPr>
      <t xml:space="preserve">位／直近</t>
    </r>
    <r>
      <rPr>
        <sz val="10"/>
        <rFont val="Meiryo UI"/>
        <family val="0"/>
        <charset val="1"/>
      </rPr>
      <t xml:space="preserve">28</t>
    </r>
    <r>
      <rPr>
        <sz val="10"/>
        <rFont val="WenQuanYi Zen Hei"/>
        <family val="2"/>
      </rPr>
      <t xml:space="preserve">日：クリック</t>
    </r>
    <r>
      <rPr>
        <sz val="10"/>
        <rFont val="Meiryo UI"/>
        <family val="0"/>
        <charset val="1"/>
      </rPr>
      <t xml:space="preserve">/</t>
    </r>
    <r>
      <rPr>
        <sz val="10"/>
        <rFont val="WenQuanYi Zen Hei"/>
        <family val="2"/>
      </rPr>
      <t xml:space="preserve">日</t>
    </r>
    <r>
      <rPr>
        <sz val="10"/>
        <rFont val="Meiryo UI"/>
        <family val="0"/>
        <charset val="1"/>
      </rPr>
      <t xml:space="preserve">0.0</t>
    </r>
    <r>
      <rPr>
        <sz val="10"/>
        <rFont val="WenQuanYi Zen Hei"/>
        <family val="2"/>
      </rPr>
      <t xml:space="preserve">（以前</t>
    </r>
    <r>
      <rPr>
        <sz val="10"/>
        <rFont val="Meiryo UI"/>
        <family val="0"/>
        <charset val="1"/>
      </rPr>
      <t xml:space="preserve">0.0</t>
    </r>
    <r>
      <rPr>
        <sz val="10"/>
        <rFont val="WenQuanYi Zen Hei"/>
        <family val="2"/>
      </rPr>
      <t xml:space="preserve">）・平均</t>
    </r>
    <r>
      <rPr>
        <sz val="10"/>
        <rFont val="Meiryo UI"/>
        <family val="0"/>
        <charset val="1"/>
      </rPr>
      <t xml:space="preserve">10.1</t>
    </r>
    <r>
      <rPr>
        <sz val="10"/>
        <rFont val="WenQuanYi Zen Hei"/>
        <family val="2"/>
      </rPr>
      <t xml:space="preserve">位</t>
    </r>
  </si>
  <si>
    <r>
      <rPr>
        <sz val="10"/>
        <rFont val="WenQuanYi Zen Hei"/>
        <family val="2"/>
      </rPr>
      <t xml:space="preserve">判定：中　【エージェント総合】競合相手：</t>
    </r>
    <r>
      <rPr>
        <sz val="10"/>
        <rFont val="Meiryo UI"/>
        <family val="0"/>
        <charset val="1"/>
      </rPr>
      <t xml:space="preserve">/agent-review/
agent-review</t>
    </r>
    <r>
      <rPr>
        <sz val="10"/>
        <rFont val="WenQuanYi Zen Hei"/>
        <family val="2"/>
      </rPr>
      <t xml:space="preserve">を</t>
    </r>
    <r>
      <rPr>
        <sz val="10"/>
        <rFont val="Meiryo UI"/>
        <family val="0"/>
        <charset val="1"/>
      </rPr>
      <t xml:space="preserve">it-tensyoku-agent-osusume</t>
    </r>
    <r>
      <rPr>
        <sz val="10"/>
        <rFont val="WenQuanYi Zen Hei"/>
        <family val="2"/>
      </rPr>
      <t xml:space="preserve">へ統合し、おすすめ記事をサイト内の収益ハブに。
検索流入ではなく「サイト内からの送客で稼ぐ収益ハブ」に位置付け直す。エージェント個別評判記事（</t>
    </r>
    <r>
      <rPr>
        <sz val="10"/>
        <rFont val="Meiryo UI"/>
        <family val="0"/>
        <charset val="1"/>
      </rPr>
      <t xml:space="preserve">14</t>
    </r>
    <r>
      <rPr>
        <sz val="10"/>
        <rFont val="WenQuanYi Zen Hei"/>
        <family val="2"/>
      </rPr>
      <t xml:space="preserve">本）と相互リンク（ハブ＆スポーク）。</t>
    </r>
    <r>
      <rPr>
        <sz val="10"/>
        <rFont val="Meiryo UI"/>
        <family val="0"/>
        <charset val="1"/>
      </rPr>
      <t xml:space="preserve">/agent-review/</t>
    </r>
    <r>
      <rPr>
        <sz val="10"/>
        <rFont val="WenQuanYi Zen Hei"/>
        <family val="2"/>
      </rPr>
      <t xml:space="preserve">（表示</t>
    </r>
    <r>
      <rPr>
        <sz val="10"/>
        <rFont val="Meiryo UI"/>
        <family val="0"/>
        <charset val="1"/>
      </rPr>
      <t xml:space="preserve">1</t>
    </r>
    <r>
      <rPr>
        <sz val="10"/>
        <rFont val="WenQuanYi Zen Hei"/>
        <family val="2"/>
      </rPr>
      <t xml:space="preserve">回）を本記事に統合。</t>
    </r>
    <r>
      <rPr>
        <sz val="10"/>
        <rFont val="Meiryo UI"/>
        <family val="0"/>
        <charset val="1"/>
      </rPr>
      <t xml:space="preserve">KPI</t>
    </r>
    <r>
      <rPr>
        <sz val="10"/>
        <rFont val="WenQuanYi Zen Hei"/>
        <family val="2"/>
      </rPr>
      <t xml:space="preserve">は順位ではなく「サイト内からの流入 月</t>
    </r>
    <r>
      <rPr>
        <sz val="10"/>
        <rFont val="Meiryo UI"/>
        <family val="0"/>
        <charset val="1"/>
      </rPr>
      <t xml:space="preserve">100</t>
    </r>
    <r>
      <rPr>
        <sz val="10"/>
        <rFont val="WenQuanYi Zen Hei"/>
        <family val="2"/>
      </rPr>
      <t xml:space="preserve">以上」。</t>
    </r>
  </si>
  <si>
    <t xml:space="preserve">カニバリゼーション（記事同士の競合）分析</t>
  </si>
  <si>
    <r>
      <rPr>
        <sz val="9"/>
        <color rgb="FF595959"/>
        <rFont val="WenQuanYi Zen Hei"/>
        <family val="2"/>
      </rPr>
      <t xml:space="preserve">推定。確定は下の「</t>
    </r>
    <r>
      <rPr>
        <sz val="9"/>
        <color rgb="FF595959"/>
        <rFont val="Meiryo UI"/>
        <family val="0"/>
        <charset val="1"/>
      </rPr>
      <t xml:space="preserve">GSC</t>
    </r>
    <r>
      <rPr>
        <sz val="9"/>
        <color rgb="FF595959"/>
        <rFont val="WenQuanYi Zen Hei"/>
        <family val="2"/>
      </rPr>
      <t xml:space="preserve">での確認手順」で行ってください</t>
    </r>
  </si>
  <si>
    <r>
      <rPr>
        <b val="true"/>
        <sz val="10"/>
        <color rgb="FFFFFFFF"/>
        <rFont val="Meiryo UI"/>
        <family val="0"/>
        <charset val="1"/>
      </rPr>
      <t xml:space="preserve">3</t>
    </r>
    <r>
      <rPr>
        <b val="true"/>
        <sz val="10"/>
        <color rgb="FFFFFFFF"/>
        <rFont val="WenQuanYi Zen Hei"/>
        <family val="2"/>
      </rPr>
      <t xml:space="preserve">か月表示（合計）</t>
    </r>
  </si>
  <si>
    <t xml:space="preserve">記事（表示・平均順位）</t>
  </si>
  <si>
    <t xml:space="preserve">解消案（統合・差別化）</t>
  </si>
  <si>
    <r>
      <rPr>
        <b val="true"/>
        <sz val="10"/>
        <color rgb="FFFFFFFF"/>
        <rFont val="Meiryo UI"/>
        <family val="0"/>
        <charset val="1"/>
      </rPr>
      <t xml:space="preserve">GSC</t>
    </r>
    <r>
      <rPr>
        <b val="true"/>
        <sz val="10"/>
        <color rgb="FFFFFFFF"/>
        <rFont val="WenQuanYi Zen Hei"/>
        <family val="2"/>
      </rPr>
      <t xml:space="preserve">で確認すべきクエリ</t>
    </r>
  </si>
  <si>
    <r>
      <rPr>
        <sz val="10"/>
        <rFont val="Meiryo UI"/>
        <family val="0"/>
        <charset val="1"/>
      </rPr>
      <t xml:space="preserve">/tenshokukaigi-kuchikomi-mikata-tsukaikata/</t>
    </r>
    <r>
      <rPr>
        <sz val="10"/>
        <rFont val="WenQuanYi Zen Hei"/>
        <family val="2"/>
      </rPr>
      <t xml:space="preserve">（</t>
    </r>
    <r>
      <rPr>
        <sz val="10"/>
        <rFont val="Meiryo UI"/>
        <family val="0"/>
        <charset val="1"/>
      </rPr>
      <t xml:space="preserve">15,283</t>
    </r>
    <r>
      <rPr>
        <sz val="10"/>
        <rFont val="WenQuanYi Zen Hei"/>
        <family val="2"/>
      </rPr>
      <t xml:space="preserve">表示・</t>
    </r>
    <r>
      <rPr>
        <sz val="10"/>
        <rFont val="Meiryo UI"/>
        <family val="0"/>
        <charset val="1"/>
      </rPr>
      <t xml:space="preserve">9.7</t>
    </r>
    <r>
      <rPr>
        <sz val="10"/>
        <rFont val="WenQuanYi Zen Hei"/>
        <family val="2"/>
      </rPr>
      <t xml:space="preserve">位）
</t>
    </r>
    <r>
      <rPr>
        <sz val="10"/>
        <rFont val="Meiryo UI"/>
        <family val="0"/>
        <charset val="1"/>
      </rPr>
      <t xml:space="preserve">/tenshokukaigi-openwork-comparison/</t>
    </r>
    <r>
      <rPr>
        <sz val="10"/>
        <rFont val="WenQuanYi Zen Hei"/>
        <family val="2"/>
      </rPr>
      <t xml:space="preserve">（</t>
    </r>
    <r>
      <rPr>
        <sz val="10"/>
        <rFont val="Meiryo UI"/>
        <family val="0"/>
        <charset val="1"/>
      </rPr>
      <t xml:space="preserve">8,555</t>
    </r>
    <r>
      <rPr>
        <sz val="10"/>
        <rFont val="WenQuanYi Zen Hei"/>
        <family val="2"/>
      </rPr>
      <t xml:space="preserve">表示・</t>
    </r>
    <r>
      <rPr>
        <sz val="10"/>
        <rFont val="Meiryo UI"/>
        <family val="0"/>
        <charset val="1"/>
      </rPr>
      <t xml:space="preserve">7.9</t>
    </r>
    <r>
      <rPr>
        <sz val="10"/>
        <rFont val="WenQuanYi Zen Hei"/>
        <family val="2"/>
      </rPr>
      <t xml:space="preserve">位）
</t>
    </r>
    <r>
      <rPr>
        <sz val="10"/>
        <rFont val="Meiryo UI"/>
        <family val="0"/>
        <charset val="1"/>
      </rPr>
      <t xml:space="preserve">/tenshokukaigi-cancel-withdrawal/</t>
    </r>
    <r>
      <rPr>
        <sz val="10"/>
        <rFont val="WenQuanYi Zen Hei"/>
        <family val="2"/>
      </rPr>
      <t xml:space="preserve">（</t>
    </r>
    <r>
      <rPr>
        <sz val="10"/>
        <rFont val="Meiryo UI"/>
        <family val="0"/>
        <charset val="1"/>
      </rPr>
      <t xml:space="preserve">3,716</t>
    </r>
    <r>
      <rPr>
        <sz val="10"/>
        <rFont val="WenQuanYi Zen Hei"/>
        <family val="2"/>
      </rPr>
      <t xml:space="preserve">表示・</t>
    </r>
    <r>
      <rPr>
        <sz val="10"/>
        <rFont val="Meiryo UI"/>
        <family val="0"/>
        <charset val="1"/>
      </rPr>
      <t xml:space="preserve">4.5</t>
    </r>
    <r>
      <rPr>
        <sz val="10"/>
        <rFont val="WenQuanYi Zen Hei"/>
        <family val="2"/>
      </rPr>
      <t xml:space="preserve">位）
</t>
    </r>
    <r>
      <rPr>
        <sz val="10"/>
        <rFont val="Meiryo UI"/>
        <family val="0"/>
        <charset val="1"/>
      </rPr>
      <t xml:space="preserve">/tenshokukaigi-toroku-bareru/</t>
    </r>
    <r>
      <rPr>
        <sz val="10"/>
        <rFont val="WenQuanYi Zen Hei"/>
        <family val="2"/>
      </rPr>
      <t xml:space="preserve">（</t>
    </r>
    <r>
      <rPr>
        <sz val="10"/>
        <rFont val="Meiryo UI"/>
        <family val="0"/>
        <charset val="1"/>
      </rPr>
      <t xml:space="preserve">1,007</t>
    </r>
    <r>
      <rPr>
        <sz val="10"/>
        <rFont val="WenQuanYi Zen Hei"/>
        <family val="2"/>
      </rPr>
      <t xml:space="preserve">表示・</t>
    </r>
    <r>
      <rPr>
        <sz val="10"/>
        <rFont val="Meiryo UI"/>
        <family val="0"/>
        <charset val="1"/>
      </rPr>
      <t xml:space="preserve">6.0</t>
    </r>
    <r>
      <rPr>
        <sz val="10"/>
        <rFont val="WenQuanYi Zen Hei"/>
        <family val="2"/>
      </rPr>
      <t xml:space="preserve">位）</t>
    </r>
  </si>
  <si>
    <r>
      <rPr>
        <sz val="10"/>
        <rFont val="Meiryo UI"/>
        <family val="0"/>
        <charset val="1"/>
      </rPr>
      <t xml:space="preserve">4</t>
    </r>
    <r>
      <rPr>
        <sz val="10"/>
        <rFont val="WenQuanYi Zen Hei"/>
        <family val="2"/>
      </rPr>
      <t xml:space="preserve">記事が「転職会議」系クエリを分け合い、汎用クエリ「転職会議」</t>
    </r>
    <r>
      <rPr>
        <sz val="10"/>
        <rFont val="Meiryo UI"/>
        <family val="0"/>
        <charset val="1"/>
      </rPr>
      <t xml:space="preserve">1,646</t>
    </r>
    <r>
      <rPr>
        <sz val="10"/>
        <rFont val="WenQuanYi Zen Hei"/>
        <family val="2"/>
      </rPr>
      <t xml:space="preserve">表示は</t>
    </r>
    <r>
      <rPr>
        <sz val="10"/>
        <rFont val="Meiryo UI"/>
        <family val="0"/>
        <charset val="1"/>
      </rPr>
      <t xml:space="preserve">9.6</t>
    </r>
    <r>
      <rPr>
        <sz val="10"/>
        <rFont val="WenQuanYi Zen Hei"/>
        <family val="2"/>
      </rPr>
      <t xml:space="preserve">位・</t>
    </r>
    <r>
      <rPr>
        <sz val="10"/>
        <rFont val="Meiryo UI"/>
        <family val="0"/>
        <charset val="1"/>
      </rPr>
      <t xml:space="preserve">CTR0.5%</t>
    </r>
    <r>
      <rPr>
        <sz val="10"/>
        <rFont val="WenQuanYi Zen Hei"/>
        <family val="2"/>
      </rPr>
      <t xml:space="preserve">、「口コミ 見る方法」</t>
    </r>
    <r>
      <rPr>
        <sz val="10"/>
        <rFont val="Meiryo UI"/>
        <family val="0"/>
        <charset val="1"/>
      </rPr>
      <t xml:space="preserve">1,027</t>
    </r>
    <r>
      <rPr>
        <sz val="10"/>
        <rFont val="WenQuanYi Zen Hei"/>
        <family val="2"/>
      </rPr>
      <t xml:space="preserve">表示は</t>
    </r>
    <r>
      <rPr>
        <sz val="10"/>
        <rFont val="Meiryo UI"/>
        <family val="0"/>
        <charset val="1"/>
      </rPr>
      <t xml:space="preserve">9.5</t>
    </r>
    <r>
      <rPr>
        <sz val="10"/>
        <rFont val="WenQuanYi Zen Hei"/>
        <family val="2"/>
      </rPr>
      <t xml:space="preserve">位。</t>
    </r>
    <r>
      <rPr>
        <sz val="10"/>
        <rFont val="Meiryo UI"/>
        <family val="0"/>
        <charset val="1"/>
      </rPr>
      <t xml:space="preserve">3</t>
    </r>
    <r>
      <rPr>
        <sz val="10"/>
        <rFont val="WenQuanYi Zen Hei"/>
        <family val="2"/>
      </rPr>
      <t xml:space="preserve">記事とも</t>
    </r>
    <r>
      <rPr>
        <sz val="10"/>
        <rFont val="Meiryo UI"/>
        <family val="0"/>
        <charset val="1"/>
      </rPr>
      <t xml:space="preserve">6</t>
    </r>
    <r>
      <rPr>
        <sz val="10"/>
        <rFont val="WenQuanYi Zen Hei"/>
        <family val="2"/>
      </rPr>
      <t xml:space="preserve">〜</t>
    </r>
    <r>
      <rPr>
        <sz val="10"/>
        <rFont val="Meiryo UI"/>
        <family val="0"/>
        <charset val="1"/>
      </rPr>
      <t xml:space="preserve">10</t>
    </r>
    <r>
      <rPr>
        <sz val="10"/>
        <rFont val="WenQuanYi Zen Hei"/>
        <family val="2"/>
      </rPr>
      <t xml:space="preserve">位で頭打ち。</t>
    </r>
  </si>
  <si>
    <r>
      <rPr>
        <sz val="10"/>
        <rFont val="WenQuanYi Zen Hei"/>
        <family val="2"/>
      </rPr>
      <t xml:space="preserve">統合ではなく役割分担。</t>
    </r>
    <r>
      <rPr>
        <sz val="10"/>
        <rFont val="Meiryo UI"/>
        <family val="0"/>
        <charset val="1"/>
      </rPr>
      <t xml:space="preserve">kuchikomi-mikata-tsukaikata</t>
    </r>
    <r>
      <rPr>
        <sz val="10"/>
        <rFont val="WenQuanYi Zen Hei"/>
        <family val="2"/>
      </rPr>
      <t xml:space="preserve">＝総合（見る方法・評判・危ない）、</t>
    </r>
    <r>
      <rPr>
        <sz val="10"/>
        <rFont val="Meiryo UI"/>
        <family val="0"/>
        <charset val="1"/>
      </rPr>
      <t xml:space="preserve">openwork-comparison</t>
    </r>
    <r>
      <rPr>
        <sz val="10"/>
        <rFont val="WenQuanYi Zen Hei"/>
        <family val="2"/>
      </rPr>
      <t xml:space="preserve">＝比較のみ、</t>
    </r>
    <r>
      <rPr>
        <sz val="10"/>
        <rFont val="Meiryo UI"/>
        <family val="0"/>
        <charset val="1"/>
      </rPr>
      <t xml:space="preserve">toroku-bareru</t>
    </r>
    <r>
      <rPr>
        <sz val="10"/>
        <rFont val="WenQuanYi Zen Hei"/>
        <family val="2"/>
      </rPr>
      <t xml:space="preserve">＝身バレのみ、</t>
    </r>
    <r>
      <rPr>
        <sz val="10"/>
        <rFont val="Meiryo UI"/>
        <family val="0"/>
        <charset val="1"/>
      </rPr>
      <t xml:space="preserve">cancel-withdrawal</t>
    </r>
    <r>
      <rPr>
        <sz val="10"/>
        <rFont val="WenQuanYi Zen Hei"/>
        <family val="2"/>
      </rPr>
      <t xml:space="preserve">＝退会のみ。重複セクションは</t>
    </r>
    <r>
      <rPr>
        <sz val="10"/>
        <rFont val="Meiryo UI"/>
        <family val="0"/>
        <charset val="1"/>
      </rPr>
      <t xml:space="preserve">3</t>
    </r>
    <r>
      <rPr>
        <sz val="10"/>
        <rFont val="WenQuanYi Zen Hei"/>
        <family val="2"/>
      </rPr>
      <t xml:space="preserve">行要約＋リンクに。</t>
    </r>
  </si>
  <si>
    <r>
      <rPr>
        <sz val="10"/>
        <rFont val="WenQuanYi Zen Hei"/>
        <family val="2"/>
      </rPr>
      <t xml:space="preserve">転職会議 </t>
    </r>
    <r>
      <rPr>
        <sz val="10"/>
        <rFont val="Meiryo UI"/>
        <family val="0"/>
        <charset val="1"/>
      </rPr>
      <t xml:space="preserve">/ </t>
    </r>
    <r>
      <rPr>
        <sz val="10"/>
        <rFont val="WenQuanYi Zen Hei"/>
        <family val="2"/>
      </rPr>
      <t xml:space="preserve">転職会議 口コミ 見る方法 </t>
    </r>
    <r>
      <rPr>
        <sz val="10"/>
        <rFont val="Meiryo UI"/>
        <family val="0"/>
        <charset val="1"/>
      </rPr>
      <t xml:space="preserve">/ </t>
    </r>
    <r>
      <rPr>
        <sz val="10"/>
        <rFont val="WenQuanYi Zen Hei"/>
        <family val="2"/>
      </rPr>
      <t xml:space="preserve">転職会議 評判 </t>
    </r>
    <r>
      <rPr>
        <sz val="10"/>
        <rFont val="Meiryo UI"/>
        <family val="0"/>
        <charset val="1"/>
      </rPr>
      <t xml:space="preserve">/ </t>
    </r>
    <r>
      <rPr>
        <sz val="10"/>
        <rFont val="WenQuanYi Zen Hei"/>
        <family val="2"/>
      </rPr>
      <t xml:space="preserve">転職会議 登録</t>
    </r>
  </si>
  <si>
    <r>
      <rPr>
        <sz val="10"/>
        <rFont val="Meiryo UI"/>
        <family val="0"/>
        <charset val="1"/>
      </rPr>
      <t xml:space="preserve">/recruit-agent-hyoban/</t>
    </r>
    <r>
      <rPr>
        <sz val="10"/>
        <rFont val="WenQuanYi Zen Hei"/>
        <family val="2"/>
      </rPr>
      <t xml:space="preserve">（</t>
    </r>
    <r>
      <rPr>
        <sz val="10"/>
        <rFont val="Meiryo UI"/>
        <family val="0"/>
        <charset val="1"/>
      </rPr>
      <t xml:space="preserve">2,082</t>
    </r>
    <r>
      <rPr>
        <sz val="10"/>
        <rFont val="WenQuanYi Zen Hei"/>
        <family val="2"/>
      </rPr>
      <t xml:space="preserve">表示・</t>
    </r>
    <r>
      <rPr>
        <sz val="10"/>
        <rFont val="Meiryo UI"/>
        <family val="0"/>
        <charset val="1"/>
      </rPr>
      <t xml:space="preserve">5.4</t>
    </r>
    <r>
      <rPr>
        <sz val="10"/>
        <rFont val="WenQuanYi Zen Hei"/>
        <family val="2"/>
      </rPr>
      <t xml:space="preserve">位）
</t>
    </r>
    <r>
      <rPr>
        <sz val="10"/>
        <rFont val="Meiryo UI"/>
        <family val="0"/>
        <charset val="1"/>
      </rPr>
      <t xml:space="preserve">/recruit-agent-tsukaikata/</t>
    </r>
    <r>
      <rPr>
        <sz val="10"/>
        <rFont val="WenQuanYi Zen Hei"/>
        <family val="2"/>
      </rPr>
      <t xml:space="preserve">（</t>
    </r>
    <r>
      <rPr>
        <sz val="10"/>
        <rFont val="Meiryo UI"/>
        <family val="0"/>
        <charset val="1"/>
      </rPr>
      <t xml:space="preserve">809</t>
    </r>
    <r>
      <rPr>
        <sz val="10"/>
        <rFont val="WenQuanYi Zen Hei"/>
        <family val="2"/>
      </rPr>
      <t xml:space="preserve">表示・</t>
    </r>
    <r>
      <rPr>
        <sz val="10"/>
        <rFont val="Meiryo UI"/>
        <family val="0"/>
        <charset val="1"/>
      </rPr>
      <t xml:space="preserve">6.2</t>
    </r>
    <r>
      <rPr>
        <sz val="10"/>
        <rFont val="WenQuanYi Zen Hei"/>
        <family val="2"/>
      </rPr>
      <t xml:space="preserve">位）</t>
    </r>
  </si>
  <si>
    <r>
      <rPr>
        <sz val="10"/>
        <rFont val="WenQuanYi Zen Hei"/>
        <family val="2"/>
      </rPr>
      <t xml:space="preserve">評判記事（</t>
    </r>
    <r>
      <rPr>
        <sz val="10"/>
        <rFont val="Meiryo UI"/>
        <family val="0"/>
        <charset val="1"/>
      </rPr>
      <t xml:space="preserve">hyoban</t>
    </r>
    <r>
      <rPr>
        <sz val="10"/>
        <rFont val="WenQuanYi Zen Hei"/>
        <family val="2"/>
      </rPr>
      <t xml:space="preserve">）の関連クエリ上位が「面接後アンケート」系で、直近</t>
    </r>
    <r>
      <rPr>
        <sz val="10"/>
        <rFont val="Meiryo UI"/>
        <family val="0"/>
        <charset val="1"/>
      </rPr>
      <t xml:space="preserve">28</t>
    </r>
    <r>
      <rPr>
        <sz val="10"/>
        <rFont val="WenQuanYi Zen Hei"/>
        <family val="2"/>
      </rPr>
      <t xml:space="preserve">日に公開された使い方記事（</t>
    </r>
    <r>
      <rPr>
        <sz val="10"/>
        <rFont val="Meiryo UI"/>
        <family val="0"/>
        <charset val="1"/>
      </rPr>
      <t xml:space="preserve">tsukaikata</t>
    </r>
    <r>
      <rPr>
        <sz val="10"/>
        <rFont val="WenQuanYi Zen Hei"/>
        <family val="2"/>
      </rPr>
      <t xml:space="preserve">）も同じクエリに該当。本来の「評判」系クエリが上位</t>
    </r>
    <r>
      <rPr>
        <sz val="10"/>
        <rFont val="Meiryo UI"/>
        <family val="0"/>
        <charset val="1"/>
      </rPr>
      <t xml:space="preserve">1,000</t>
    </r>
    <r>
      <rPr>
        <sz val="10"/>
        <rFont val="WenQuanYi Zen Hei"/>
        <family val="2"/>
      </rPr>
      <t xml:space="preserve">件に入っていない。</t>
    </r>
  </si>
  <si>
    <r>
      <rPr>
        <sz val="10"/>
        <rFont val="Meiryo UI"/>
        <family val="0"/>
        <charset val="1"/>
      </rPr>
      <t xml:space="preserve">hyoban</t>
    </r>
    <r>
      <rPr>
        <sz val="10"/>
        <rFont val="WenQuanYi Zen Hei"/>
        <family val="2"/>
      </rPr>
      <t xml:space="preserve">＝評判・口コミ・向いてる人（登録前の判断）、</t>
    </r>
    <r>
      <rPr>
        <sz val="10"/>
        <rFont val="Meiryo UI"/>
        <family val="0"/>
        <charset val="1"/>
      </rPr>
      <t xml:space="preserve">tsukaikata</t>
    </r>
    <r>
      <rPr>
        <sz val="10"/>
        <rFont val="WenQuanYi Zen Hei"/>
        <family val="2"/>
      </rPr>
      <t xml:space="preserve">＝面接後アンケート・求人ポスト・面談（登録後の使い方）。</t>
    </r>
    <r>
      <rPr>
        <sz val="10"/>
        <rFont val="Meiryo UI"/>
        <family val="0"/>
        <charset val="1"/>
      </rPr>
      <t xml:space="preserve">hyoban</t>
    </r>
    <r>
      <rPr>
        <sz val="10"/>
        <rFont val="WenQuanYi Zen Hei"/>
        <family val="2"/>
      </rPr>
      <t xml:space="preserve">側のアンケート詳細は</t>
    </r>
    <r>
      <rPr>
        <sz val="10"/>
        <rFont val="Meiryo UI"/>
        <family val="0"/>
        <charset val="1"/>
      </rPr>
      <t xml:space="preserve">tsukaikata</t>
    </r>
    <r>
      <rPr>
        <sz val="10"/>
        <rFont val="WenQuanYi Zen Hei"/>
        <family val="2"/>
      </rPr>
      <t xml:space="preserve">へ移す。</t>
    </r>
  </si>
  <si>
    <r>
      <rPr>
        <sz val="10"/>
        <rFont val="WenQuanYi Zen Hei"/>
        <family val="2"/>
      </rPr>
      <t xml:space="preserve">リクルートエージェント 面接後 アンケート </t>
    </r>
    <r>
      <rPr>
        <sz val="10"/>
        <rFont val="Meiryo UI"/>
        <family val="0"/>
        <charset val="1"/>
      </rPr>
      <t xml:space="preserve">/ </t>
    </r>
    <r>
      <rPr>
        <sz val="10"/>
        <rFont val="WenQuanYi Zen Hei"/>
        <family val="2"/>
      </rPr>
      <t xml:space="preserve">リクルートエージェント 求人ポストとは </t>
    </r>
    <r>
      <rPr>
        <sz val="10"/>
        <rFont val="Meiryo UI"/>
        <family val="0"/>
        <charset val="1"/>
      </rPr>
      <t xml:space="preserve">/ </t>
    </r>
    <r>
      <rPr>
        <sz val="10"/>
        <rFont val="WenQuanYi Zen Hei"/>
        <family val="2"/>
      </rPr>
      <t xml:space="preserve">リクルートエージェント 評判</t>
    </r>
  </si>
  <si>
    <r>
      <rPr>
        <sz val="10"/>
        <rFont val="Meiryo UI"/>
        <family val="0"/>
        <charset val="1"/>
      </rPr>
      <t xml:space="preserve">/rirekisho-ai-bareru/</t>
    </r>
    <r>
      <rPr>
        <sz val="10"/>
        <rFont val="WenQuanYi Zen Hei"/>
        <family val="2"/>
      </rPr>
      <t xml:space="preserve">（</t>
    </r>
    <r>
      <rPr>
        <sz val="10"/>
        <rFont val="Meiryo UI"/>
        <family val="0"/>
        <charset val="1"/>
      </rPr>
      <t xml:space="preserve">3,319</t>
    </r>
    <r>
      <rPr>
        <sz val="10"/>
        <rFont val="WenQuanYi Zen Hei"/>
        <family val="2"/>
      </rPr>
      <t xml:space="preserve">表示・</t>
    </r>
    <r>
      <rPr>
        <sz val="10"/>
        <rFont val="Meiryo UI"/>
        <family val="0"/>
        <charset val="1"/>
      </rPr>
      <t xml:space="preserve">7.5</t>
    </r>
    <r>
      <rPr>
        <sz val="10"/>
        <rFont val="WenQuanYi Zen Hei"/>
        <family val="2"/>
      </rPr>
      <t xml:space="preserve">位）
</t>
    </r>
    <r>
      <rPr>
        <sz val="10"/>
        <rFont val="Meiryo UI"/>
        <family val="0"/>
        <charset val="1"/>
      </rPr>
      <t xml:space="preserve">/shokumukeirekisho-ai-chatgpt-sakusei/</t>
    </r>
    <r>
      <rPr>
        <sz val="10"/>
        <rFont val="WenQuanYi Zen Hei"/>
        <family val="2"/>
      </rPr>
      <t xml:space="preserve">（</t>
    </r>
    <r>
      <rPr>
        <sz val="10"/>
        <rFont val="Meiryo UI"/>
        <family val="0"/>
        <charset val="1"/>
      </rPr>
      <t xml:space="preserve">529</t>
    </r>
    <r>
      <rPr>
        <sz val="10"/>
        <rFont val="WenQuanYi Zen Hei"/>
        <family val="2"/>
      </rPr>
      <t xml:space="preserve">表示・</t>
    </r>
    <r>
      <rPr>
        <sz val="10"/>
        <rFont val="Meiryo UI"/>
        <family val="0"/>
        <charset val="1"/>
      </rPr>
      <t xml:space="preserve">13.4</t>
    </r>
    <r>
      <rPr>
        <sz val="10"/>
        <rFont val="WenQuanYi Zen Hei"/>
        <family val="2"/>
      </rPr>
      <t xml:space="preserve">位）
</t>
    </r>
    <r>
      <rPr>
        <sz val="10"/>
        <rFont val="Meiryo UI"/>
        <family val="0"/>
        <charset val="1"/>
      </rPr>
      <t xml:space="preserve">/ai-mensetsu-shorui-senko/</t>
    </r>
    <r>
      <rPr>
        <sz val="10"/>
        <rFont val="WenQuanYi Zen Hei"/>
        <family val="2"/>
      </rPr>
      <t xml:space="preserve">（</t>
    </r>
    <r>
      <rPr>
        <sz val="10"/>
        <rFont val="Meiryo UI"/>
        <family val="0"/>
        <charset val="1"/>
      </rPr>
      <t xml:space="preserve">128</t>
    </r>
    <r>
      <rPr>
        <sz val="10"/>
        <rFont val="WenQuanYi Zen Hei"/>
        <family val="2"/>
      </rPr>
      <t xml:space="preserve">表示・</t>
    </r>
    <r>
      <rPr>
        <sz val="10"/>
        <rFont val="Meiryo UI"/>
        <family val="0"/>
        <charset val="1"/>
      </rPr>
      <t xml:space="preserve">8.1</t>
    </r>
    <r>
      <rPr>
        <sz val="10"/>
        <rFont val="WenQuanYi Zen Hei"/>
        <family val="2"/>
      </rPr>
      <t xml:space="preserve">位）
</t>
    </r>
    <r>
      <rPr>
        <sz val="10"/>
        <rFont val="Meiryo UI"/>
        <family val="0"/>
        <charset val="1"/>
      </rPr>
      <t xml:space="preserve">/ai-buntai-rirekisho-syokumukerekisho/</t>
    </r>
    <r>
      <rPr>
        <sz val="10"/>
        <rFont val="WenQuanYi Zen Hei"/>
        <family val="2"/>
      </rPr>
      <t xml:space="preserve">（</t>
    </r>
    <r>
      <rPr>
        <sz val="10"/>
        <rFont val="Meiryo UI"/>
        <family val="0"/>
        <charset val="1"/>
      </rPr>
      <t xml:space="preserve">4</t>
    </r>
    <r>
      <rPr>
        <sz val="10"/>
        <rFont val="WenQuanYi Zen Hei"/>
        <family val="2"/>
      </rPr>
      <t xml:space="preserve">表示・</t>
    </r>
    <r>
      <rPr>
        <sz val="10"/>
        <rFont val="Meiryo UI"/>
        <family val="0"/>
        <charset val="1"/>
      </rPr>
      <t xml:space="preserve">5.8</t>
    </r>
    <r>
      <rPr>
        <sz val="10"/>
        <rFont val="WenQuanYi Zen Hei"/>
        <family val="2"/>
      </rPr>
      <t xml:space="preserve">位）</t>
    </r>
  </si>
  <si>
    <r>
      <rPr>
        <sz val="10"/>
        <rFont val="Meiryo UI"/>
        <family val="0"/>
        <charset val="1"/>
      </rPr>
      <t xml:space="preserve">AI×</t>
    </r>
    <r>
      <rPr>
        <sz val="10"/>
        <rFont val="WenQuanYi Zen Hei"/>
        <family val="2"/>
      </rPr>
      <t xml:space="preserve">応募書類で</t>
    </r>
    <r>
      <rPr>
        <sz val="10"/>
        <rFont val="Meiryo UI"/>
        <family val="0"/>
        <charset val="1"/>
      </rPr>
      <t xml:space="preserve">4</t>
    </r>
    <r>
      <rPr>
        <sz val="10"/>
        <rFont val="WenQuanYi Zen Hei"/>
        <family val="2"/>
      </rPr>
      <t xml:space="preserve">記事。主力の</t>
    </r>
    <r>
      <rPr>
        <sz val="10"/>
        <rFont val="Meiryo UI"/>
        <family val="0"/>
        <charset val="1"/>
      </rPr>
      <t xml:space="preserve">rirekisho-ai-bareru</t>
    </r>
    <r>
      <rPr>
        <sz val="10"/>
        <rFont val="WenQuanYi Zen Hei"/>
        <family val="2"/>
      </rPr>
      <t xml:space="preserve">は</t>
    </r>
    <r>
      <rPr>
        <sz val="10"/>
        <rFont val="Meiryo UI"/>
        <family val="0"/>
        <charset val="1"/>
      </rPr>
      <t xml:space="preserve">7.5</t>
    </r>
    <r>
      <rPr>
        <sz val="10"/>
        <rFont val="WenQuanYi Zen Hei"/>
        <family val="2"/>
      </rPr>
      <t xml:space="preserve">位→</t>
    </r>
    <r>
      <rPr>
        <sz val="10"/>
        <rFont val="Meiryo UI"/>
        <family val="0"/>
        <charset val="1"/>
      </rPr>
      <t xml:space="preserve">8.6</t>
    </r>
    <r>
      <rPr>
        <sz val="10"/>
        <rFont val="WenQuanYi Zen Hei"/>
        <family val="2"/>
      </rPr>
      <t xml:space="preserve">位に低下し、「職務経歴書 </t>
    </r>
    <r>
      <rPr>
        <sz val="10"/>
        <rFont val="Meiryo UI"/>
        <family val="0"/>
        <charset val="1"/>
      </rPr>
      <t xml:space="preserve">ai </t>
    </r>
    <r>
      <rPr>
        <sz val="10"/>
        <rFont val="WenQuanYi Zen Hei"/>
        <family val="2"/>
      </rPr>
      <t xml:space="preserve">バレる」は</t>
    </r>
    <r>
      <rPr>
        <sz val="10"/>
        <rFont val="Meiryo UI"/>
        <family val="0"/>
        <charset val="1"/>
      </rPr>
      <t xml:space="preserve">12.0</t>
    </r>
    <r>
      <rPr>
        <sz val="10"/>
        <rFont val="WenQuanYi Zen Hei"/>
        <family val="2"/>
      </rPr>
      <t xml:space="preserve">位。</t>
    </r>
  </si>
  <si>
    <r>
      <rPr>
        <sz val="10"/>
        <rFont val="Meiryo UI"/>
        <family val="0"/>
        <charset val="1"/>
      </rPr>
      <t xml:space="preserve">ai-buntai</t>
    </r>
    <r>
      <rPr>
        <sz val="10"/>
        <rFont val="WenQuanYi Zen Hei"/>
        <family val="2"/>
      </rPr>
      <t xml:space="preserve">（表示ほぼゼロ）を</t>
    </r>
    <r>
      <rPr>
        <sz val="10"/>
        <rFont val="Meiryo UI"/>
        <family val="0"/>
        <charset val="1"/>
      </rPr>
      <t xml:space="preserve">rirekisho-ai-bareru</t>
    </r>
    <r>
      <rPr>
        <sz val="10"/>
        <rFont val="WenQuanYi Zen Hei"/>
        <family val="2"/>
      </rPr>
      <t xml:space="preserve">へ統合し</t>
    </r>
    <r>
      <rPr>
        <sz val="10"/>
        <rFont val="Meiryo UI"/>
        <family val="0"/>
        <charset val="1"/>
      </rPr>
      <t xml:space="preserve">301</t>
    </r>
    <r>
      <rPr>
        <sz val="10"/>
        <rFont val="WenQuanYi Zen Hei"/>
        <family val="2"/>
      </rPr>
      <t xml:space="preserve">。</t>
    </r>
    <r>
      <rPr>
        <sz val="10"/>
        <rFont val="Meiryo UI"/>
        <family val="0"/>
        <charset val="1"/>
      </rPr>
      <t xml:space="preserve">shokumukeirekisho-ai-chatgpt-sakusei</t>
    </r>
    <r>
      <rPr>
        <sz val="10"/>
        <rFont val="WenQuanYi Zen Hei"/>
        <family val="2"/>
      </rPr>
      <t xml:space="preserve">は「作り方・プロンプト」に特化しタイトルから「バレる」を外す。</t>
    </r>
    <r>
      <rPr>
        <sz val="10"/>
        <rFont val="Meiryo UI"/>
        <family val="0"/>
        <charset val="1"/>
      </rPr>
      <t xml:space="preserve">ai-mensetsu-shorui-senko</t>
    </r>
    <r>
      <rPr>
        <sz val="10"/>
        <rFont val="WenQuanYi Zen Hei"/>
        <family val="2"/>
      </rPr>
      <t xml:space="preserve">は「</t>
    </r>
    <r>
      <rPr>
        <sz val="10"/>
        <rFont val="Meiryo UI"/>
        <family val="0"/>
        <charset val="1"/>
      </rPr>
      <t xml:space="preserve">AI</t>
    </r>
    <r>
      <rPr>
        <sz val="10"/>
        <rFont val="WenQuanYi Zen Hei"/>
        <family val="2"/>
      </rPr>
      <t xml:space="preserve">面接・</t>
    </r>
    <r>
      <rPr>
        <sz val="10"/>
        <rFont val="Meiryo UI"/>
        <family val="0"/>
        <charset val="1"/>
      </rPr>
      <t xml:space="preserve">AI</t>
    </r>
    <r>
      <rPr>
        <sz val="10"/>
        <rFont val="WenQuanYi Zen Hei"/>
        <family val="2"/>
      </rPr>
      <t xml:space="preserve">書類選考（企業側が</t>
    </r>
    <r>
      <rPr>
        <sz val="10"/>
        <rFont val="Meiryo UI"/>
        <family val="0"/>
        <charset val="1"/>
      </rPr>
      <t xml:space="preserve">AI</t>
    </r>
    <r>
      <rPr>
        <sz val="10"/>
        <rFont val="WenQuanYi Zen Hei"/>
        <family val="2"/>
      </rPr>
      <t xml:space="preserve">を使う話）」に差別化。</t>
    </r>
  </si>
  <si>
    <r>
      <rPr>
        <sz val="10"/>
        <rFont val="WenQuanYi Zen Hei"/>
        <family val="2"/>
      </rPr>
      <t xml:space="preserve">履歴書 </t>
    </r>
    <r>
      <rPr>
        <sz val="10"/>
        <rFont val="Meiryo UI"/>
        <family val="0"/>
        <charset val="1"/>
      </rPr>
      <t xml:space="preserve">ai </t>
    </r>
    <r>
      <rPr>
        <sz val="10"/>
        <rFont val="WenQuanYi Zen Hei"/>
        <family val="2"/>
      </rPr>
      <t xml:space="preserve">バレる </t>
    </r>
    <r>
      <rPr>
        <sz val="10"/>
        <rFont val="Meiryo UI"/>
        <family val="0"/>
        <charset val="1"/>
      </rPr>
      <t xml:space="preserve">/ </t>
    </r>
    <r>
      <rPr>
        <sz val="10"/>
        <rFont val="WenQuanYi Zen Hei"/>
        <family val="2"/>
      </rPr>
      <t xml:space="preserve">職務経歴書 </t>
    </r>
    <r>
      <rPr>
        <sz val="10"/>
        <rFont val="Meiryo UI"/>
        <family val="0"/>
        <charset val="1"/>
      </rPr>
      <t xml:space="preserve">ai </t>
    </r>
    <r>
      <rPr>
        <sz val="10"/>
        <rFont val="WenQuanYi Zen Hei"/>
        <family val="2"/>
      </rPr>
      <t xml:space="preserve">バレる </t>
    </r>
    <r>
      <rPr>
        <sz val="10"/>
        <rFont val="Meiryo UI"/>
        <family val="0"/>
        <charset val="1"/>
      </rPr>
      <t xml:space="preserve">/ </t>
    </r>
    <r>
      <rPr>
        <sz val="10"/>
        <rFont val="WenQuanYi Zen Hei"/>
        <family val="2"/>
      </rPr>
      <t xml:space="preserve">職務経歴書 </t>
    </r>
    <r>
      <rPr>
        <sz val="10"/>
        <rFont val="Meiryo UI"/>
        <family val="0"/>
        <charset val="1"/>
      </rPr>
      <t xml:space="preserve">chatgpt </t>
    </r>
    <r>
      <rPr>
        <sz val="10"/>
        <rFont val="WenQuanYi Zen Hei"/>
        <family val="2"/>
      </rPr>
      <t xml:space="preserve">バレる</t>
    </r>
  </si>
  <si>
    <r>
      <rPr>
        <sz val="10"/>
        <rFont val="Meiryo UI"/>
        <family val="0"/>
        <charset val="1"/>
      </rPr>
      <t xml:space="preserve">/chuto-syorui-senko-ochiru/</t>
    </r>
    <r>
      <rPr>
        <sz val="10"/>
        <rFont val="WenQuanYi Zen Hei"/>
        <family val="2"/>
      </rPr>
      <t xml:space="preserve">（</t>
    </r>
    <r>
      <rPr>
        <sz val="10"/>
        <rFont val="Meiryo UI"/>
        <family val="0"/>
        <charset val="1"/>
      </rPr>
      <t xml:space="preserve">1,357</t>
    </r>
    <r>
      <rPr>
        <sz val="10"/>
        <rFont val="WenQuanYi Zen Hei"/>
        <family val="2"/>
      </rPr>
      <t xml:space="preserve">表示・</t>
    </r>
    <r>
      <rPr>
        <sz val="10"/>
        <rFont val="Meiryo UI"/>
        <family val="0"/>
        <charset val="1"/>
      </rPr>
      <t xml:space="preserve">8.6</t>
    </r>
    <r>
      <rPr>
        <sz val="10"/>
        <rFont val="WenQuanYi Zen Hei"/>
        <family val="2"/>
      </rPr>
      <t xml:space="preserve">位）
</t>
    </r>
    <r>
      <rPr>
        <sz val="10"/>
        <rFont val="Meiryo UI"/>
        <family val="0"/>
        <charset val="1"/>
      </rPr>
      <t xml:space="preserve">/it-tensyoku-syorui-ochiru-riyu/</t>
    </r>
    <r>
      <rPr>
        <sz val="10"/>
        <rFont val="WenQuanYi Zen Hei"/>
        <family val="2"/>
      </rPr>
      <t xml:space="preserve">（</t>
    </r>
    <r>
      <rPr>
        <sz val="10"/>
        <rFont val="Meiryo UI"/>
        <family val="0"/>
        <charset val="1"/>
      </rPr>
      <t xml:space="preserve">979</t>
    </r>
    <r>
      <rPr>
        <sz val="10"/>
        <rFont val="WenQuanYi Zen Hei"/>
        <family val="2"/>
      </rPr>
      <t xml:space="preserve">表示・</t>
    </r>
    <r>
      <rPr>
        <sz val="10"/>
        <rFont val="Meiryo UI"/>
        <family val="0"/>
        <charset val="1"/>
      </rPr>
      <t xml:space="preserve">23.4</t>
    </r>
    <r>
      <rPr>
        <sz val="10"/>
        <rFont val="WenQuanYi Zen Hei"/>
        <family val="2"/>
      </rPr>
      <t xml:space="preserve">位）
</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641</t>
    </r>
    <r>
      <rPr>
        <sz val="10"/>
        <rFont val="WenQuanYi Zen Hei"/>
        <family val="2"/>
      </rPr>
      <t xml:space="preserve">表示・</t>
    </r>
    <r>
      <rPr>
        <sz val="10"/>
        <rFont val="Meiryo UI"/>
        <family val="0"/>
        <charset val="1"/>
      </rPr>
      <t xml:space="preserve">19.4</t>
    </r>
    <r>
      <rPr>
        <sz val="10"/>
        <rFont val="WenQuanYi Zen Hei"/>
        <family val="2"/>
      </rPr>
      <t xml:space="preserve">位）
</t>
    </r>
    <r>
      <rPr>
        <sz val="10"/>
        <rFont val="Meiryo UI"/>
        <family val="0"/>
        <charset val="1"/>
      </rPr>
      <t xml:space="preserve">/document-screening-1minute/</t>
    </r>
    <r>
      <rPr>
        <sz val="10"/>
        <rFont val="WenQuanYi Zen Hei"/>
        <family val="2"/>
      </rPr>
      <t xml:space="preserve">（</t>
    </r>
    <r>
      <rPr>
        <sz val="10"/>
        <rFont val="Meiryo UI"/>
        <family val="0"/>
        <charset val="1"/>
      </rPr>
      <t xml:space="preserve">99</t>
    </r>
    <r>
      <rPr>
        <sz val="10"/>
        <rFont val="WenQuanYi Zen Hei"/>
        <family val="2"/>
      </rPr>
      <t xml:space="preserve">表示・</t>
    </r>
    <r>
      <rPr>
        <sz val="10"/>
        <rFont val="Meiryo UI"/>
        <family val="0"/>
        <charset val="1"/>
      </rPr>
      <t xml:space="preserve">7.9</t>
    </r>
    <r>
      <rPr>
        <sz val="10"/>
        <rFont val="WenQuanYi Zen Hei"/>
        <family val="2"/>
      </rPr>
      <t xml:space="preserve">位）
</t>
    </r>
    <r>
      <rPr>
        <sz val="10"/>
        <rFont val="Meiryo UI"/>
        <family val="0"/>
        <charset val="1"/>
      </rPr>
      <t xml:space="preserve">/45sai-it-shorui-senko/</t>
    </r>
    <r>
      <rPr>
        <sz val="10"/>
        <rFont val="WenQuanYi Zen Hei"/>
        <family val="2"/>
      </rPr>
      <t xml:space="preserve">（</t>
    </r>
    <r>
      <rPr>
        <sz val="10"/>
        <rFont val="Meiryo UI"/>
        <family val="0"/>
        <charset val="1"/>
      </rPr>
      <t xml:space="preserve">86</t>
    </r>
    <r>
      <rPr>
        <sz val="10"/>
        <rFont val="WenQuanYi Zen Hei"/>
        <family val="2"/>
      </rPr>
      <t xml:space="preserve">表示・</t>
    </r>
    <r>
      <rPr>
        <sz val="10"/>
        <rFont val="Meiryo UI"/>
        <family val="0"/>
        <charset val="1"/>
      </rPr>
      <t xml:space="preserve">22.5</t>
    </r>
    <r>
      <rPr>
        <sz val="10"/>
        <rFont val="WenQuanYi Zen Hei"/>
        <family val="2"/>
      </rPr>
      <t xml:space="preserve">位）
</t>
    </r>
    <r>
      <rPr>
        <sz val="10"/>
        <rFont val="Meiryo UI"/>
        <family val="0"/>
        <charset val="1"/>
      </rPr>
      <t xml:space="preserve">/document-screening-cutoff/</t>
    </r>
    <r>
      <rPr>
        <sz val="10"/>
        <rFont val="WenQuanYi Zen Hei"/>
        <family val="2"/>
      </rPr>
      <t xml:space="preserve">（</t>
    </r>
    <r>
      <rPr>
        <sz val="10"/>
        <rFont val="Meiryo UI"/>
        <family val="0"/>
        <charset val="1"/>
      </rPr>
      <t xml:space="preserve">63</t>
    </r>
    <r>
      <rPr>
        <sz val="10"/>
        <rFont val="WenQuanYi Zen Hei"/>
        <family val="2"/>
      </rPr>
      <t xml:space="preserve">表示・</t>
    </r>
    <r>
      <rPr>
        <sz val="10"/>
        <rFont val="Meiryo UI"/>
        <family val="0"/>
        <charset val="1"/>
      </rPr>
      <t xml:space="preserve">7.0</t>
    </r>
    <r>
      <rPr>
        <sz val="10"/>
        <rFont val="WenQuanYi Zen Hei"/>
        <family val="2"/>
      </rPr>
      <t xml:space="preserve">位）
</t>
    </r>
    <r>
      <rPr>
        <sz val="10"/>
        <rFont val="Meiryo UI"/>
        <family val="0"/>
        <charset val="1"/>
      </rPr>
      <t xml:space="preserve">/document-screening-pass-rate/</t>
    </r>
    <r>
      <rPr>
        <sz val="10"/>
        <rFont val="WenQuanYi Zen Hei"/>
        <family val="2"/>
      </rPr>
      <t xml:space="preserve">（</t>
    </r>
    <r>
      <rPr>
        <sz val="10"/>
        <rFont val="Meiryo UI"/>
        <family val="0"/>
        <charset val="1"/>
      </rPr>
      <t xml:space="preserve">53</t>
    </r>
    <r>
      <rPr>
        <sz val="10"/>
        <rFont val="WenQuanYi Zen Hei"/>
        <family val="2"/>
      </rPr>
      <t xml:space="preserve">表示・</t>
    </r>
    <r>
      <rPr>
        <sz val="10"/>
        <rFont val="Meiryo UI"/>
        <family val="0"/>
        <charset val="1"/>
      </rPr>
      <t xml:space="preserve">11.6</t>
    </r>
    <r>
      <rPr>
        <sz val="10"/>
        <rFont val="WenQuanYi Zen Hei"/>
        <family val="2"/>
      </rPr>
      <t xml:space="preserve">位）
</t>
    </r>
    <r>
      <rPr>
        <sz val="10"/>
        <rFont val="Meiryo UI"/>
        <family val="0"/>
        <charset val="1"/>
      </rPr>
      <t xml:space="preserve">/it-tensyoku-ochiru-kyotsu/</t>
    </r>
    <r>
      <rPr>
        <sz val="10"/>
        <rFont val="WenQuanYi Zen Hei"/>
        <family val="2"/>
      </rPr>
      <t xml:space="preserve">（</t>
    </r>
    <r>
      <rPr>
        <sz val="10"/>
        <rFont val="Meiryo UI"/>
        <family val="0"/>
        <charset val="1"/>
      </rPr>
      <t xml:space="preserve">4</t>
    </r>
    <r>
      <rPr>
        <sz val="10"/>
        <rFont val="WenQuanYi Zen Hei"/>
        <family val="2"/>
      </rPr>
      <t xml:space="preserve">表示・</t>
    </r>
    <r>
      <rPr>
        <sz val="10"/>
        <rFont val="Meiryo UI"/>
        <family val="0"/>
        <charset val="1"/>
      </rPr>
      <t xml:space="preserve">7.5</t>
    </r>
    <r>
      <rPr>
        <sz val="10"/>
        <rFont val="WenQuanYi Zen Hei"/>
        <family val="2"/>
      </rPr>
      <t xml:space="preserve">位）</t>
    </r>
  </si>
  <si>
    <r>
      <rPr>
        <sz val="10"/>
        <rFont val="Meiryo UI"/>
        <family val="0"/>
        <charset val="1"/>
      </rPr>
      <t xml:space="preserve">10</t>
    </r>
    <r>
      <rPr>
        <sz val="10"/>
        <rFont val="WenQuanYi Zen Hei"/>
        <family val="2"/>
      </rPr>
      <t xml:space="preserve">記事が「書類選考で落ちる」意図を分け合い、代表クエリ「書類選考 落ちる」</t>
    </r>
    <r>
      <rPr>
        <sz val="10"/>
        <rFont val="Meiryo UI"/>
        <family val="0"/>
        <charset val="1"/>
      </rPr>
      <t xml:space="preserve">385</t>
    </r>
    <r>
      <rPr>
        <sz val="10"/>
        <rFont val="WenQuanYi Zen Hei"/>
        <family val="2"/>
      </rPr>
      <t xml:space="preserve">表示は</t>
    </r>
    <r>
      <rPr>
        <sz val="10"/>
        <rFont val="Meiryo UI"/>
        <family val="0"/>
        <charset val="1"/>
      </rPr>
      <t xml:space="preserve">27.0</t>
    </r>
    <r>
      <rPr>
        <sz val="10"/>
        <rFont val="WenQuanYi Zen Hei"/>
        <family val="2"/>
      </rPr>
      <t xml:space="preserve">位、「〜中途」</t>
    </r>
    <r>
      <rPr>
        <sz val="10"/>
        <rFont val="Meiryo UI"/>
        <family val="0"/>
        <charset val="1"/>
      </rPr>
      <t xml:space="preserve">255</t>
    </r>
    <r>
      <rPr>
        <sz val="10"/>
        <rFont val="WenQuanYi Zen Hei"/>
        <family val="2"/>
      </rPr>
      <t xml:space="preserve">表示は</t>
    </r>
    <r>
      <rPr>
        <sz val="10"/>
        <rFont val="Meiryo UI"/>
        <family val="0"/>
        <charset val="1"/>
      </rPr>
      <t xml:space="preserve">20.5</t>
    </r>
    <r>
      <rPr>
        <sz val="10"/>
        <rFont val="WenQuanYi Zen Hei"/>
        <family val="2"/>
      </rPr>
      <t xml:space="preserve">位、「〜理由」は</t>
    </r>
    <r>
      <rPr>
        <sz val="10"/>
        <rFont val="Meiryo UI"/>
        <family val="0"/>
        <charset val="1"/>
      </rPr>
      <t xml:space="preserve">28.9</t>
    </r>
    <r>
      <rPr>
        <sz val="10"/>
        <rFont val="WenQuanYi Zen Hei"/>
        <family val="2"/>
      </rPr>
      <t xml:space="preserve">位。サイトで最も深刻な分散。</t>
    </r>
  </si>
  <si>
    <r>
      <rPr>
        <sz val="10"/>
        <rFont val="Meiryo UI"/>
        <family val="0"/>
        <charset val="1"/>
      </rPr>
      <t xml:space="preserve">chuto-syorui-senko-ochiru</t>
    </r>
    <r>
      <rPr>
        <sz val="10"/>
        <rFont val="WenQuanYi Zen Hei"/>
        <family val="2"/>
      </rPr>
      <t xml:space="preserve">を親記事に。</t>
    </r>
    <r>
      <rPr>
        <sz val="10"/>
        <rFont val="Meiryo UI"/>
        <family val="0"/>
        <charset val="1"/>
      </rPr>
      <t xml:space="preserve">tensyoku-shorui-senkou-ochiru-riyuu</t>
    </r>
    <r>
      <rPr>
        <sz val="10"/>
        <rFont val="WenQuanYi Zen Hei"/>
        <family val="2"/>
      </rPr>
      <t xml:space="preserve">・</t>
    </r>
    <r>
      <rPr>
        <sz val="10"/>
        <rFont val="Meiryo UI"/>
        <family val="0"/>
        <charset val="1"/>
      </rPr>
      <t xml:space="preserve">it-tensyoku-ochiru-kyotsu</t>
    </r>
    <r>
      <rPr>
        <sz val="10"/>
        <rFont val="WenQuanYi Zen Hei"/>
        <family val="2"/>
      </rPr>
      <t xml:space="preserve">・</t>
    </r>
    <r>
      <rPr>
        <sz val="10"/>
        <rFont val="Meiryo UI"/>
        <family val="0"/>
        <charset val="1"/>
      </rPr>
      <t xml:space="preserve">document-screening-1minute</t>
    </r>
    <r>
      <rPr>
        <sz val="10"/>
        <rFont val="WenQuanYi Zen Hei"/>
        <family val="2"/>
      </rPr>
      <t xml:space="preserve">を親へ統合（</t>
    </r>
    <r>
      <rPr>
        <sz val="10"/>
        <rFont val="Meiryo UI"/>
        <family val="0"/>
        <charset val="1"/>
      </rPr>
      <t xml:space="preserve">301</t>
    </r>
    <r>
      <rPr>
        <sz val="10"/>
        <rFont val="WenQuanYi Zen Hei"/>
        <family val="2"/>
      </rPr>
      <t xml:space="preserve">）。</t>
    </r>
    <r>
      <rPr>
        <sz val="10"/>
        <rFont val="Meiryo UI"/>
        <family val="0"/>
        <charset val="1"/>
      </rPr>
      <t xml:space="preserve">it-tensyoku-syorui-ochiru-riyu</t>
    </r>
    <r>
      <rPr>
        <sz val="10"/>
        <rFont val="WenQuanYi Zen Hei"/>
        <family val="2"/>
      </rPr>
      <t xml:space="preserve">＝</t>
    </r>
    <r>
      <rPr>
        <sz val="10"/>
        <rFont val="Meiryo UI"/>
        <family val="0"/>
        <charset val="1"/>
      </rPr>
      <t xml:space="preserve">IT</t>
    </r>
    <r>
      <rPr>
        <sz val="10"/>
        <rFont val="WenQuanYi Zen Hei"/>
        <family val="2"/>
      </rPr>
      <t xml:space="preserve">職特化、</t>
    </r>
    <r>
      <rPr>
        <sz val="10"/>
        <rFont val="Meiryo UI"/>
        <family val="0"/>
        <charset val="1"/>
      </rPr>
      <t xml:space="preserve">document-screening-cutoff</t>
    </r>
    <r>
      <rPr>
        <sz val="10"/>
        <rFont val="WenQuanYi Zen Hei"/>
        <family val="2"/>
      </rPr>
      <t xml:space="preserve">＝足切り（年齢・学歴）、</t>
    </r>
    <r>
      <rPr>
        <sz val="10"/>
        <rFont val="Meiryo UI"/>
        <family val="0"/>
        <charset val="1"/>
      </rPr>
      <t xml:space="preserve">document-screening-pass-rate</t>
    </r>
    <r>
      <rPr>
        <sz val="10"/>
        <rFont val="WenQuanYi Zen Hei"/>
        <family val="2"/>
      </rPr>
      <t xml:space="preserve">＝通過率データ、</t>
    </r>
    <r>
      <rPr>
        <sz val="10"/>
        <rFont val="Meiryo UI"/>
        <family val="0"/>
        <charset val="1"/>
      </rPr>
      <t xml:space="preserve">45sai</t>
    </r>
    <r>
      <rPr>
        <sz val="10"/>
        <rFont val="WenQuanYi Zen Hei"/>
        <family val="2"/>
      </rPr>
      <t xml:space="preserve">＝</t>
    </r>
    <r>
      <rPr>
        <sz val="10"/>
        <rFont val="Meiryo UI"/>
        <family val="0"/>
        <charset val="1"/>
      </rPr>
      <t xml:space="preserve">40</t>
    </r>
    <r>
      <rPr>
        <sz val="10"/>
        <rFont val="WenQuanYi Zen Hei"/>
        <family val="2"/>
      </rPr>
      <t xml:space="preserve">代、</t>
    </r>
    <r>
      <rPr>
        <sz val="10"/>
        <rFont val="Meiryo UI"/>
        <family val="0"/>
        <charset val="1"/>
      </rPr>
      <t xml:space="preserve">it-mikeiken</t>
    </r>
    <r>
      <rPr>
        <sz val="10"/>
        <rFont val="WenQuanYi Zen Hei"/>
        <family val="2"/>
      </rPr>
      <t xml:space="preserve">＝未経験に差別化。</t>
    </r>
  </si>
  <si>
    <r>
      <rPr>
        <sz val="10"/>
        <rFont val="WenQuanYi Zen Hei"/>
        <family val="2"/>
      </rPr>
      <t xml:space="preserve">書類選考 落ちる </t>
    </r>
    <r>
      <rPr>
        <sz val="10"/>
        <rFont val="Meiryo UI"/>
        <family val="0"/>
        <charset val="1"/>
      </rPr>
      <t xml:space="preserve">/ </t>
    </r>
    <r>
      <rPr>
        <sz val="10"/>
        <rFont val="WenQuanYi Zen Hei"/>
        <family val="2"/>
      </rPr>
      <t xml:space="preserve">書類選考 落ちる 中途 </t>
    </r>
    <r>
      <rPr>
        <sz val="10"/>
        <rFont val="Meiryo UI"/>
        <family val="0"/>
        <charset val="1"/>
      </rPr>
      <t xml:space="preserve">/ </t>
    </r>
    <r>
      <rPr>
        <sz val="10"/>
        <rFont val="WenQuanYi Zen Hei"/>
        <family val="2"/>
      </rPr>
      <t xml:space="preserve">書類選考 落ちる理由 </t>
    </r>
    <r>
      <rPr>
        <sz val="10"/>
        <rFont val="Meiryo UI"/>
        <family val="0"/>
        <charset val="1"/>
      </rPr>
      <t xml:space="preserve">/ </t>
    </r>
    <r>
      <rPr>
        <sz val="10"/>
        <rFont val="WenQuanYi Zen Hei"/>
        <family val="2"/>
      </rPr>
      <t xml:space="preserve">書類選考 通過率</t>
    </r>
  </si>
  <si>
    <r>
      <rPr>
        <sz val="10"/>
        <rFont val="Meiryo UI"/>
        <family val="0"/>
        <charset val="1"/>
      </rPr>
      <t xml:space="preserve">/user-sier-ranking/</t>
    </r>
    <r>
      <rPr>
        <sz val="10"/>
        <rFont val="WenQuanYi Zen Hei"/>
        <family val="2"/>
      </rPr>
      <t xml:space="preserve">（</t>
    </r>
    <r>
      <rPr>
        <sz val="10"/>
        <rFont val="Meiryo UI"/>
        <family val="0"/>
        <charset val="1"/>
      </rPr>
      <t xml:space="preserve">547</t>
    </r>
    <r>
      <rPr>
        <sz val="10"/>
        <rFont val="WenQuanYi Zen Hei"/>
        <family val="2"/>
      </rPr>
      <t xml:space="preserve">表示・</t>
    </r>
    <r>
      <rPr>
        <sz val="10"/>
        <rFont val="Meiryo UI"/>
        <family val="0"/>
        <charset val="1"/>
      </rPr>
      <t xml:space="preserve">20.2</t>
    </r>
    <r>
      <rPr>
        <sz val="10"/>
        <rFont val="WenQuanYi Zen Hei"/>
        <family val="2"/>
      </rPr>
      <t xml:space="preserve">位）
</t>
    </r>
    <r>
      <rPr>
        <sz val="10"/>
        <rFont val="Meiryo UI"/>
        <family val="0"/>
        <charset val="1"/>
      </rPr>
      <t xml:space="preserve">/user-sier-tier/</t>
    </r>
    <r>
      <rPr>
        <sz val="10"/>
        <rFont val="WenQuanYi Zen Hei"/>
        <family val="2"/>
      </rPr>
      <t xml:space="preserve">（</t>
    </r>
    <r>
      <rPr>
        <sz val="10"/>
        <rFont val="Meiryo UI"/>
        <family val="0"/>
        <charset val="1"/>
      </rPr>
      <t xml:space="preserve">393</t>
    </r>
    <r>
      <rPr>
        <sz val="10"/>
        <rFont val="WenQuanYi Zen Hei"/>
        <family val="2"/>
      </rPr>
      <t xml:space="preserve">表示・</t>
    </r>
    <r>
      <rPr>
        <sz val="10"/>
        <rFont val="Meiryo UI"/>
        <family val="0"/>
        <charset val="1"/>
      </rPr>
      <t xml:space="preserve">7.5</t>
    </r>
    <r>
      <rPr>
        <sz val="10"/>
        <rFont val="WenQuanYi Zen Hei"/>
        <family val="2"/>
      </rPr>
      <t xml:space="preserve">位）</t>
    </r>
  </si>
  <si>
    <r>
      <rPr>
        <sz val="10"/>
        <rFont val="WenQuanYi Zen Hei"/>
        <family val="2"/>
      </rPr>
      <t xml:space="preserve">「ユーザー系</t>
    </r>
    <r>
      <rPr>
        <sz val="10"/>
        <rFont val="Meiryo UI"/>
        <family val="0"/>
        <charset val="1"/>
      </rPr>
      <t xml:space="preserve">sier</t>
    </r>
    <r>
      <rPr>
        <sz val="10"/>
        <rFont val="WenQuanYi Zen Hei"/>
        <family val="2"/>
      </rPr>
      <t xml:space="preserve">一覧」</t>
    </r>
    <r>
      <rPr>
        <sz val="10"/>
        <rFont val="Meiryo UI"/>
        <family val="0"/>
        <charset val="1"/>
      </rPr>
      <t xml:space="preserve">7.5</t>
    </r>
    <r>
      <rPr>
        <sz val="10"/>
        <rFont val="WenQuanYi Zen Hei"/>
        <family val="2"/>
      </rPr>
      <t xml:space="preserve">位と「ユーザー系</t>
    </r>
    <r>
      <rPr>
        <sz val="10"/>
        <rFont val="Meiryo UI"/>
        <family val="0"/>
        <charset val="1"/>
      </rPr>
      <t xml:space="preserve">sier </t>
    </r>
    <r>
      <rPr>
        <sz val="10"/>
        <rFont val="WenQuanYi Zen Hei"/>
        <family val="2"/>
      </rPr>
      <t xml:space="preserve">一覧」</t>
    </r>
    <r>
      <rPr>
        <sz val="10"/>
        <rFont val="Meiryo UI"/>
        <family val="0"/>
        <charset val="1"/>
      </rPr>
      <t xml:space="preserve">22.4</t>
    </r>
    <r>
      <rPr>
        <sz val="10"/>
        <rFont val="WenQuanYi Zen Hei"/>
        <family val="2"/>
      </rPr>
      <t xml:space="preserve">位で表記揺れごとに順位が大きく割れ、ランキング記事は</t>
    </r>
    <r>
      <rPr>
        <sz val="10"/>
        <rFont val="Meiryo UI"/>
        <family val="0"/>
        <charset val="1"/>
      </rPr>
      <t xml:space="preserve">20.2</t>
    </r>
    <r>
      <rPr>
        <sz val="10"/>
        <rFont val="WenQuanYi Zen Hei"/>
        <family val="2"/>
      </rPr>
      <t xml:space="preserve">位。</t>
    </r>
    <r>
      <rPr>
        <sz val="10"/>
        <rFont val="Meiryo UI"/>
        <family val="0"/>
        <charset val="1"/>
      </rPr>
      <t xml:space="preserve">tier</t>
    </r>
    <r>
      <rPr>
        <sz val="10"/>
        <rFont val="WenQuanYi Zen Hei"/>
        <family val="2"/>
      </rPr>
      <t xml:space="preserve">記事と</t>
    </r>
    <r>
      <rPr>
        <sz val="10"/>
        <rFont val="Meiryo UI"/>
        <family val="0"/>
        <charset val="1"/>
      </rPr>
      <t xml:space="preserve">ranking</t>
    </r>
    <r>
      <rPr>
        <sz val="10"/>
        <rFont val="WenQuanYi Zen Hei"/>
        <family val="2"/>
      </rPr>
      <t xml:space="preserve">記事で評価が分散。</t>
    </r>
  </si>
  <si>
    <r>
      <rPr>
        <sz val="10"/>
        <rFont val="Meiryo UI"/>
        <family val="0"/>
        <charset val="1"/>
      </rPr>
      <t xml:space="preserve">user-sier-ranking</t>
    </r>
    <r>
      <rPr>
        <sz val="10"/>
        <rFont val="WenQuanYi Zen Hei"/>
        <family val="2"/>
      </rPr>
      <t xml:space="preserve">を</t>
    </r>
    <r>
      <rPr>
        <sz val="10"/>
        <rFont val="Meiryo UI"/>
        <family val="0"/>
        <charset val="1"/>
      </rPr>
      <t xml:space="preserve">user-sier-tier</t>
    </r>
    <r>
      <rPr>
        <sz val="10"/>
        <rFont val="WenQuanYi Zen Hei"/>
        <family val="2"/>
      </rPr>
      <t xml:space="preserve">へ統合（</t>
    </r>
    <r>
      <rPr>
        <sz val="10"/>
        <rFont val="Meiryo UI"/>
        <family val="0"/>
        <charset val="1"/>
      </rPr>
      <t xml:space="preserve">301</t>
    </r>
    <r>
      <rPr>
        <sz val="10"/>
        <rFont val="WenQuanYi Zen Hei"/>
        <family val="2"/>
      </rPr>
      <t xml:space="preserve">）。</t>
    </r>
    <r>
      <rPr>
        <sz val="10"/>
        <rFont val="Meiryo UI"/>
        <family val="0"/>
        <charset val="1"/>
      </rPr>
      <t xml:space="preserve">tier</t>
    </r>
    <r>
      <rPr>
        <sz val="10"/>
        <rFont val="WenQuanYi Zen Hei"/>
        <family val="2"/>
      </rPr>
      <t xml:space="preserve">記事に「ホワイト・人気ランキング」の見出しを追加。</t>
    </r>
  </si>
  <si>
    <r>
      <rPr>
        <sz val="10"/>
        <rFont val="WenQuanYi Zen Hei"/>
        <family val="2"/>
      </rPr>
      <t xml:space="preserve">ユーザー系</t>
    </r>
    <r>
      <rPr>
        <sz val="10"/>
        <rFont val="Meiryo UI"/>
        <family val="0"/>
        <charset val="1"/>
      </rPr>
      <t xml:space="preserve">sier </t>
    </r>
    <r>
      <rPr>
        <sz val="10"/>
        <rFont val="WenQuanYi Zen Hei"/>
        <family val="2"/>
      </rPr>
      <t xml:space="preserve">一覧 </t>
    </r>
    <r>
      <rPr>
        <sz val="10"/>
        <rFont val="Meiryo UI"/>
        <family val="0"/>
        <charset val="1"/>
      </rPr>
      <t xml:space="preserve">/ </t>
    </r>
    <r>
      <rPr>
        <sz val="10"/>
        <rFont val="WenQuanYi Zen Hei"/>
        <family val="2"/>
      </rPr>
      <t xml:space="preserve">ユーザー系</t>
    </r>
    <r>
      <rPr>
        <sz val="10"/>
        <rFont val="Meiryo UI"/>
        <family val="0"/>
        <charset val="1"/>
      </rPr>
      <t xml:space="preserve">sier </t>
    </r>
    <r>
      <rPr>
        <sz val="10"/>
        <rFont val="WenQuanYi Zen Hei"/>
        <family val="2"/>
      </rPr>
      <t xml:space="preserve">ランキング</t>
    </r>
  </si>
  <si>
    <r>
      <rPr>
        <sz val="10"/>
        <rFont val="Meiryo UI"/>
        <family val="0"/>
        <charset val="1"/>
      </rPr>
      <t xml:space="preserve">/direct-application-vs-agent/</t>
    </r>
    <r>
      <rPr>
        <sz val="10"/>
        <rFont val="WenQuanYi Zen Hei"/>
        <family val="2"/>
      </rPr>
      <t xml:space="preserve">（</t>
    </r>
    <r>
      <rPr>
        <sz val="10"/>
        <rFont val="Meiryo UI"/>
        <family val="0"/>
        <charset val="1"/>
      </rPr>
      <t xml:space="preserve">999</t>
    </r>
    <r>
      <rPr>
        <sz val="10"/>
        <rFont val="WenQuanYi Zen Hei"/>
        <family val="2"/>
      </rPr>
      <t xml:space="preserve">表示・</t>
    </r>
    <r>
      <rPr>
        <sz val="10"/>
        <rFont val="Meiryo UI"/>
        <family val="0"/>
        <charset val="1"/>
      </rPr>
      <t xml:space="preserve">38.9</t>
    </r>
    <r>
      <rPr>
        <sz val="10"/>
        <rFont val="WenQuanYi Zen Hei"/>
        <family val="2"/>
      </rPr>
      <t xml:space="preserve">位）
</t>
    </r>
    <r>
      <rPr>
        <sz val="10"/>
        <rFont val="Meiryo UI"/>
        <family val="0"/>
        <charset val="1"/>
      </rPr>
      <t xml:space="preserve">/application-route-comparison/</t>
    </r>
    <r>
      <rPr>
        <sz val="10"/>
        <rFont val="WenQuanYi Zen Hei"/>
        <family val="2"/>
      </rPr>
      <t xml:space="preserve">（</t>
    </r>
    <r>
      <rPr>
        <sz val="10"/>
        <rFont val="Meiryo UI"/>
        <family val="0"/>
        <charset val="1"/>
      </rPr>
      <t xml:space="preserve">85</t>
    </r>
    <r>
      <rPr>
        <sz val="10"/>
        <rFont val="WenQuanYi Zen Hei"/>
        <family val="2"/>
      </rPr>
      <t xml:space="preserve">表示・</t>
    </r>
    <r>
      <rPr>
        <sz val="10"/>
        <rFont val="Meiryo UI"/>
        <family val="0"/>
        <charset val="1"/>
      </rPr>
      <t xml:space="preserve">8.8</t>
    </r>
    <r>
      <rPr>
        <sz val="10"/>
        <rFont val="WenQuanYi Zen Hei"/>
        <family val="2"/>
      </rPr>
      <t xml:space="preserve">位）</t>
    </r>
  </si>
  <si>
    <r>
      <rPr>
        <sz val="10"/>
        <rFont val="Meiryo UI"/>
        <family val="0"/>
        <charset val="1"/>
      </rPr>
      <t xml:space="preserve">direct-application-vs-agent</t>
    </r>
    <r>
      <rPr>
        <sz val="10"/>
        <rFont val="WenQuanYi Zen Hei"/>
        <family val="2"/>
      </rPr>
      <t xml:space="preserve">（</t>
    </r>
    <r>
      <rPr>
        <sz val="10"/>
        <rFont val="Meiryo UI"/>
        <family val="0"/>
        <charset val="1"/>
      </rPr>
      <t xml:space="preserve">38.9</t>
    </r>
    <r>
      <rPr>
        <sz val="10"/>
        <rFont val="WenQuanYi Zen Hei"/>
        <family val="2"/>
      </rPr>
      <t xml:space="preserve">位・</t>
    </r>
    <r>
      <rPr>
        <sz val="10"/>
        <rFont val="Meiryo UI"/>
        <family val="0"/>
        <charset val="1"/>
      </rPr>
      <t xml:space="preserve">999</t>
    </r>
    <r>
      <rPr>
        <sz val="10"/>
        <rFont val="WenQuanYi Zen Hei"/>
        <family val="2"/>
      </rPr>
      <t xml:space="preserve">表示・クリック</t>
    </r>
    <r>
      <rPr>
        <sz val="10"/>
        <rFont val="Meiryo UI"/>
        <family val="0"/>
        <charset val="1"/>
      </rPr>
      <t xml:space="preserve">2</t>
    </r>
    <r>
      <rPr>
        <sz val="10"/>
        <rFont val="WenQuanYi Zen Hei"/>
        <family val="2"/>
      </rPr>
      <t xml:space="preserve">）と</t>
    </r>
    <r>
      <rPr>
        <sz val="10"/>
        <rFont val="Meiryo UI"/>
        <family val="0"/>
        <charset val="1"/>
      </rPr>
      <t xml:space="preserve">application-route-comparison</t>
    </r>
    <r>
      <rPr>
        <sz val="10"/>
        <rFont val="WenQuanYi Zen Hei"/>
        <family val="2"/>
      </rPr>
      <t xml:space="preserve">（</t>
    </r>
    <r>
      <rPr>
        <sz val="10"/>
        <rFont val="Meiryo UI"/>
        <family val="0"/>
        <charset val="1"/>
      </rPr>
      <t xml:space="preserve">8.8</t>
    </r>
    <r>
      <rPr>
        <sz val="10"/>
        <rFont val="WenQuanYi Zen Hei"/>
        <family val="2"/>
      </rPr>
      <t xml:space="preserve">位）が同じ「直接応募かエージェントか」の意図。「直接応募 どっち」系計</t>
    </r>
    <r>
      <rPr>
        <sz val="10"/>
        <rFont val="Meiryo UI"/>
        <family val="0"/>
        <charset val="1"/>
      </rPr>
      <t xml:space="preserve">500</t>
    </r>
    <r>
      <rPr>
        <sz val="10"/>
        <rFont val="WenQuanYi Zen Hei"/>
        <family val="2"/>
      </rPr>
      <t xml:space="preserve">表示超が</t>
    </r>
    <r>
      <rPr>
        <sz val="10"/>
        <rFont val="Meiryo UI"/>
        <family val="0"/>
        <charset val="1"/>
      </rPr>
      <t xml:space="preserve">40</t>
    </r>
    <r>
      <rPr>
        <sz val="10"/>
        <rFont val="WenQuanYi Zen Hei"/>
        <family val="2"/>
      </rPr>
      <t xml:space="preserve">〜</t>
    </r>
    <r>
      <rPr>
        <sz val="10"/>
        <rFont val="Meiryo UI"/>
        <family val="0"/>
        <charset val="1"/>
      </rPr>
      <t xml:space="preserve">54</t>
    </r>
    <r>
      <rPr>
        <sz val="10"/>
        <rFont val="WenQuanYi Zen Hei"/>
        <family val="2"/>
      </rPr>
      <t xml:space="preserve">位。</t>
    </r>
  </si>
  <si>
    <r>
      <rPr>
        <sz val="10"/>
        <rFont val="Meiryo UI"/>
        <family val="0"/>
        <charset val="1"/>
      </rPr>
      <t xml:space="preserve">2</t>
    </r>
    <r>
      <rPr>
        <sz val="10"/>
        <rFont val="WenQuanYi Zen Hei"/>
        <family val="2"/>
      </rPr>
      <t xml:space="preserve">記事を統合（評価の高い</t>
    </r>
    <r>
      <rPr>
        <sz val="10"/>
        <rFont val="Meiryo UI"/>
        <family val="0"/>
        <charset val="1"/>
      </rPr>
      <t xml:space="preserve">application-route-comparison</t>
    </r>
    <r>
      <rPr>
        <sz val="10"/>
        <rFont val="WenQuanYi Zen Hei"/>
        <family val="2"/>
      </rPr>
      <t xml:space="preserve">の</t>
    </r>
    <r>
      <rPr>
        <sz val="10"/>
        <rFont val="Meiryo UI"/>
        <family val="0"/>
        <charset val="1"/>
      </rPr>
      <t xml:space="preserve">URL</t>
    </r>
    <r>
      <rPr>
        <sz val="10"/>
        <rFont val="WenQuanYi Zen Hei"/>
        <family val="2"/>
      </rPr>
      <t xml:space="preserve">を残し、もう一方を</t>
    </r>
    <r>
      <rPr>
        <sz val="10"/>
        <rFont val="Meiryo UI"/>
        <family val="0"/>
        <charset val="1"/>
      </rPr>
      <t xml:space="preserve">301</t>
    </r>
    <r>
      <rPr>
        <sz val="10"/>
        <rFont val="WenQuanYi Zen Hei"/>
        <family val="2"/>
      </rPr>
      <t xml:space="preserve">）。</t>
    </r>
  </si>
  <si>
    <r>
      <rPr>
        <sz val="10"/>
        <rFont val="WenQuanYi Zen Hei"/>
        <family val="2"/>
      </rPr>
      <t xml:space="preserve">転職エージェント 直接応募 どっち </t>
    </r>
    <r>
      <rPr>
        <sz val="10"/>
        <rFont val="Meiryo UI"/>
        <family val="0"/>
        <charset val="1"/>
      </rPr>
      <t xml:space="preserve">/ </t>
    </r>
    <r>
      <rPr>
        <sz val="10"/>
        <rFont val="WenQuanYi Zen Hei"/>
        <family val="2"/>
      </rPr>
      <t xml:space="preserve">転職サイト 直接応募</t>
    </r>
  </si>
  <si>
    <r>
      <rPr>
        <sz val="10"/>
        <rFont val="Meiryo UI"/>
        <family val="0"/>
        <charset val="1"/>
      </rPr>
      <t xml:space="preserve">/tensyoku-kigyou-kenkyuu/</t>
    </r>
    <r>
      <rPr>
        <sz val="10"/>
        <rFont val="WenQuanYi Zen Hei"/>
        <family val="2"/>
      </rPr>
      <t xml:space="preserve">（</t>
    </r>
    <r>
      <rPr>
        <sz val="10"/>
        <rFont val="Meiryo UI"/>
        <family val="0"/>
        <charset val="1"/>
      </rPr>
      <t xml:space="preserve">171</t>
    </r>
    <r>
      <rPr>
        <sz val="10"/>
        <rFont val="WenQuanYi Zen Hei"/>
        <family val="2"/>
      </rPr>
      <t xml:space="preserve">表示・</t>
    </r>
    <r>
      <rPr>
        <sz val="10"/>
        <rFont val="Meiryo UI"/>
        <family val="0"/>
        <charset val="1"/>
      </rPr>
      <t xml:space="preserve">11.7</t>
    </r>
    <r>
      <rPr>
        <sz val="10"/>
        <rFont val="WenQuanYi Zen Hei"/>
        <family val="2"/>
      </rPr>
      <t xml:space="preserve">位）
</t>
    </r>
    <r>
      <rPr>
        <sz val="10"/>
        <rFont val="Meiryo UI"/>
        <family val="0"/>
        <charset val="1"/>
      </rPr>
      <t xml:space="preserve">/tenshoku-kigyou-kenkyu-yarikata/</t>
    </r>
    <r>
      <rPr>
        <sz val="10"/>
        <rFont val="WenQuanYi Zen Hei"/>
        <family val="2"/>
      </rPr>
      <t xml:space="preserve">（</t>
    </r>
    <r>
      <rPr>
        <sz val="10"/>
        <rFont val="Meiryo UI"/>
        <family val="0"/>
        <charset val="1"/>
      </rPr>
      <t xml:space="preserve">71</t>
    </r>
    <r>
      <rPr>
        <sz val="10"/>
        <rFont val="WenQuanYi Zen Hei"/>
        <family val="2"/>
      </rPr>
      <t xml:space="preserve">表示・</t>
    </r>
    <r>
      <rPr>
        <sz val="10"/>
        <rFont val="Meiryo UI"/>
        <family val="0"/>
        <charset val="1"/>
      </rPr>
      <t xml:space="preserve">9.9</t>
    </r>
    <r>
      <rPr>
        <sz val="10"/>
        <rFont val="WenQuanYi Zen Hei"/>
        <family val="2"/>
      </rPr>
      <t xml:space="preserve">位）</t>
    </r>
  </si>
  <si>
    <r>
      <rPr>
        <sz val="10"/>
        <rFont val="Meiryo UI"/>
        <family val="0"/>
        <charset val="1"/>
      </rPr>
      <t xml:space="preserve">tensyoku-kigyou-kenkyuu</t>
    </r>
    <r>
      <rPr>
        <sz val="10"/>
        <rFont val="WenQuanYi Zen Hei"/>
        <family val="2"/>
      </rPr>
      <t xml:space="preserve">と</t>
    </r>
    <r>
      <rPr>
        <sz val="10"/>
        <rFont val="Meiryo UI"/>
        <family val="0"/>
        <charset val="1"/>
      </rPr>
      <t xml:space="preserve">tenshoku-kigyou-kenkyu-yarikata</t>
    </r>
    <r>
      <rPr>
        <sz val="10"/>
        <rFont val="WenQuanYi Zen Hei"/>
        <family val="2"/>
      </rPr>
      <t xml:space="preserve">はスラッグもほぼ同じ重複記事。</t>
    </r>
  </si>
  <si>
    <r>
      <rPr>
        <sz val="10"/>
        <rFont val="WenQuanYi Zen Hei"/>
        <family val="2"/>
      </rPr>
      <t xml:space="preserve">表示の多い</t>
    </r>
    <r>
      <rPr>
        <sz val="10"/>
        <rFont val="Meiryo UI"/>
        <family val="0"/>
        <charset val="1"/>
      </rPr>
      <t xml:space="preserve">tensyoku-kigyou-kenkyuu</t>
    </r>
    <r>
      <rPr>
        <sz val="10"/>
        <rFont val="WenQuanYi Zen Hei"/>
        <family val="2"/>
      </rPr>
      <t xml:space="preserve">へ統合し</t>
    </r>
    <r>
      <rPr>
        <sz val="10"/>
        <rFont val="Meiryo UI"/>
        <family val="0"/>
        <charset val="1"/>
      </rPr>
      <t xml:space="preserve">301</t>
    </r>
    <r>
      <rPr>
        <sz val="10"/>
        <rFont val="WenQuanYi Zen Hei"/>
        <family val="2"/>
      </rPr>
      <t xml:space="preserve">。</t>
    </r>
  </si>
  <si>
    <t xml:space="preserve">転職 企業研究 やり方</t>
  </si>
  <si>
    <r>
      <rPr>
        <sz val="10"/>
        <rFont val="Meiryo UI"/>
        <family val="0"/>
        <charset val="1"/>
      </rPr>
      <t xml:space="preserve">/openwork-tsukaikata/</t>
    </r>
    <r>
      <rPr>
        <sz val="10"/>
        <rFont val="WenQuanYi Zen Hei"/>
        <family val="2"/>
      </rPr>
      <t xml:space="preserve">（</t>
    </r>
    <r>
      <rPr>
        <sz val="10"/>
        <rFont val="Meiryo UI"/>
        <family val="0"/>
        <charset val="1"/>
      </rPr>
      <t xml:space="preserve">25,323</t>
    </r>
    <r>
      <rPr>
        <sz val="10"/>
        <rFont val="WenQuanYi Zen Hei"/>
        <family val="2"/>
      </rPr>
      <t xml:space="preserve">表示・</t>
    </r>
    <r>
      <rPr>
        <sz val="10"/>
        <rFont val="Meiryo UI"/>
        <family val="0"/>
        <charset val="1"/>
      </rPr>
      <t xml:space="preserve">6.5</t>
    </r>
    <r>
      <rPr>
        <sz val="10"/>
        <rFont val="WenQuanYi Zen Hei"/>
        <family val="2"/>
      </rPr>
      <t xml:space="preserve">位）
</t>
    </r>
    <r>
      <rPr>
        <sz val="10"/>
        <rFont val="Meiryo UI"/>
        <family val="0"/>
        <charset val="1"/>
      </rPr>
      <t xml:space="preserve">/openwork-graph-mikata/</t>
    </r>
    <r>
      <rPr>
        <sz val="10"/>
        <rFont val="WenQuanYi Zen Hei"/>
        <family val="2"/>
      </rPr>
      <t xml:space="preserve">（</t>
    </r>
    <r>
      <rPr>
        <sz val="10"/>
        <rFont val="Meiryo UI"/>
        <family val="0"/>
        <charset val="1"/>
      </rPr>
      <t xml:space="preserve">15,454</t>
    </r>
    <r>
      <rPr>
        <sz val="10"/>
        <rFont val="WenQuanYi Zen Hei"/>
        <family val="2"/>
      </rPr>
      <t xml:space="preserve">表示・</t>
    </r>
    <r>
      <rPr>
        <sz val="10"/>
        <rFont val="Meiryo UI"/>
        <family val="0"/>
        <charset val="1"/>
      </rPr>
      <t xml:space="preserve">4.5</t>
    </r>
    <r>
      <rPr>
        <sz val="10"/>
        <rFont val="WenQuanYi Zen Hei"/>
        <family val="2"/>
      </rPr>
      <t xml:space="preserve">位）
</t>
    </r>
    <r>
      <rPr>
        <sz val="10"/>
        <rFont val="Meiryo UI"/>
        <family val="0"/>
        <charset val="1"/>
      </rPr>
      <t xml:space="preserve">/openwork-white-company-mikata/</t>
    </r>
    <r>
      <rPr>
        <sz val="10"/>
        <rFont val="WenQuanYi Zen Hei"/>
        <family val="2"/>
      </rPr>
      <t xml:space="preserve">（</t>
    </r>
    <r>
      <rPr>
        <sz val="10"/>
        <rFont val="Meiryo UI"/>
        <family val="0"/>
        <charset val="1"/>
      </rPr>
      <t xml:space="preserve">3,150</t>
    </r>
    <r>
      <rPr>
        <sz val="10"/>
        <rFont val="WenQuanYi Zen Hei"/>
        <family val="2"/>
      </rPr>
      <t xml:space="preserve">表示・</t>
    </r>
    <r>
      <rPr>
        <sz val="10"/>
        <rFont val="Meiryo UI"/>
        <family val="0"/>
        <charset val="1"/>
      </rPr>
      <t xml:space="preserve">7.4</t>
    </r>
    <r>
      <rPr>
        <sz val="10"/>
        <rFont val="WenQuanYi Zen Hei"/>
        <family val="2"/>
      </rPr>
      <t xml:space="preserve">位）
</t>
    </r>
    <r>
      <rPr>
        <sz val="10"/>
        <rFont val="Meiryo UI"/>
        <family val="0"/>
        <charset val="1"/>
      </rPr>
      <t xml:space="preserve">/openwork-toroku-bareru/</t>
    </r>
    <r>
      <rPr>
        <sz val="10"/>
        <rFont val="WenQuanYi Zen Hei"/>
        <family val="2"/>
      </rPr>
      <t xml:space="preserve">（</t>
    </r>
    <r>
      <rPr>
        <sz val="10"/>
        <rFont val="Meiryo UI"/>
        <family val="0"/>
        <charset val="1"/>
      </rPr>
      <t xml:space="preserve">2,844</t>
    </r>
    <r>
      <rPr>
        <sz val="10"/>
        <rFont val="WenQuanYi Zen Hei"/>
        <family val="2"/>
      </rPr>
      <t xml:space="preserve">表示・</t>
    </r>
    <r>
      <rPr>
        <sz val="10"/>
        <rFont val="Meiryo UI"/>
        <family val="0"/>
        <charset val="1"/>
      </rPr>
      <t xml:space="preserve">5.8</t>
    </r>
    <r>
      <rPr>
        <sz val="10"/>
        <rFont val="WenQuanYi Zen Hei"/>
        <family val="2"/>
      </rPr>
      <t xml:space="preserve">位）
</t>
    </r>
    <r>
      <rPr>
        <sz val="10"/>
        <rFont val="Meiryo UI"/>
        <family val="0"/>
        <charset val="1"/>
      </rPr>
      <t xml:space="preserve">/openwork-hikaku-kinou/</t>
    </r>
    <r>
      <rPr>
        <sz val="10"/>
        <rFont val="WenQuanYi Zen Hei"/>
        <family val="2"/>
      </rPr>
      <t xml:space="preserve">（</t>
    </r>
    <r>
      <rPr>
        <sz val="10"/>
        <rFont val="Meiryo UI"/>
        <family val="0"/>
        <charset val="1"/>
      </rPr>
      <t xml:space="preserve">1,141</t>
    </r>
    <r>
      <rPr>
        <sz val="10"/>
        <rFont val="WenQuanYi Zen Hei"/>
        <family val="2"/>
      </rPr>
      <t xml:space="preserve">表示・</t>
    </r>
    <r>
      <rPr>
        <sz val="10"/>
        <rFont val="Meiryo UI"/>
        <family val="0"/>
        <charset val="1"/>
      </rPr>
      <t xml:space="preserve">7.7</t>
    </r>
    <r>
      <rPr>
        <sz val="10"/>
        <rFont val="WenQuanYi Zen Hei"/>
        <family val="2"/>
      </rPr>
      <t xml:space="preserve">位）</t>
    </r>
  </si>
  <si>
    <r>
      <rPr>
        <sz val="10"/>
        <rFont val="WenQuanYi Zen Hei"/>
        <family val="2"/>
      </rPr>
      <t xml:space="preserve">「オープンワーク 登録 ばれる」</t>
    </r>
    <r>
      <rPr>
        <sz val="10"/>
        <rFont val="Meiryo UI"/>
        <family val="0"/>
        <charset val="1"/>
      </rPr>
      <t xml:space="preserve">2,285</t>
    </r>
    <r>
      <rPr>
        <sz val="10"/>
        <rFont val="WenQuanYi Zen Hei"/>
        <family val="2"/>
      </rPr>
      <t xml:space="preserve">表示が</t>
    </r>
    <r>
      <rPr>
        <sz val="10"/>
        <rFont val="Meiryo UI"/>
        <family val="0"/>
        <charset val="1"/>
      </rPr>
      <t xml:space="preserve">7.0</t>
    </r>
    <r>
      <rPr>
        <sz val="10"/>
        <rFont val="WenQuanYi Zen Hei"/>
        <family val="2"/>
      </rPr>
      <t xml:space="preserve">位・</t>
    </r>
    <r>
      <rPr>
        <sz val="10"/>
        <rFont val="Meiryo UI"/>
        <family val="0"/>
        <charset val="1"/>
      </rPr>
      <t xml:space="preserve">CTR1.5%</t>
    </r>
    <r>
      <rPr>
        <sz val="10"/>
        <rFont val="WenQuanYi Zen Hei"/>
        <family val="2"/>
      </rPr>
      <t xml:space="preserve">。専門記事（</t>
    </r>
    <r>
      <rPr>
        <sz val="10"/>
        <rFont val="Meiryo UI"/>
        <family val="0"/>
        <charset val="1"/>
      </rPr>
      <t xml:space="preserve">toroku-bareru</t>
    </r>
    <r>
      <rPr>
        <sz val="10"/>
        <rFont val="WenQuanYi Zen Hei"/>
        <family val="2"/>
      </rPr>
      <t xml:space="preserve">）があるのに上位に行かず、総合記事（</t>
    </r>
    <r>
      <rPr>
        <sz val="10"/>
        <rFont val="Meiryo UI"/>
        <family val="0"/>
        <charset val="1"/>
      </rPr>
      <t xml:space="preserve">tsukaikata</t>
    </r>
    <r>
      <rPr>
        <sz val="10"/>
        <rFont val="WenQuanYi Zen Hei"/>
        <family val="2"/>
      </rPr>
      <t xml:space="preserve">）とバレる系で評価が割れている可能性。「オープンワーク 見方」は</t>
    </r>
    <r>
      <rPr>
        <sz val="10"/>
        <rFont val="Meiryo UI"/>
        <family val="0"/>
        <charset val="1"/>
      </rPr>
      <t xml:space="preserve">tsukaikata</t>
    </r>
    <r>
      <rPr>
        <sz val="10"/>
        <rFont val="WenQuanYi Zen Hei"/>
        <family val="2"/>
      </rPr>
      <t xml:space="preserve">・</t>
    </r>
    <r>
      <rPr>
        <sz val="10"/>
        <rFont val="Meiryo UI"/>
        <family val="0"/>
        <charset val="1"/>
      </rPr>
      <t xml:space="preserve">graph-mikata</t>
    </r>
    <r>
      <rPr>
        <sz val="10"/>
        <rFont val="WenQuanYi Zen Hei"/>
        <family val="2"/>
      </rPr>
      <t xml:space="preserve">の双方の意図に該当。</t>
    </r>
  </si>
  <si>
    <r>
      <rPr>
        <sz val="10"/>
        <rFont val="Meiryo UI"/>
        <family val="0"/>
        <charset val="1"/>
      </rPr>
      <t xml:space="preserve">tsukaikata</t>
    </r>
    <r>
      <rPr>
        <sz val="10"/>
        <rFont val="WenQuanYi Zen Hei"/>
        <family val="2"/>
      </rPr>
      <t xml:space="preserve">＝口コミを見る方法、</t>
    </r>
    <r>
      <rPr>
        <sz val="10"/>
        <rFont val="Meiryo UI"/>
        <family val="0"/>
        <charset val="1"/>
      </rPr>
      <t xml:space="preserve">graph-mikata</t>
    </r>
    <r>
      <rPr>
        <sz val="10"/>
        <rFont val="WenQuanYi Zen Hei"/>
        <family val="2"/>
      </rPr>
      <t xml:space="preserve">＝グラフ・形・点数、</t>
    </r>
    <r>
      <rPr>
        <sz val="10"/>
        <rFont val="Meiryo UI"/>
        <family val="0"/>
        <charset val="1"/>
      </rPr>
      <t xml:space="preserve">white-company</t>
    </r>
    <r>
      <rPr>
        <sz val="10"/>
        <rFont val="WenQuanYi Zen Hei"/>
        <family val="2"/>
      </rPr>
      <t xml:space="preserve">＝ホワイト企業の見分け方、</t>
    </r>
    <r>
      <rPr>
        <sz val="10"/>
        <rFont val="Meiryo UI"/>
        <family val="0"/>
        <charset val="1"/>
      </rPr>
      <t xml:space="preserve">toroku-bareru</t>
    </r>
    <r>
      <rPr>
        <sz val="10"/>
        <rFont val="WenQuanYi Zen Hei"/>
        <family val="2"/>
      </rPr>
      <t xml:space="preserve">＝バレる・企業ブロック。</t>
    </r>
    <r>
      <rPr>
        <sz val="10"/>
        <rFont val="Meiryo UI"/>
        <family val="0"/>
        <charset val="1"/>
      </rPr>
      <t xml:space="preserve">tsukaikata</t>
    </r>
    <r>
      <rPr>
        <sz val="10"/>
        <rFont val="WenQuanYi Zen Hei"/>
        <family val="2"/>
      </rPr>
      <t xml:space="preserve">のバレる解説を縮小し</t>
    </r>
    <r>
      <rPr>
        <sz val="10"/>
        <rFont val="Meiryo UI"/>
        <family val="0"/>
        <charset val="1"/>
      </rPr>
      <t xml:space="preserve">toroku-bareru</t>
    </r>
    <r>
      <rPr>
        <sz val="10"/>
        <rFont val="WenQuanYi Zen Hei"/>
        <family val="2"/>
      </rPr>
      <t xml:space="preserve">へリンク。</t>
    </r>
    <r>
      <rPr>
        <sz val="10"/>
        <rFont val="Meiryo UI"/>
        <family val="0"/>
        <charset val="1"/>
      </rPr>
      <t xml:space="preserve">hikaku-kinou</t>
    </r>
    <r>
      <rPr>
        <sz val="10"/>
        <rFont val="WenQuanYi Zen Hei"/>
        <family val="2"/>
      </rPr>
      <t xml:space="preserve">は統合候補。</t>
    </r>
  </si>
  <si>
    <r>
      <rPr>
        <sz val="10"/>
        <rFont val="WenQuanYi Zen Hei"/>
        <family val="2"/>
      </rPr>
      <t xml:space="preserve">オープンワーク 登録 ばれる </t>
    </r>
    <r>
      <rPr>
        <sz val="10"/>
        <rFont val="Meiryo UI"/>
        <family val="0"/>
        <charset val="1"/>
      </rPr>
      <t xml:space="preserve">/ openwork </t>
    </r>
    <r>
      <rPr>
        <sz val="10"/>
        <rFont val="WenQuanYi Zen Hei"/>
        <family val="2"/>
      </rPr>
      <t xml:space="preserve">バレる </t>
    </r>
    <r>
      <rPr>
        <sz val="10"/>
        <rFont val="Meiryo UI"/>
        <family val="0"/>
        <charset val="1"/>
      </rPr>
      <t xml:space="preserve">/ </t>
    </r>
    <r>
      <rPr>
        <sz val="10"/>
        <rFont val="WenQuanYi Zen Hei"/>
        <family val="2"/>
      </rPr>
      <t xml:space="preserve">オープンワーク 見方 </t>
    </r>
    <r>
      <rPr>
        <sz val="10"/>
        <rFont val="Meiryo UI"/>
        <family val="0"/>
        <charset val="1"/>
      </rPr>
      <t xml:space="preserve">/ </t>
    </r>
    <r>
      <rPr>
        <sz val="10"/>
        <rFont val="WenQuanYi Zen Hei"/>
        <family val="2"/>
      </rPr>
      <t xml:space="preserve">オープンワーク 評価 目安</t>
    </r>
  </si>
  <si>
    <r>
      <rPr>
        <sz val="10"/>
        <rFont val="Meiryo UI"/>
        <family val="0"/>
        <charset val="1"/>
      </rPr>
      <t xml:space="preserve">/maker-sier-white-ranking/</t>
    </r>
    <r>
      <rPr>
        <sz val="10"/>
        <rFont val="WenQuanYi Zen Hei"/>
        <family val="2"/>
      </rPr>
      <t xml:space="preserve">（</t>
    </r>
    <r>
      <rPr>
        <sz val="10"/>
        <rFont val="Meiryo UI"/>
        <family val="0"/>
        <charset val="1"/>
      </rPr>
      <t xml:space="preserve">326</t>
    </r>
    <r>
      <rPr>
        <sz val="10"/>
        <rFont val="WenQuanYi Zen Hei"/>
        <family val="2"/>
      </rPr>
      <t xml:space="preserve">表示・</t>
    </r>
    <r>
      <rPr>
        <sz val="10"/>
        <rFont val="Meiryo UI"/>
        <family val="0"/>
        <charset val="1"/>
      </rPr>
      <t xml:space="preserve">24.5</t>
    </r>
    <r>
      <rPr>
        <sz val="10"/>
        <rFont val="WenQuanYi Zen Hei"/>
        <family val="2"/>
      </rPr>
      <t xml:space="preserve">位）
</t>
    </r>
    <r>
      <rPr>
        <sz val="10"/>
        <rFont val="Meiryo UI"/>
        <family val="0"/>
        <charset val="1"/>
      </rPr>
      <t xml:space="preserve">/maker-sier-tier/</t>
    </r>
    <r>
      <rPr>
        <sz val="10"/>
        <rFont val="WenQuanYi Zen Hei"/>
        <family val="2"/>
      </rPr>
      <t xml:space="preserve">（</t>
    </r>
    <r>
      <rPr>
        <sz val="10"/>
        <rFont val="Meiryo UI"/>
        <family val="0"/>
        <charset val="1"/>
      </rPr>
      <t xml:space="preserve">136</t>
    </r>
    <r>
      <rPr>
        <sz val="10"/>
        <rFont val="WenQuanYi Zen Hei"/>
        <family val="2"/>
      </rPr>
      <t xml:space="preserve">表示・</t>
    </r>
    <r>
      <rPr>
        <sz val="10"/>
        <rFont val="Meiryo UI"/>
        <family val="0"/>
        <charset val="1"/>
      </rPr>
      <t xml:space="preserve">9.2</t>
    </r>
    <r>
      <rPr>
        <sz val="10"/>
        <rFont val="WenQuanYi Zen Hei"/>
        <family val="2"/>
      </rPr>
      <t xml:space="preserve">位）</t>
    </r>
  </si>
  <si>
    <r>
      <rPr>
        <sz val="10"/>
        <rFont val="WenQuanYi Zen Hei"/>
        <family val="2"/>
      </rPr>
      <t xml:space="preserve">「メーカー系</t>
    </r>
    <r>
      <rPr>
        <sz val="10"/>
        <rFont val="Meiryo UI"/>
        <family val="0"/>
        <charset val="1"/>
      </rPr>
      <t xml:space="preserve">sier</t>
    </r>
    <r>
      <rPr>
        <sz val="10"/>
        <rFont val="WenQuanYi Zen Hei"/>
        <family val="2"/>
      </rPr>
      <t xml:space="preserve">一覧」</t>
    </r>
    <r>
      <rPr>
        <sz val="10"/>
        <rFont val="Meiryo UI"/>
        <family val="0"/>
        <charset val="1"/>
      </rPr>
      <t xml:space="preserve">64</t>
    </r>
    <r>
      <rPr>
        <sz val="10"/>
        <rFont val="WenQuanYi Zen Hei"/>
        <family val="2"/>
      </rPr>
      <t xml:space="preserve">表示が</t>
    </r>
    <r>
      <rPr>
        <sz val="10"/>
        <rFont val="Meiryo UI"/>
        <family val="0"/>
        <charset val="1"/>
      </rPr>
      <t xml:space="preserve">29.3</t>
    </r>
    <r>
      <rPr>
        <sz val="10"/>
        <rFont val="WenQuanYi Zen Hei"/>
        <family val="2"/>
      </rPr>
      <t xml:space="preserve">位、「メーカー系</t>
    </r>
    <r>
      <rPr>
        <sz val="10"/>
        <rFont val="Meiryo UI"/>
        <family val="0"/>
        <charset val="1"/>
      </rPr>
      <t xml:space="preserve">sier</t>
    </r>
    <r>
      <rPr>
        <sz val="10"/>
        <rFont val="WenQuanYi Zen Hei"/>
        <family val="2"/>
      </rPr>
      <t xml:space="preserve">」</t>
    </r>
    <r>
      <rPr>
        <sz val="10"/>
        <rFont val="Meiryo UI"/>
        <family val="0"/>
        <charset val="1"/>
      </rPr>
      <t xml:space="preserve">44</t>
    </r>
    <r>
      <rPr>
        <sz val="10"/>
        <rFont val="WenQuanYi Zen Hei"/>
        <family val="2"/>
      </rPr>
      <t xml:space="preserve">表示が</t>
    </r>
    <r>
      <rPr>
        <sz val="10"/>
        <rFont val="Meiryo UI"/>
        <family val="0"/>
        <charset val="1"/>
      </rPr>
      <t xml:space="preserve">41.9</t>
    </r>
    <r>
      <rPr>
        <sz val="10"/>
        <rFont val="WenQuanYi Zen Hei"/>
        <family val="2"/>
      </rPr>
      <t xml:space="preserve">位。</t>
    </r>
    <r>
      <rPr>
        <sz val="10"/>
        <rFont val="Meiryo UI"/>
        <family val="0"/>
        <charset val="1"/>
      </rPr>
      <t xml:space="preserve">2</t>
    </r>
    <r>
      <rPr>
        <sz val="10"/>
        <rFont val="WenQuanYi Zen Hei"/>
        <family val="2"/>
      </rPr>
      <t xml:space="preserve">記事とも順位が低い。</t>
    </r>
  </si>
  <si>
    <r>
      <rPr>
        <sz val="10"/>
        <rFont val="Meiryo UI"/>
        <family val="0"/>
        <charset val="1"/>
      </rPr>
      <t xml:space="preserve">maker-sier-white-ranking</t>
    </r>
    <r>
      <rPr>
        <sz val="10"/>
        <rFont val="WenQuanYi Zen Hei"/>
        <family val="2"/>
      </rPr>
      <t xml:space="preserve">を</t>
    </r>
    <r>
      <rPr>
        <sz val="10"/>
        <rFont val="Meiryo UI"/>
        <family val="0"/>
        <charset val="1"/>
      </rPr>
      <t xml:space="preserve">maker-sier-tier</t>
    </r>
    <r>
      <rPr>
        <sz val="10"/>
        <rFont val="WenQuanYi Zen Hei"/>
        <family val="2"/>
      </rPr>
      <t xml:space="preserve">へ統合（</t>
    </r>
    <r>
      <rPr>
        <sz val="10"/>
        <rFont val="Meiryo UI"/>
        <family val="0"/>
        <charset val="1"/>
      </rPr>
      <t xml:space="preserve">301</t>
    </r>
    <r>
      <rPr>
        <sz val="10"/>
        <rFont val="WenQuanYi Zen Hei"/>
        <family val="2"/>
      </rPr>
      <t xml:space="preserve">）。</t>
    </r>
  </si>
  <si>
    <r>
      <rPr>
        <sz val="10"/>
        <rFont val="WenQuanYi Zen Hei"/>
        <family val="2"/>
      </rPr>
      <t xml:space="preserve">メーカー系</t>
    </r>
    <r>
      <rPr>
        <sz val="10"/>
        <rFont val="Meiryo UI"/>
        <family val="0"/>
        <charset val="1"/>
      </rPr>
      <t xml:space="preserve">sier </t>
    </r>
    <r>
      <rPr>
        <sz val="10"/>
        <rFont val="WenQuanYi Zen Hei"/>
        <family val="2"/>
      </rPr>
      <t xml:space="preserve">一覧 </t>
    </r>
    <r>
      <rPr>
        <sz val="10"/>
        <rFont val="Meiryo UI"/>
        <family val="0"/>
        <charset val="1"/>
      </rPr>
      <t xml:space="preserve">/ </t>
    </r>
    <r>
      <rPr>
        <sz val="10"/>
        <rFont val="WenQuanYi Zen Hei"/>
        <family val="2"/>
      </rPr>
      <t xml:space="preserve">メーカー系</t>
    </r>
    <r>
      <rPr>
        <sz val="10"/>
        <rFont val="Meiryo UI"/>
        <family val="0"/>
        <charset val="1"/>
      </rPr>
      <t xml:space="preserve">sier </t>
    </r>
    <r>
      <rPr>
        <sz val="10"/>
        <rFont val="WenQuanYi Zen Hei"/>
        <family val="2"/>
      </rPr>
      <t xml:space="preserve">ホワイト</t>
    </r>
  </si>
  <si>
    <r>
      <rPr>
        <sz val="10"/>
        <rFont val="Meiryo UI"/>
        <family val="0"/>
        <charset val="1"/>
      </rPr>
      <t xml:space="preserve">/independent-sier-tier/</t>
    </r>
    <r>
      <rPr>
        <sz val="10"/>
        <rFont val="WenQuanYi Zen Hei"/>
        <family val="2"/>
      </rPr>
      <t xml:space="preserve">（</t>
    </r>
    <r>
      <rPr>
        <sz val="10"/>
        <rFont val="Meiryo UI"/>
        <family val="0"/>
        <charset val="1"/>
      </rPr>
      <t xml:space="preserve">280</t>
    </r>
    <r>
      <rPr>
        <sz val="10"/>
        <rFont val="WenQuanYi Zen Hei"/>
        <family val="2"/>
      </rPr>
      <t xml:space="preserve">表示・</t>
    </r>
    <r>
      <rPr>
        <sz val="10"/>
        <rFont val="Meiryo UI"/>
        <family val="0"/>
        <charset val="1"/>
      </rPr>
      <t xml:space="preserve">10.3</t>
    </r>
    <r>
      <rPr>
        <sz val="10"/>
        <rFont val="WenQuanYi Zen Hei"/>
        <family val="2"/>
      </rPr>
      <t xml:space="preserve">位）
</t>
    </r>
    <r>
      <rPr>
        <sz val="10"/>
        <rFont val="Meiryo UI"/>
        <family val="0"/>
        <charset val="1"/>
      </rPr>
      <t xml:space="preserve">/independent-sier/</t>
    </r>
    <r>
      <rPr>
        <sz val="10"/>
        <rFont val="WenQuanYi Zen Hei"/>
        <family val="2"/>
      </rPr>
      <t xml:space="preserve">（</t>
    </r>
    <r>
      <rPr>
        <sz val="10"/>
        <rFont val="Meiryo UI"/>
        <family val="0"/>
        <charset val="1"/>
      </rPr>
      <t xml:space="preserve">166</t>
    </r>
    <r>
      <rPr>
        <sz val="10"/>
        <rFont val="WenQuanYi Zen Hei"/>
        <family val="2"/>
      </rPr>
      <t xml:space="preserve">表示・</t>
    </r>
    <r>
      <rPr>
        <sz val="10"/>
        <rFont val="Meiryo UI"/>
        <family val="0"/>
        <charset val="1"/>
      </rPr>
      <t xml:space="preserve">9.8</t>
    </r>
    <r>
      <rPr>
        <sz val="10"/>
        <rFont val="WenQuanYi Zen Hei"/>
        <family val="2"/>
      </rPr>
      <t xml:space="preserve">位）
</t>
    </r>
    <r>
      <rPr>
        <sz val="10"/>
        <rFont val="Meiryo UI"/>
        <family val="0"/>
        <charset val="1"/>
      </rPr>
      <t xml:space="preserve">/independent-sier-delisting/</t>
    </r>
    <r>
      <rPr>
        <sz val="10"/>
        <rFont val="WenQuanYi Zen Hei"/>
        <family val="2"/>
      </rPr>
      <t xml:space="preserve">（</t>
    </r>
    <r>
      <rPr>
        <sz val="10"/>
        <rFont val="Meiryo UI"/>
        <family val="0"/>
        <charset val="1"/>
      </rPr>
      <t xml:space="preserve">85</t>
    </r>
    <r>
      <rPr>
        <sz val="10"/>
        <rFont val="WenQuanYi Zen Hei"/>
        <family val="2"/>
      </rPr>
      <t xml:space="preserve">表示・</t>
    </r>
    <r>
      <rPr>
        <sz val="10"/>
        <rFont val="Meiryo UI"/>
        <family val="0"/>
        <charset val="1"/>
      </rPr>
      <t xml:space="preserve">6.7</t>
    </r>
    <r>
      <rPr>
        <sz val="10"/>
        <rFont val="WenQuanYi Zen Hei"/>
        <family val="2"/>
      </rPr>
      <t xml:space="preserve">位）</t>
    </r>
  </si>
  <si>
    <r>
      <rPr>
        <sz val="10"/>
        <rFont val="Meiryo UI"/>
        <family val="0"/>
        <charset val="1"/>
      </rPr>
      <t xml:space="preserve">independent-sier</t>
    </r>
    <r>
      <rPr>
        <sz val="10"/>
        <rFont val="WenQuanYi Zen Hei"/>
        <family val="2"/>
      </rPr>
      <t xml:space="preserve">（</t>
    </r>
    <r>
      <rPr>
        <sz val="10"/>
        <rFont val="Meiryo UI"/>
        <family val="0"/>
        <charset val="1"/>
      </rPr>
      <t xml:space="preserve">9.8</t>
    </r>
    <r>
      <rPr>
        <sz val="10"/>
        <rFont val="WenQuanYi Zen Hei"/>
        <family val="2"/>
      </rPr>
      <t xml:space="preserve">位）と</t>
    </r>
    <r>
      <rPr>
        <sz val="10"/>
        <rFont val="Meiryo UI"/>
        <family val="0"/>
        <charset val="1"/>
      </rPr>
      <t xml:space="preserve">independent-sier-tier</t>
    </r>
    <r>
      <rPr>
        <sz val="10"/>
        <rFont val="WenQuanYi Zen Hei"/>
        <family val="2"/>
      </rPr>
      <t xml:space="preserve">（</t>
    </r>
    <r>
      <rPr>
        <sz val="10"/>
        <rFont val="Meiryo UI"/>
        <family val="0"/>
        <charset val="1"/>
      </rPr>
      <t xml:space="preserve">10.3</t>
    </r>
    <r>
      <rPr>
        <sz val="10"/>
        <rFont val="WenQuanYi Zen Hei"/>
        <family val="2"/>
      </rPr>
      <t xml:space="preserve">位）がほぼ同じ意図。</t>
    </r>
  </si>
  <si>
    <r>
      <rPr>
        <sz val="10"/>
        <rFont val="Meiryo UI"/>
        <family val="0"/>
        <charset val="1"/>
      </rPr>
      <t xml:space="preserve">independent-sier</t>
    </r>
    <r>
      <rPr>
        <sz val="10"/>
        <rFont val="WenQuanYi Zen Hei"/>
        <family val="2"/>
      </rPr>
      <t xml:space="preserve">を</t>
    </r>
    <r>
      <rPr>
        <sz val="10"/>
        <rFont val="Meiryo UI"/>
        <family val="0"/>
        <charset val="1"/>
      </rPr>
      <t xml:space="preserve">independent-sier-tier</t>
    </r>
    <r>
      <rPr>
        <sz val="10"/>
        <rFont val="WenQuanYi Zen Hei"/>
        <family val="2"/>
      </rPr>
      <t xml:space="preserve">へ統合（</t>
    </r>
    <r>
      <rPr>
        <sz val="10"/>
        <rFont val="Meiryo UI"/>
        <family val="0"/>
        <charset val="1"/>
      </rPr>
      <t xml:space="preserve">301</t>
    </r>
    <r>
      <rPr>
        <sz val="10"/>
        <rFont val="WenQuanYi Zen Hei"/>
        <family val="2"/>
      </rPr>
      <t xml:space="preserve">）。上場廃止記事は別意図なので維持。</t>
    </r>
  </si>
  <si>
    <r>
      <rPr>
        <sz val="10"/>
        <rFont val="WenQuanYi Zen Hei"/>
        <family val="2"/>
      </rPr>
      <t xml:space="preserve">独立系</t>
    </r>
    <r>
      <rPr>
        <sz val="10"/>
        <rFont val="Meiryo UI"/>
        <family val="0"/>
        <charset val="1"/>
      </rPr>
      <t xml:space="preserve">sier </t>
    </r>
    <r>
      <rPr>
        <sz val="10"/>
        <rFont val="WenQuanYi Zen Hei"/>
        <family val="2"/>
      </rPr>
      <t xml:space="preserve">一覧 </t>
    </r>
    <r>
      <rPr>
        <sz val="10"/>
        <rFont val="Meiryo UI"/>
        <family val="0"/>
        <charset val="1"/>
      </rPr>
      <t xml:space="preserve">/ </t>
    </r>
    <r>
      <rPr>
        <sz val="10"/>
        <rFont val="WenQuanYi Zen Hei"/>
        <family val="2"/>
      </rPr>
      <t xml:space="preserve">独立系</t>
    </r>
    <r>
      <rPr>
        <sz val="10"/>
        <rFont val="Meiryo UI"/>
        <family val="0"/>
        <charset val="1"/>
      </rPr>
      <t xml:space="preserve">sier </t>
    </r>
    <r>
      <rPr>
        <sz val="10"/>
        <rFont val="WenQuanYi Zen Hei"/>
        <family val="2"/>
      </rPr>
      <t xml:space="preserve">ランキング</t>
    </r>
  </si>
  <si>
    <r>
      <rPr>
        <sz val="10"/>
        <rFont val="Meiryo UI"/>
        <family val="0"/>
        <charset val="1"/>
      </rPr>
      <t xml:space="preserve">/ses-syoryu-toritekiho-tenshoku/</t>
    </r>
    <r>
      <rPr>
        <sz val="10"/>
        <rFont val="WenQuanYi Zen Hei"/>
        <family val="2"/>
      </rPr>
      <t xml:space="preserve">（</t>
    </r>
    <r>
      <rPr>
        <sz val="10"/>
        <rFont val="Meiryo UI"/>
        <family val="0"/>
        <charset val="1"/>
      </rPr>
      <t xml:space="preserve">817</t>
    </r>
    <r>
      <rPr>
        <sz val="10"/>
        <rFont val="WenQuanYi Zen Hei"/>
        <family val="2"/>
      </rPr>
      <t xml:space="preserve">表示・</t>
    </r>
    <r>
      <rPr>
        <sz val="10"/>
        <rFont val="Meiryo UI"/>
        <family val="0"/>
        <charset val="1"/>
      </rPr>
      <t xml:space="preserve">9.9</t>
    </r>
    <r>
      <rPr>
        <sz val="10"/>
        <rFont val="WenQuanYi Zen Hei"/>
        <family val="2"/>
      </rPr>
      <t xml:space="preserve">位）
</t>
    </r>
    <r>
      <rPr>
        <sz val="10"/>
        <rFont val="Meiryo UI"/>
        <family val="0"/>
        <charset val="1"/>
      </rPr>
      <t xml:space="preserve">/ses-kigyou-miwakekata-erabikata/</t>
    </r>
    <r>
      <rPr>
        <sz val="10"/>
        <rFont val="WenQuanYi Zen Hei"/>
        <family val="2"/>
      </rPr>
      <t xml:space="preserve">（</t>
    </r>
    <r>
      <rPr>
        <sz val="10"/>
        <rFont val="Meiryo UI"/>
        <family val="0"/>
        <charset val="1"/>
      </rPr>
      <t xml:space="preserve">388</t>
    </r>
    <r>
      <rPr>
        <sz val="10"/>
        <rFont val="WenQuanYi Zen Hei"/>
        <family val="2"/>
      </rPr>
      <t xml:space="preserve">表示・</t>
    </r>
    <r>
      <rPr>
        <sz val="10"/>
        <rFont val="Meiryo UI"/>
        <family val="0"/>
        <charset val="1"/>
      </rPr>
      <t xml:space="preserve">32.8</t>
    </r>
    <r>
      <rPr>
        <sz val="10"/>
        <rFont val="WenQuanYi Zen Hei"/>
        <family val="2"/>
      </rPr>
      <t xml:space="preserve">位）
</t>
    </r>
    <r>
      <rPr>
        <sz val="10"/>
        <rFont val="Meiryo UI"/>
        <family val="0"/>
        <charset val="1"/>
      </rPr>
      <t xml:space="preserve">/seishain-haken-ses-chigai/</t>
    </r>
    <r>
      <rPr>
        <sz val="10"/>
        <rFont val="WenQuanYi Zen Hei"/>
        <family val="2"/>
      </rPr>
      <t xml:space="preserve">（</t>
    </r>
    <r>
      <rPr>
        <sz val="10"/>
        <rFont val="Meiryo UI"/>
        <family val="0"/>
        <charset val="1"/>
      </rPr>
      <t xml:space="preserve">191</t>
    </r>
    <r>
      <rPr>
        <sz val="10"/>
        <rFont val="WenQuanYi Zen Hei"/>
        <family val="2"/>
      </rPr>
      <t xml:space="preserve">表示・</t>
    </r>
    <r>
      <rPr>
        <sz val="10"/>
        <rFont val="Meiryo UI"/>
        <family val="0"/>
        <charset val="1"/>
      </rPr>
      <t xml:space="preserve">15.5</t>
    </r>
    <r>
      <rPr>
        <sz val="10"/>
        <rFont val="WenQuanYi Zen Hei"/>
        <family val="2"/>
      </rPr>
      <t xml:space="preserve">位）
</t>
    </r>
    <r>
      <rPr>
        <sz val="10"/>
        <rFont val="Meiryo UI"/>
        <family val="0"/>
        <charset val="1"/>
      </rPr>
      <t xml:space="preserve">/sier-ses-docchi/</t>
    </r>
    <r>
      <rPr>
        <sz val="10"/>
        <rFont val="WenQuanYi Zen Hei"/>
        <family val="2"/>
      </rPr>
      <t xml:space="preserve">（</t>
    </r>
    <r>
      <rPr>
        <sz val="10"/>
        <rFont val="Meiryo UI"/>
        <family val="0"/>
        <charset val="1"/>
      </rPr>
      <t xml:space="preserve">56</t>
    </r>
    <r>
      <rPr>
        <sz val="10"/>
        <rFont val="WenQuanYi Zen Hei"/>
        <family val="2"/>
      </rPr>
      <t xml:space="preserve">表示・</t>
    </r>
    <r>
      <rPr>
        <sz val="10"/>
        <rFont val="Meiryo UI"/>
        <family val="0"/>
        <charset val="1"/>
      </rPr>
      <t xml:space="preserve">20.4</t>
    </r>
    <r>
      <rPr>
        <sz val="10"/>
        <rFont val="WenQuanYi Zen Hei"/>
        <family val="2"/>
      </rPr>
      <t xml:space="preserve">位）</t>
    </r>
  </si>
  <si>
    <r>
      <rPr>
        <sz val="10"/>
        <rFont val="WenQuanYi Zen Hei"/>
        <family val="2"/>
      </rPr>
      <t xml:space="preserve">「</t>
    </r>
    <r>
      <rPr>
        <sz val="10"/>
        <rFont val="Meiryo UI"/>
        <family val="0"/>
        <charset val="1"/>
      </rPr>
      <t xml:space="preserve">ses </t>
    </r>
    <r>
      <rPr>
        <sz val="10"/>
        <rFont val="WenQuanYi Zen Hei"/>
        <family val="2"/>
      </rPr>
      <t xml:space="preserve">見分け方」</t>
    </r>
    <r>
      <rPr>
        <sz val="10"/>
        <rFont val="Meiryo UI"/>
        <family val="0"/>
        <charset val="1"/>
      </rPr>
      <t xml:space="preserve">247</t>
    </r>
    <r>
      <rPr>
        <sz val="10"/>
        <rFont val="WenQuanYi Zen Hei"/>
        <family val="2"/>
      </rPr>
      <t xml:space="preserve">表示が</t>
    </r>
    <r>
      <rPr>
        <sz val="10"/>
        <rFont val="Meiryo UI"/>
        <family val="0"/>
        <charset val="1"/>
      </rPr>
      <t xml:space="preserve">42.8</t>
    </r>
    <r>
      <rPr>
        <sz val="10"/>
        <rFont val="WenQuanYi Zen Hei"/>
        <family val="2"/>
      </rPr>
      <t xml:space="preserve">位でクリック</t>
    </r>
    <r>
      <rPr>
        <sz val="10"/>
        <rFont val="Meiryo UI"/>
        <family val="0"/>
        <charset val="1"/>
      </rPr>
      <t xml:space="preserve">0</t>
    </r>
    <r>
      <rPr>
        <sz val="10"/>
        <rFont val="WenQuanYi Zen Hei"/>
        <family val="2"/>
      </rPr>
      <t xml:space="preserve">。</t>
    </r>
    <r>
      <rPr>
        <sz val="10"/>
        <rFont val="Meiryo UI"/>
        <family val="0"/>
        <charset val="1"/>
      </rPr>
      <t xml:space="preserve">ses-syoryu-toritekiho</t>
    </r>
    <r>
      <rPr>
        <sz val="10"/>
        <rFont val="WenQuanYi Zen Hei"/>
        <family val="2"/>
      </rPr>
      <t xml:space="preserve">と</t>
    </r>
    <r>
      <rPr>
        <sz val="10"/>
        <rFont val="Meiryo UI"/>
        <family val="0"/>
        <charset val="1"/>
      </rPr>
      <t xml:space="preserve">ses-kigyou-miwakekata</t>
    </r>
    <r>
      <rPr>
        <sz val="10"/>
        <rFont val="WenQuanYi Zen Hei"/>
        <family val="2"/>
      </rPr>
      <t xml:space="preserve">の両方が該当。</t>
    </r>
  </si>
  <si>
    <r>
      <rPr>
        <sz val="10"/>
        <rFont val="Meiryo UI"/>
        <family val="0"/>
        <charset val="1"/>
      </rPr>
      <t xml:space="preserve">ses-kigyou-miwakekata</t>
    </r>
    <r>
      <rPr>
        <sz val="10"/>
        <rFont val="WenQuanYi Zen Hei"/>
        <family val="2"/>
      </rPr>
      <t xml:space="preserve">を「</t>
    </r>
    <r>
      <rPr>
        <sz val="10"/>
        <rFont val="Meiryo UI"/>
        <family val="0"/>
        <charset val="1"/>
      </rPr>
      <t xml:space="preserve">SES</t>
    </r>
    <r>
      <rPr>
        <sz val="10"/>
        <rFont val="WenQuanYi Zen Hei"/>
        <family val="2"/>
      </rPr>
      <t xml:space="preserve">企業の見分け方」の親に。</t>
    </r>
    <r>
      <rPr>
        <sz val="10"/>
        <rFont val="Meiryo UI"/>
        <family val="0"/>
        <charset val="1"/>
      </rPr>
      <t xml:space="preserve">ses-syoryu</t>
    </r>
    <r>
      <rPr>
        <sz val="10"/>
        <rFont val="WenQuanYi Zen Hei"/>
        <family val="2"/>
      </rPr>
      <t xml:space="preserve">は「商流・取適法」に特化。</t>
    </r>
    <r>
      <rPr>
        <sz val="10"/>
        <rFont val="Meiryo UI"/>
        <family val="0"/>
        <charset val="1"/>
      </rPr>
      <t xml:space="preserve">seishain-haken-ses-chigai</t>
    </r>
    <r>
      <rPr>
        <sz val="10"/>
        <rFont val="WenQuanYi Zen Hei"/>
        <family val="2"/>
      </rPr>
      <t xml:space="preserve">は「正社員型派遣との違い」に限定。</t>
    </r>
  </si>
  <si>
    <r>
      <rPr>
        <sz val="10"/>
        <rFont val="Meiryo UI"/>
        <family val="0"/>
        <charset val="1"/>
      </rPr>
      <t xml:space="preserve">ses </t>
    </r>
    <r>
      <rPr>
        <sz val="10"/>
        <rFont val="WenQuanYi Zen Hei"/>
        <family val="2"/>
      </rPr>
      <t xml:space="preserve">見分け方 </t>
    </r>
    <r>
      <rPr>
        <sz val="10"/>
        <rFont val="Meiryo UI"/>
        <family val="0"/>
        <charset val="1"/>
      </rPr>
      <t xml:space="preserve">/ ses </t>
    </r>
    <r>
      <rPr>
        <sz val="10"/>
        <rFont val="WenQuanYi Zen Hei"/>
        <family val="2"/>
      </rPr>
      <t xml:space="preserve">正社員型派遣</t>
    </r>
  </si>
  <si>
    <r>
      <rPr>
        <sz val="10"/>
        <rFont val="Meiryo UI"/>
        <family val="0"/>
        <charset val="1"/>
      </rPr>
      <t xml:space="preserve">/ipa-exam-reform-2027/</t>
    </r>
    <r>
      <rPr>
        <sz val="10"/>
        <rFont val="WenQuanYi Zen Hei"/>
        <family val="2"/>
      </rPr>
      <t xml:space="preserve">（</t>
    </r>
    <r>
      <rPr>
        <sz val="10"/>
        <rFont val="Meiryo UI"/>
        <family val="0"/>
        <charset val="1"/>
      </rPr>
      <t xml:space="preserve">19,660</t>
    </r>
    <r>
      <rPr>
        <sz val="10"/>
        <rFont val="WenQuanYi Zen Hei"/>
        <family val="2"/>
      </rPr>
      <t xml:space="preserve">表示・</t>
    </r>
    <r>
      <rPr>
        <sz val="10"/>
        <rFont val="Meiryo UI"/>
        <family val="0"/>
        <charset val="1"/>
      </rPr>
      <t xml:space="preserve">8.0</t>
    </r>
    <r>
      <rPr>
        <sz val="10"/>
        <rFont val="WenQuanYi Zen Hei"/>
        <family val="2"/>
      </rPr>
      <t xml:space="preserve">位）
</t>
    </r>
    <r>
      <rPr>
        <sz val="10"/>
        <rFont val="Meiryo UI"/>
        <family val="0"/>
        <charset val="1"/>
      </rPr>
      <t xml:space="preserve">/professional-digital-skill-exam/</t>
    </r>
    <r>
      <rPr>
        <sz val="10"/>
        <rFont val="WenQuanYi Zen Hei"/>
        <family val="2"/>
      </rPr>
      <t xml:space="preserve">（</t>
    </r>
    <r>
      <rPr>
        <sz val="10"/>
        <rFont val="Meiryo UI"/>
        <family val="0"/>
        <charset val="1"/>
      </rPr>
      <t xml:space="preserve">3,251</t>
    </r>
    <r>
      <rPr>
        <sz val="10"/>
        <rFont val="WenQuanYi Zen Hei"/>
        <family val="2"/>
      </rPr>
      <t xml:space="preserve">表示・</t>
    </r>
    <r>
      <rPr>
        <sz val="10"/>
        <rFont val="Meiryo UI"/>
        <family val="0"/>
        <charset val="1"/>
      </rPr>
      <t xml:space="preserve">7.1</t>
    </r>
    <r>
      <rPr>
        <sz val="10"/>
        <rFont val="WenQuanYi Zen Hei"/>
        <family val="2"/>
      </rPr>
      <t xml:space="preserve">位）
</t>
    </r>
    <r>
      <rPr>
        <sz val="10"/>
        <rFont val="Meiryo UI"/>
        <family val="0"/>
        <charset val="1"/>
      </rPr>
      <t xml:space="preserve">/ipa-exam-reform-career-impact/</t>
    </r>
    <r>
      <rPr>
        <sz val="10"/>
        <rFont val="WenQuanYi Zen Hei"/>
        <family val="2"/>
      </rPr>
      <t xml:space="preserve">（</t>
    </r>
    <r>
      <rPr>
        <sz val="10"/>
        <rFont val="Meiryo UI"/>
        <family val="0"/>
        <charset val="1"/>
      </rPr>
      <t xml:space="preserve">916</t>
    </r>
    <r>
      <rPr>
        <sz val="10"/>
        <rFont val="WenQuanYi Zen Hei"/>
        <family val="2"/>
      </rPr>
      <t xml:space="preserve">表示・</t>
    </r>
    <r>
      <rPr>
        <sz val="10"/>
        <rFont val="Meiryo UI"/>
        <family val="0"/>
        <charset val="1"/>
      </rPr>
      <t xml:space="preserve">8.9</t>
    </r>
    <r>
      <rPr>
        <sz val="10"/>
        <rFont val="WenQuanYi Zen Hei"/>
        <family val="2"/>
      </rPr>
      <t xml:space="preserve">位）
</t>
    </r>
    <r>
      <rPr>
        <sz val="10"/>
        <rFont val="Meiryo UI"/>
        <family val="0"/>
        <charset val="1"/>
      </rPr>
      <t xml:space="preserve">/data-management-exam/</t>
    </r>
    <r>
      <rPr>
        <sz val="10"/>
        <rFont val="WenQuanYi Zen Hei"/>
        <family val="2"/>
      </rPr>
      <t xml:space="preserve">（</t>
    </r>
    <r>
      <rPr>
        <sz val="10"/>
        <rFont val="Meiryo UI"/>
        <family val="0"/>
        <charset val="1"/>
      </rPr>
      <t xml:space="preserve">334</t>
    </r>
    <r>
      <rPr>
        <sz val="10"/>
        <rFont val="WenQuanYi Zen Hei"/>
        <family val="2"/>
      </rPr>
      <t xml:space="preserve">表示・</t>
    </r>
    <r>
      <rPr>
        <sz val="10"/>
        <rFont val="Meiryo UI"/>
        <family val="0"/>
        <charset val="1"/>
      </rPr>
      <t xml:space="preserve">8.6</t>
    </r>
    <r>
      <rPr>
        <sz val="10"/>
        <rFont val="WenQuanYi Zen Hei"/>
        <family val="2"/>
      </rPr>
      <t xml:space="preserve">位）</t>
    </r>
  </si>
  <si>
    <r>
      <rPr>
        <sz val="10"/>
        <rFont val="WenQuanYi Zen Hei"/>
        <family val="2"/>
      </rPr>
      <t xml:space="preserve">改編の総合記事が「応用情報 なくなる」系を</t>
    </r>
    <r>
      <rPr>
        <sz val="10"/>
        <rFont val="Meiryo UI"/>
        <family val="0"/>
        <charset val="1"/>
      </rPr>
      <t xml:space="preserve">10</t>
    </r>
    <r>
      <rPr>
        <sz val="10"/>
        <rFont val="WenQuanYi Zen Hei"/>
        <family val="2"/>
      </rPr>
      <t xml:space="preserve">位前後で受けている（受け皿記事の不足）。</t>
    </r>
    <r>
      <rPr>
        <sz val="10"/>
        <rFont val="Meiryo UI"/>
        <family val="0"/>
        <charset val="1"/>
      </rPr>
      <t xml:space="preserve">career-impact</t>
    </r>
    <r>
      <rPr>
        <sz val="10"/>
        <rFont val="WenQuanYi Zen Hei"/>
        <family val="2"/>
      </rPr>
      <t xml:space="preserve">は関連クエリが上位</t>
    </r>
    <r>
      <rPr>
        <sz val="10"/>
        <rFont val="Meiryo UI"/>
        <family val="0"/>
        <charset val="1"/>
      </rPr>
      <t xml:space="preserve">1,000</t>
    </r>
    <r>
      <rPr>
        <sz val="10"/>
        <rFont val="WenQuanYi Zen Hei"/>
        <family val="2"/>
      </rPr>
      <t xml:space="preserve">件に入らず、総合記事と意図が近い。</t>
    </r>
  </si>
  <si>
    <r>
      <rPr>
        <sz val="10"/>
        <rFont val="WenQuanYi Zen Hei"/>
        <family val="2"/>
      </rPr>
      <t xml:space="preserve">応用情報の単独記事を新設（</t>
    </r>
    <r>
      <rPr>
        <sz val="10"/>
        <rFont val="Meiryo UI"/>
        <family val="0"/>
        <charset val="1"/>
      </rPr>
      <t xml:space="preserve">/ouyou-jouhou-haishi/ </t>
    </r>
    <r>
      <rPr>
        <sz val="10"/>
        <rFont val="WenQuanYi Zen Hei"/>
        <family val="2"/>
      </rPr>
      <t xml:space="preserve">仮）。総合記事は改編の全体像・試験別一覧のハブに。</t>
    </r>
    <r>
      <rPr>
        <sz val="10"/>
        <rFont val="Meiryo UI"/>
        <family val="0"/>
        <charset val="1"/>
      </rPr>
      <t xml:space="preserve">career-impact</t>
    </r>
    <r>
      <rPr>
        <sz val="10"/>
        <rFont val="WenQuanYi Zen Hei"/>
        <family val="2"/>
      </rPr>
      <t xml:space="preserve">は「転職・採用での評価」に特化。</t>
    </r>
  </si>
  <si>
    <r>
      <rPr>
        <sz val="10"/>
        <rFont val="WenQuanYi Zen Hei"/>
        <family val="2"/>
      </rPr>
      <t xml:space="preserve">応用情報技術者試験 なくなる </t>
    </r>
    <r>
      <rPr>
        <sz val="10"/>
        <rFont val="Meiryo UI"/>
        <family val="0"/>
        <charset val="1"/>
      </rPr>
      <t xml:space="preserve">/ </t>
    </r>
    <r>
      <rPr>
        <sz val="10"/>
        <rFont val="WenQuanYi Zen Hei"/>
        <family val="2"/>
      </rPr>
      <t xml:space="preserve">情報処理技術者試験 </t>
    </r>
    <r>
      <rPr>
        <sz val="10"/>
        <rFont val="Meiryo UI"/>
        <family val="0"/>
        <charset val="1"/>
      </rPr>
      <t xml:space="preserve">2027</t>
    </r>
  </si>
  <si>
    <r>
      <rPr>
        <sz val="10"/>
        <rFont val="Meiryo UI"/>
        <family val="0"/>
        <charset val="1"/>
      </rPr>
      <t xml:space="preserve">/itpassport-kihonjoho-2027-henkou/</t>
    </r>
    <r>
      <rPr>
        <sz val="10"/>
        <rFont val="WenQuanYi Zen Hei"/>
        <family val="2"/>
      </rPr>
      <t xml:space="preserve">（</t>
    </r>
    <r>
      <rPr>
        <sz val="10"/>
        <rFont val="Meiryo UI"/>
        <family val="0"/>
        <charset val="1"/>
      </rPr>
      <t xml:space="preserve">1,857</t>
    </r>
    <r>
      <rPr>
        <sz val="10"/>
        <rFont val="WenQuanYi Zen Hei"/>
        <family val="2"/>
      </rPr>
      <t xml:space="preserve">表示・</t>
    </r>
    <r>
      <rPr>
        <sz val="10"/>
        <rFont val="Meiryo UI"/>
        <family val="0"/>
        <charset val="1"/>
      </rPr>
      <t xml:space="preserve">7.0</t>
    </r>
    <r>
      <rPr>
        <sz val="10"/>
        <rFont val="WenQuanYi Zen Hei"/>
        <family val="2"/>
      </rPr>
      <t xml:space="preserve">位）
</t>
    </r>
    <r>
      <rPr>
        <sz val="10"/>
        <rFont val="Meiryo UI"/>
        <family val="0"/>
        <charset val="1"/>
      </rPr>
      <t xml:space="preserve">/it-passport-iminai/</t>
    </r>
    <r>
      <rPr>
        <sz val="10"/>
        <rFont val="WenQuanYi Zen Hei"/>
        <family val="2"/>
      </rPr>
      <t xml:space="preserve">（</t>
    </r>
    <r>
      <rPr>
        <sz val="10"/>
        <rFont val="Meiryo UI"/>
        <family val="0"/>
        <charset val="1"/>
      </rPr>
      <t xml:space="preserve">887</t>
    </r>
    <r>
      <rPr>
        <sz val="10"/>
        <rFont val="WenQuanYi Zen Hei"/>
        <family val="2"/>
      </rPr>
      <t xml:space="preserve">表示・</t>
    </r>
    <r>
      <rPr>
        <sz val="10"/>
        <rFont val="Meiryo UI"/>
        <family val="0"/>
        <charset val="1"/>
      </rPr>
      <t xml:space="preserve">18.4</t>
    </r>
    <r>
      <rPr>
        <sz val="10"/>
        <rFont val="WenQuanYi Zen Hei"/>
        <family val="2"/>
      </rPr>
      <t xml:space="preserve">位）
</t>
    </r>
    <r>
      <rPr>
        <sz val="10"/>
        <rFont val="Meiryo UI"/>
        <family val="0"/>
        <charset val="1"/>
      </rPr>
      <t xml:space="preserve">/it-passport-kihonjoho-ukaranai/</t>
    </r>
    <r>
      <rPr>
        <sz val="10"/>
        <rFont val="WenQuanYi Zen Hei"/>
        <family val="2"/>
      </rPr>
      <t xml:space="preserve">（</t>
    </r>
    <r>
      <rPr>
        <sz val="10"/>
        <rFont val="Meiryo UI"/>
        <family val="0"/>
        <charset val="1"/>
      </rPr>
      <t xml:space="preserve">788</t>
    </r>
    <r>
      <rPr>
        <sz val="10"/>
        <rFont val="WenQuanYi Zen Hei"/>
        <family val="2"/>
      </rPr>
      <t xml:space="preserve">表示・</t>
    </r>
    <r>
      <rPr>
        <sz val="10"/>
        <rFont val="Meiryo UI"/>
        <family val="0"/>
        <charset val="1"/>
      </rPr>
      <t xml:space="preserve">11.1</t>
    </r>
    <r>
      <rPr>
        <sz val="10"/>
        <rFont val="WenQuanYi Zen Hei"/>
        <family val="2"/>
      </rPr>
      <t xml:space="preserve">位）
</t>
    </r>
    <r>
      <rPr>
        <sz val="10"/>
        <rFont val="Meiryo UI"/>
        <family val="0"/>
        <charset val="1"/>
      </rPr>
      <t xml:space="preserve">/it-passport-kihonjoho-ikashikata/</t>
    </r>
    <r>
      <rPr>
        <sz val="10"/>
        <rFont val="WenQuanYi Zen Hei"/>
        <family val="2"/>
      </rPr>
      <t xml:space="preserve">（</t>
    </r>
    <r>
      <rPr>
        <sz val="10"/>
        <rFont val="Meiryo UI"/>
        <family val="0"/>
        <charset val="1"/>
      </rPr>
      <t xml:space="preserve">180</t>
    </r>
    <r>
      <rPr>
        <sz val="10"/>
        <rFont val="WenQuanYi Zen Hei"/>
        <family val="2"/>
      </rPr>
      <t xml:space="preserve">表示・</t>
    </r>
    <r>
      <rPr>
        <sz val="10"/>
        <rFont val="Meiryo UI"/>
        <family val="0"/>
        <charset val="1"/>
      </rPr>
      <t xml:space="preserve">23.6</t>
    </r>
    <r>
      <rPr>
        <sz val="10"/>
        <rFont val="WenQuanYi Zen Hei"/>
        <family val="2"/>
      </rPr>
      <t xml:space="preserve">位）</t>
    </r>
  </si>
  <si>
    <r>
      <rPr>
        <sz val="10"/>
        <rFont val="WenQuanYi Zen Hei"/>
        <family val="2"/>
      </rPr>
      <t xml:space="preserve">「</t>
    </r>
    <r>
      <rPr>
        <sz val="10"/>
        <rFont val="Meiryo UI"/>
        <family val="0"/>
        <charset val="1"/>
      </rPr>
      <t xml:space="preserve">it</t>
    </r>
    <r>
      <rPr>
        <sz val="10"/>
        <rFont val="WenQuanYi Zen Hei"/>
        <family val="2"/>
      </rPr>
      <t xml:space="preserve">パスポート 履歴書」系（計</t>
    </r>
    <r>
      <rPr>
        <sz val="10"/>
        <rFont val="Meiryo UI"/>
        <family val="0"/>
        <charset val="1"/>
      </rPr>
      <t xml:space="preserve">230</t>
    </r>
    <r>
      <rPr>
        <sz val="10"/>
        <rFont val="WenQuanYi Zen Hei"/>
        <family val="2"/>
      </rPr>
      <t xml:space="preserve">表示）が</t>
    </r>
    <r>
      <rPr>
        <sz val="10"/>
        <rFont val="Meiryo UI"/>
        <family val="0"/>
        <charset val="1"/>
      </rPr>
      <t xml:space="preserve">36</t>
    </r>
    <r>
      <rPr>
        <sz val="10"/>
        <rFont val="WenQuanYi Zen Hei"/>
        <family val="2"/>
      </rPr>
      <t xml:space="preserve">〜</t>
    </r>
    <r>
      <rPr>
        <sz val="10"/>
        <rFont val="Meiryo UI"/>
        <family val="0"/>
        <charset val="1"/>
      </rPr>
      <t xml:space="preserve">40</t>
    </r>
    <r>
      <rPr>
        <sz val="10"/>
        <rFont val="WenQuanYi Zen Hei"/>
        <family val="2"/>
      </rPr>
      <t xml:space="preserve">位、「〜書かない」は</t>
    </r>
    <r>
      <rPr>
        <sz val="10"/>
        <rFont val="Meiryo UI"/>
        <family val="0"/>
        <charset val="1"/>
      </rPr>
      <t xml:space="preserve">9.7</t>
    </r>
    <r>
      <rPr>
        <sz val="10"/>
        <rFont val="WenQuanYi Zen Hei"/>
        <family val="2"/>
      </rPr>
      <t xml:space="preserve">位。</t>
    </r>
    <r>
      <rPr>
        <sz val="10"/>
        <rFont val="Meiryo UI"/>
        <family val="0"/>
        <charset val="1"/>
      </rPr>
      <t xml:space="preserve">iminai</t>
    </r>
    <r>
      <rPr>
        <sz val="10"/>
        <rFont val="WenQuanYi Zen Hei"/>
        <family val="2"/>
      </rPr>
      <t xml:space="preserve">と</t>
    </r>
    <r>
      <rPr>
        <sz val="10"/>
        <rFont val="Meiryo UI"/>
        <family val="0"/>
        <charset val="1"/>
      </rPr>
      <t xml:space="preserve">ikashikata</t>
    </r>
    <r>
      <rPr>
        <sz val="10"/>
        <rFont val="WenQuanYi Zen Hei"/>
        <family val="2"/>
      </rPr>
      <t xml:space="preserve">で意図が重複。</t>
    </r>
  </si>
  <si>
    <r>
      <rPr>
        <sz val="10"/>
        <rFont val="Meiryo UI"/>
        <family val="0"/>
        <charset val="1"/>
      </rPr>
      <t xml:space="preserve">it-passport-kihonjoho-ikashikata</t>
    </r>
    <r>
      <rPr>
        <sz val="10"/>
        <rFont val="WenQuanYi Zen Hei"/>
        <family val="2"/>
      </rPr>
      <t xml:space="preserve">を</t>
    </r>
    <r>
      <rPr>
        <sz val="10"/>
        <rFont val="Meiryo UI"/>
        <family val="0"/>
        <charset val="1"/>
      </rPr>
      <t xml:space="preserve">it-passport-iminai</t>
    </r>
    <r>
      <rPr>
        <sz val="10"/>
        <rFont val="WenQuanYi Zen Hei"/>
        <family val="2"/>
      </rPr>
      <t xml:space="preserve">へ統合（</t>
    </r>
    <r>
      <rPr>
        <sz val="10"/>
        <rFont val="Meiryo UI"/>
        <family val="0"/>
        <charset val="1"/>
      </rPr>
      <t xml:space="preserve">301</t>
    </r>
    <r>
      <rPr>
        <sz val="10"/>
        <rFont val="WenQuanYi Zen Hei"/>
        <family val="2"/>
      </rPr>
      <t xml:space="preserve">）。</t>
    </r>
    <r>
      <rPr>
        <sz val="10"/>
        <rFont val="Meiryo UI"/>
        <family val="0"/>
        <charset val="1"/>
      </rPr>
      <t xml:space="preserve">ukaranai</t>
    </r>
    <r>
      <rPr>
        <sz val="10"/>
        <rFont val="WenQuanYi Zen Hei"/>
        <family val="2"/>
      </rPr>
      <t xml:space="preserve">（勉強法）と</t>
    </r>
    <r>
      <rPr>
        <sz val="10"/>
        <rFont val="Meiryo UI"/>
        <family val="0"/>
        <charset val="1"/>
      </rPr>
      <t xml:space="preserve">2027-henkou</t>
    </r>
    <r>
      <rPr>
        <sz val="10"/>
        <rFont val="WenQuanYi Zen Hei"/>
        <family val="2"/>
      </rPr>
      <t xml:space="preserve">（制度変更）は維持。</t>
    </r>
  </si>
  <si>
    <r>
      <rPr>
        <sz val="10"/>
        <rFont val="Meiryo UI"/>
        <family val="0"/>
        <charset val="1"/>
      </rPr>
      <t xml:space="preserve">it</t>
    </r>
    <r>
      <rPr>
        <sz val="10"/>
        <rFont val="WenQuanYi Zen Hei"/>
        <family val="2"/>
      </rPr>
      <t xml:space="preserve">パスポート 履歴書 </t>
    </r>
    <r>
      <rPr>
        <sz val="10"/>
        <rFont val="Meiryo UI"/>
        <family val="0"/>
        <charset val="1"/>
      </rPr>
      <t xml:space="preserve">/ it</t>
    </r>
    <r>
      <rPr>
        <sz val="10"/>
        <rFont val="WenQuanYi Zen Hei"/>
        <family val="2"/>
      </rPr>
      <t xml:space="preserve">パスポート 意味ない</t>
    </r>
  </si>
  <si>
    <r>
      <rPr>
        <sz val="10"/>
        <rFont val="Meiryo UI"/>
        <family val="0"/>
        <charset val="1"/>
      </rPr>
      <t xml:space="preserve">/linuc-lpic-level2-aws-saa-difficulty/</t>
    </r>
    <r>
      <rPr>
        <sz val="10"/>
        <rFont val="WenQuanYi Zen Hei"/>
        <family val="2"/>
      </rPr>
      <t xml:space="preserve">（</t>
    </r>
    <r>
      <rPr>
        <sz val="10"/>
        <rFont val="Meiryo UI"/>
        <family val="0"/>
        <charset val="1"/>
      </rPr>
      <t xml:space="preserve">1,194</t>
    </r>
    <r>
      <rPr>
        <sz val="10"/>
        <rFont val="WenQuanYi Zen Hei"/>
        <family val="2"/>
      </rPr>
      <t xml:space="preserve">表示・</t>
    </r>
    <r>
      <rPr>
        <sz val="10"/>
        <rFont val="Meiryo UI"/>
        <family val="0"/>
        <charset val="1"/>
      </rPr>
      <t xml:space="preserve">9.1</t>
    </r>
    <r>
      <rPr>
        <sz val="10"/>
        <rFont val="WenQuanYi Zen Hei"/>
        <family val="2"/>
      </rPr>
      <t xml:space="preserve">位）
</t>
    </r>
    <r>
      <rPr>
        <sz val="10"/>
        <rFont val="Meiryo UI"/>
        <family val="0"/>
        <charset val="1"/>
      </rPr>
      <t xml:space="preserve">/linuc-lpic-difference/</t>
    </r>
    <r>
      <rPr>
        <sz val="10"/>
        <rFont val="WenQuanYi Zen Hei"/>
        <family val="2"/>
      </rPr>
      <t xml:space="preserve">（</t>
    </r>
    <r>
      <rPr>
        <sz val="10"/>
        <rFont val="Meiryo UI"/>
        <family val="0"/>
        <charset val="1"/>
      </rPr>
      <t xml:space="preserve">696</t>
    </r>
    <r>
      <rPr>
        <sz val="10"/>
        <rFont val="WenQuanYi Zen Hei"/>
        <family val="2"/>
      </rPr>
      <t xml:space="preserve">表示・</t>
    </r>
    <r>
      <rPr>
        <sz val="10"/>
        <rFont val="Meiryo UI"/>
        <family val="0"/>
        <charset val="1"/>
      </rPr>
      <t xml:space="preserve">20.1</t>
    </r>
    <r>
      <rPr>
        <sz val="10"/>
        <rFont val="WenQuanYi Zen Hei"/>
        <family val="2"/>
      </rPr>
      <t xml:space="preserve">位）</t>
    </r>
  </si>
  <si>
    <r>
      <rPr>
        <sz val="10"/>
        <rFont val="WenQuanYi Zen Hei"/>
        <family val="2"/>
      </rPr>
      <t xml:space="preserve">「</t>
    </r>
    <r>
      <rPr>
        <sz val="10"/>
        <rFont val="Meiryo UI"/>
        <family val="0"/>
        <charset val="1"/>
      </rPr>
      <t xml:space="preserve">linuc level2 </t>
    </r>
    <r>
      <rPr>
        <sz val="10"/>
        <rFont val="WenQuanYi Zen Hei"/>
        <family val="2"/>
      </rPr>
      <t xml:space="preserve">難易度」が</t>
    </r>
    <r>
      <rPr>
        <sz val="10"/>
        <rFont val="Meiryo UI"/>
        <family val="0"/>
        <charset val="1"/>
      </rPr>
      <t xml:space="preserve">2</t>
    </r>
    <r>
      <rPr>
        <sz val="10"/>
        <rFont val="WenQuanYi Zen Hei"/>
        <family val="2"/>
      </rPr>
      <t xml:space="preserve">記事に該当し、</t>
    </r>
    <r>
      <rPr>
        <sz val="10"/>
        <rFont val="Meiryo UI"/>
        <family val="0"/>
        <charset val="1"/>
      </rPr>
      <t xml:space="preserve">difference</t>
    </r>
    <r>
      <rPr>
        <sz val="10"/>
        <rFont val="WenQuanYi Zen Hei"/>
        <family val="2"/>
      </rPr>
      <t xml:space="preserve">記事は</t>
    </r>
    <r>
      <rPr>
        <sz val="10"/>
        <rFont val="Meiryo UI"/>
        <family val="0"/>
        <charset val="1"/>
      </rPr>
      <t xml:space="preserve">20.1</t>
    </r>
    <r>
      <rPr>
        <sz val="10"/>
        <rFont val="WenQuanYi Zen Hei"/>
        <family val="2"/>
      </rPr>
      <t xml:space="preserve">位、「</t>
    </r>
    <r>
      <rPr>
        <sz val="10"/>
        <rFont val="Meiryo UI"/>
        <family val="0"/>
        <charset val="1"/>
      </rPr>
      <t xml:space="preserve">linuc lpic</t>
    </r>
    <r>
      <rPr>
        <sz val="10"/>
        <rFont val="WenQuanYi Zen Hei"/>
        <family val="2"/>
      </rPr>
      <t xml:space="preserve">違い」は</t>
    </r>
    <r>
      <rPr>
        <sz val="10"/>
        <rFont val="Meiryo UI"/>
        <family val="0"/>
        <charset val="1"/>
      </rPr>
      <t xml:space="preserve">37.0</t>
    </r>
    <r>
      <rPr>
        <sz val="10"/>
        <rFont val="WenQuanYi Zen Hei"/>
        <family val="2"/>
      </rPr>
      <t xml:space="preserve">位。</t>
    </r>
  </si>
  <si>
    <r>
      <rPr>
        <sz val="10"/>
        <rFont val="WenQuanYi Zen Hei"/>
        <family val="2"/>
      </rPr>
      <t xml:space="preserve">違い記事は「</t>
    </r>
    <r>
      <rPr>
        <sz val="10"/>
        <rFont val="Meiryo UI"/>
        <family val="0"/>
        <charset val="1"/>
      </rPr>
      <t xml:space="preserve">LinuC</t>
    </r>
    <r>
      <rPr>
        <sz val="10"/>
        <rFont val="WenQuanYi Zen Hei"/>
        <family val="2"/>
      </rPr>
      <t xml:space="preserve">と</t>
    </r>
    <r>
      <rPr>
        <sz val="10"/>
        <rFont val="Meiryo UI"/>
        <family val="0"/>
        <charset val="1"/>
      </rPr>
      <t xml:space="preserve">LPIC</t>
    </r>
    <r>
      <rPr>
        <sz val="10"/>
        <rFont val="WenQuanYi Zen Hei"/>
        <family val="2"/>
      </rPr>
      <t xml:space="preserve">の違い・どっちを取るべきか」に集中。レベル</t>
    </r>
    <r>
      <rPr>
        <sz val="10"/>
        <rFont val="Meiryo UI"/>
        <family val="0"/>
        <charset val="1"/>
      </rPr>
      <t xml:space="preserve">2</t>
    </r>
    <r>
      <rPr>
        <sz val="10"/>
        <rFont val="WenQuanYi Zen Hei"/>
        <family val="2"/>
      </rPr>
      <t xml:space="preserve">の難易度は</t>
    </r>
    <r>
      <rPr>
        <sz val="10"/>
        <rFont val="Meiryo UI"/>
        <family val="0"/>
        <charset val="1"/>
      </rPr>
      <t xml:space="preserve">level2</t>
    </r>
    <r>
      <rPr>
        <sz val="10"/>
        <rFont val="WenQuanYi Zen Hei"/>
        <family val="2"/>
      </rPr>
      <t xml:space="preserve">記事に任せる。</t>
    </r>
  </si>
  <si>
    <r>
      <rPr>
        <sz val="10"/>
        <rFont val="Meiryo UI"/>
        <family val="0"/>
        <charset val="1"/>
      </rPr>
      <t xml:space="preserve">linuc lpic </t>
    </r>
    <r>
      <rPr>
        <sz val="10"/>
        <rFont val="WenQuanYi Zen Hei"/>
        <family val="2"/>
      </rPr>
      <t xml:space="preserve">違い </t>
    </r>
    <r>
      <rPr>
        <sz val="10"/>
        <rFont val="Meiryo UI"/>
        <family val="0"/>
        <charset val="1"/>
      </rPr>
      <t xml:space="preserve">/ linuc level2 </t>
    </r>
    <r>
      <rPr>
        <sz val="10"/>
        <rFont val="WenQuanYi Zen Hei"/>
        <family val="2"/>
      </rPr>
      <t xml:space="preserve">難易度</t>
    </r>
  </si>
  <si>
    <r>
      <rPr>
        <sz val="10"/>
        <rFont val="Meiryo UI"/>
        <family val="0"/>
        <charset val="1"/>
      </rPr>
      <t xml:space="preserve">/it-tensyoku-agent-osusume/</t>
    </r>
    <r>
      <rPr>
        <sz val="10"/>
        <rFont val="WenQuanYi Zen Hei"/>
        <family val="2"/>
      </rPr>
      <t xml:space="preserve">（</t>
    </r>
    <r>
      <rPr>
        <sz val="10"/>
        <rFont val="Meiryo UI"/>
        <family val="0"/>
        <charset val="1"/>
      </rPr>
      <t xml:space="preserve">72</t>
    </r>
    <r>
      <rPr>
        <sz val="10"/>
        <rFont val="WenQuanYi Zen Hei"/>
        <family val="2"/>
      </rPr>
      <t xml:space="preserve">表示・</t>
    </r>
    <r>
      <rPr>
        <sz val="10"/>
        <rFont val="Meiryo UI"/>
        <family val="0"/>
        <charset val="1"/>
      </rPr>
      <t xml:space="preserve">11.9</t>
    </r>
    <r>
      <rPr>
        <sz val="10"/>
        <rFont val="WenQuanYi Zen Hei"/>
        <family val="2"/>
      </rPr>
      <t xml:space="preserve">位）
</t>
    </r>
    <r>
      <rPr>
        <sz val="10"/>
        <rFont val="Meiryo UI"/>
        <family val="0"/>
        <charset val="1"/>
      </rPr>
      <t xml:space="preserve">/agent-review/</t>
    </r>
    <r>
      <rPr>
        <sz val="10"/>
        <rFont val="WenQuanYi Zen Hei"/>
        <family val="2"/>
      </rPr>
      <t xml:space="preserve">（</t>
    </r>
    <r>
      <rPr>
        <sz val="10"/>
        <rFont val="Meiryo UI"/>
        <family val="0"/>
        <charset val="1"/>
      </rPr>
      <t xml:space="preserve">1</t>
    </r>
    <r>
      <rPr>
        <sz val="10"/>
        <rFont val="WenQuanYi Zen Hei"/>
        <family val="2"/>
      </rPr>
      <t xml:space="preserve">表示・</t>
    </r>
    <r>
      <rPr>
        <sz val="10"/>
        <rFont val="Meiryo UI"/>
        <family val="0"/>
        <charset val="1"/>
      </rPr>
      <t xml:space="preserve">1.0</t>
    </r>
    <r>
      <rPr>
        <sz val="10"/>
        <rFont val="WenQuanYi Zen Hei"/>
        <family val="2"/>
      </rPr>
      <t xml:space="preserve">位）</t>
    </r>
  </si>
  <si>
    <r>
      <rPr>
        <sz val="10"/>
        <rFont val="Meiryo UI"/>
        <family val="0"/>
        <charset val="1"/>
      </rPr>
      <t xml:space="preserve">agent-review</t>
    </r>
    <r>
      <rPr>
        <sz val="10"/>
        <rFont val="WenQuanYi Zen Hei"/>
        <family val="2"/>
      </rPr>
      <t xml:space="preserve">（表示</t>
    </r>
    <r>
      <rPr>
        <sz val="10"/>
        <rFont val="Meiryo UI"/>
        <family val="0"/>
        <charset val="1"/>
      </rPr>
      <t xml:space="preserve">1</t>
    </r>
    <r>
      <rPr>
        <sz val="10"/>
        <rFont val="WenQuanYi Zen Hei"/>
        <family val="2"/>
      </rPr>
      <t xml:space="preserve">回）と</t>
    </r>
    <r>
      <rPr>
        <sz val="10"/>
        <rFont val="Meiryo UI"/>
        <family val="0"/>
        <charset val="1"/>
      </rPr>
      <t xml:space="preserve">it-tensyoku-agent-osusume</t>
    </r>
    <r>
      <rPr>
        <sz val="10"/>
        <rFont val="WenQuanYi Zen Hei"/>
        <family val="2"/>
      </rPr>
      <t xml:space="preserve">（</t>
    </r>
    <r>
      <rPr>
        <sz val="10"/>
        <rFont val="Meiryo UI"/>
        <family val="0"/>
        <charset val="1"/>
      </rPr>
      <t xml:space="preserve">72</t>
    </r>
    <r>
      <rPr>
        <sz val="10"/>
        <rFont val="WenQuanYi Zen Hei"/>
        <family val="2"/>
      </rPr>
      <t xml:space="preserve">表示・クリック</t>
    </r>
    <r>
      <rPr>
        <sz val="10"/>
        <rFont val="Meiryo UI"/>
        <family val="0"/>
        <charset val="1"/>
      </rPr>
      <t xml:space="preserve">0</t>
    </r>
    <r>
      <rPr>
        <sz val="10"/>
        <rFont val="WenQuanYi Zen Hei"/>
        <family val="2"/>
      </rPr>
      <t xml:space="preserve">）。</t>
    </r>
  </si>
  <si>
    <r>
      <rPr>
        <sz val="10"/>
        <rFont val="Meiryo UI"/>
        <family val="0"/>
        <charset val="1"/>
      </rPr>
      <t xml:space="preserve">agent-review</t>
    </r>
    <r>
      <rPr>
        <sz val="10"/>
        <rFont val="WenQuanYi Zen Hei"/>
        <family val="2"/>
      </rPr>
      <t xml:space="preserve">を</t>
    </r>
    <r>
      <rPr>
        <sz val="10"/>
        <rFont val="Meiryo UI"/>
        <family val="0"/>
        <charset val="1"/>
      </rPr>
      <t xml:space="preserve">it-tensyoku-agent-osusume</t>
    </r>
    <r>
      <rPr>
        <sz val="10"/>
        <rFont val="WenQuanYi Zen Hei"/>
        <family val="2"/>
      </rPr>
      <t xml:space="preserve">へ統合し、おすすめ記事をサイト内の収益ハブに。</t>
    </r>
  </si>
  <si>
    <r>
      <rPr>
        <sz val="10"/>
        <rFont val="Meiryo UI"/>
        <family val="0"/>
        <charset val="1"/>
      </rPr>
      <t xml:space="preserve">it</t>
    </r>
    <r>
      <rPr>
        <sz val="10"/>
        <rFont val="WenQuanYi Zen Hei"/>
        <family val="2"/>
      </rPr>
      <t xml:space="preserve">転職エージェント おすすめ</t>
    </r>
  </si>
  <si>
    <r>
      <rPr>
        <sz val="10"/>
        <rFont val="Meiryo UI"/>
        <family val="0"/>
        <charset val="1"/>
      </rPr>
      <t xml:space="preserve">/2ji-mensetsu-taisaku-tensyoku-mikeiken/</t>
    </r>
    <r>
      <rPr>
        <sz val="10"/>
        <rFont val="WenQuanYi Zen Hei"/>
        <family val="2"/>
      </rPr>
      <t xml:space="preserve">（</t>
    </r>
    <r>
      <rPr>
        <sz val="10"/>
        <rFont val="Meiryo UI"/>
        <family val="0"/>
        <charset val="1"/>
      </rPr>
      <t xml:space="preserve">237</t>
    </r>
    <r>
      <rPr>
        <sz val="10"/>
        <rFont val="WenQuanYi Zen Hei"/>
        <family val="2"/>
      </rPr>
      <t xml:space="preserve">表示・</t>
    </r>
    <r>
      <rPr>
        <sz val="10"/>
        <rFont val="Meiryo UI"/>
        <family val="0"/>
        <charset val="1"/>
      </rPr>
      <t xml:space="preserve">35.0</t>
    </r>
    <r>
      <rPr>
        <sz val="10"/>
        <rFont val="WenQuanYi Zen Hei"/>
        <family val="2"/>
      </rPr>
      <t xml:space="preserve">位）
</t>
    </r>
    <r>
      <rPr>
        <sz val="10"/>
        <rFont val="Meiryo UI"/>
        <family val="0"/>
        <charset val="1"/>
      </rPr>
      <t xml:space="preserve">/it-tensyoku-mikeiken-1ji-mensetsu/</t>
    </r>
    <r>
      <rPr>
        <sz val="10"/>
        <rFont val="WenQuanYi Zen Hei"/>
        <family val="2"/>
      </rPr>
      <t xml:space="preserve">（</t>
    </r>
    <r>
      <rPr>
        <sz val="10"/>
        <rFont val="Meiryo UI"/>
        <family val="0"/>
        <charset val="1"/>
      </rPr>
      <t xml:space="preserve">119</t>
    </r>
    <r>
      <rPr>
        <sz val="10"/>
        <rFont val="WenQuanYi Zen Hei"/>
        <family val="2"/>
      </rPr>
      <t xml:space="preserve">表示・</t>
    </r>
    <r>
      <rPr>
        <sz val="10"/>
        <rFont val="Meiryo UI"/>
        <family val="0"/>
        <charset val="1"/>
      </rPr>
      <t xml:space="preserve">10.3</t>
    </r>
    <r>
      <rPr>
        <sz val="10"/>
        <rFont val="WenQuanYi Zen Hei"/>
        <family val="2"/>
      </rPr>
      <t xml:space="preserve">位）
</t>
    </r>
    <r>
      <rPr>
        <sz val="10"/>
        <rFont val="Meiryo UI"/>
        <family val="0"/>
        <charset val="1"/>
      </rPr>
      <t xml:space="preserve">/it-tensyoku-saishu-mensetsu-taisaku/</t>
    </r>
    <r>
      <rPr>
        <sz val="10"/>
        <rFont val="WenQuanYi Zen Hei"/>
        <family val="2"/>
      </rPr>
      <t xml:space="preserve">（</t>
    </r>
    <r>
      <rPr>
        <sz val="10"/>
        <rFont val="Meiryo UI"/>
        <family val="0"/>
        <charset val="1"/>
      </rPr>
      <t xml:space="preserve">79</t>
    </r>
    <r>
      <rPr>
        <sz val="10"/>
        <rFont val="WenQuanYi Zen Hei"/>
        <family val="2"/>
      </rPr>
      <t xml:space="preserve">表示・</t>
    </r>
    <r>
      <rPr>
        <sz val="10"/>
        <rFont val="Meiryo UI"/>
        <family val="0"/>
        <charset val="1"/>
      </rPr>
      <t xml:space="preserve">20.7</t>
    </r>
    <r>
      <rPr>
        <sz val="10"/>
        <rFont val="WenQuanYi Zen Hei"/>
        <family val="2"/>
      </rPr>
      <t xml:space="preserve">位）
</t>
    </r>
    <r>
      <rPr>
        <sz val="10"/>
        <rFont val="Meiryo UI"/>
        <family val="0"/>
        <charset val="1"/>
      </rPr>
      <t xml:space="preserve">/online-interview-tips-from-it-hr/</t>
    </r>
    <r>
      <rPr>
        <sz val="10"/>
        <rFont val="WenQuanYi Zen Hei"/>
        <family val="2"/>
      </rPr>
      <t xml:space="preserve">（</t>
    </r>
    <r>
      <rPr>
        <sz val="10"/>
        <rFont val="Meiryo UI"/>
        <family val="0"/>
        <charset val="1"/>
      </rPr>
      <t xml:space="preserve">33</t>
    </r>
    <r>
      <rPr>
        <sz val="10"/>
        <rFont val="WenQuanYi Zen Hei"/>
        <family val="2"/>
      </rPr>
      <t xml:space="preserve">表示・</t>
    </r>
    <r>
      <rPr>
        <sz val="10"/>
        <rFont val="Meiryo UI"/>
        <family val="0"/>
        <charset val="1"/>
      </rPr>
      <t xml:space="preserve">10.6</t>
    </r>
    <r>
      <rPr>
        <sz val="10"/>
        <rFont val="WenQuanYi Zen Hei"/>
        <family val="2"/>
      </rPr>
      <t xml:space="preserve">位）
</t>
    </r>
    <r>
      <rPr>
        <sz val="10"/>
        <rFont val="Meiryo UI"/>
        <family val="0"/>
        <charset val="1"/>
      </rPr>
      <t xml:space="preserve">/tensyoku-mensetsu-gyakushitsumon/</t>
    </r>
    <r>
      <rPr>
        <sz val="10"/>
        <rFont val="WenQuanYi Zen Hei"/>
        <family val="2"/>
      </rPr>
      <t xml:space="preserve">（</t>
    </r>
    <r>
      <rPr>
        <sz val="10"/>
        <rFont val="Meiryo UI"/>
        <family val="0"/>
        <charset val="1"/>
      </rPr>
      <t xml:space="preserve">24</t>
    </r>
    <r>
      <rPr>
        <sz val="10"/>
        <rFont val="WenQuanYi Zen Hei"/>
        <family val="2"/>
      </rPr>
      <t xml:space="preserve">表示・</t>
    </r>
    <r>
      <rPr>
        <sz val="10"/>
        <rFont val="Meiryo UI"/>
        <family val="0"/>
        <charset val="1"/>
      </rPr>
      <t xml:space="preserve">10.6</t>
    </r>
    <r>
      <rPr>
        <sz val="10"/>
        <rFont val="WenQuanYi Zen Hei"/>
        <family val="2"/>
      </rPr>
      <t xml:space="preserve">位）
</t>
    </r>
    <r>
      <rPr>
        <sz val="10"/>
        <rFont val="Meiryo UI"/>
        <family val="0"/>
        <charset val="1"/>
      </rPr>
      <t xml:space="preserve">/it-interview-points/</t>
    </r>
    <r>
      <rPr>
        <sz val="10"/>
        <rFont val="WenQuanYi Zen Hei"/>
        <family val="2"/>
      </rPr>
      <t xml:space="preserve">（</t>
    </r>
    <r>
      <rPr>
        <sz val="10"/>
        <rFont val="Meiryo UI"/>
        <family val="0"/>
        <charset val="1"/>
      </rPr>
      <t xml:space="preserve">7</t>
    </r>
    <r>
      <rPr>
        <sz val="10"/>
        <rFont val="WenQuanYi Zen Hei"/>
        <family val="2"/>
      </rPr>
      <t xml:space="preserve">表示・</t>
    </r>
    <r>
      <rPr>
        <sz val="10"/>
        <rFont val="Meiryo UI"/>
        <family val="0"/>
        <charset val="1"/>
      </rPr>
      <t xml:space="preserve">6.3</t>
    </r>
    <r>
      <rPr>
        <sz val="10"/>
        <rFont val="WenQuanYi Zen Hei"/>
        <family val="2"/>
      </rPr>
      <t xml:space="preserve">位）</t>
    </r>
  </si>
  <si>
    <r>
      <rPr>
        <sz val="10"/>
        <rFont val="WenQuanYi Zen Hei"/>
        <family val="2"/>
      </rPr>
      <t xml:space="preserve">面接系</t>
    </r>
    <r>
      <rPr>
        <sz val="10"/>
        <rFont val="Meiryo UI"/>
        <family val="0"/>
        <charset val="1"/>
      </rPr>
      <t xml:space="preserve">6</t>
    </r>
    <r>
      <rPr>
        <sz val="10"/>
        <rFont val="WenQuanYi Zen Hei"/>
        <family val="2"/>
      </rPr>
      <t xml:space="preserve">記事はいずれも表示</t>
    </r>
    <r>
      <rPr>
        <sz val="10"/>
        <rFont val="Meiryo UI"/>
        <family val="0"/>
        <charset val="1"/>
      </rPr>
      <t xml:space="preserve">100</t>
    </r>
    <r>
      <rPr>
        <sz val="10"/>
        <rFont val="WenQuanYi Zen Hei"/>
        <family val="2"/>
      </rPr>
      <t xml:space="preserve">回未満〜</t>
    </r>
    <r>
      <rPr>
        <sz val="10"/>
        <rFont val="Meiryo UI"/>
        <family val="0"/>
        <charset val="1"/>
      </rPr>
      <t xml:space="preserve">237</t>
    </r>
    <r>
      <rPr>
        <sz val="10"/>
        <rFont val="WenQuanYi Zen Hei"/>
        <family val="2"/>
      </rPr>
      <t xml:space="preserve">回で、個別に評価されていない。</t>
    </r>
  </si>
  <si>
    <r>
      <rPr>
        <sz val="10"/>
        <rFont val="WenQuanYi Zen Hei"/>
        <family val="2"/>
      </rPr>
      <t xml:space="preserve">「</t>
    </r>
    <r>
      <rPr>
        <sz val="10"/>
        <rFont val="Meiryo UI"/>
        <family val="0"/>
        <charset val="1"/>
      </rPr>
      <t xml:space="preserve">IT</t>
    </r>
    <r>
      <rPr>
        <sz val="10"/>
        <rFont val="WenQuanYi Zen Hei"/>
        <family val="2"/>
      </rPr>
      <t xml:space="preserve">転職の面接対策」ハブ記事を作り（または</t>
    </r>
    <r>
      <rPr>
        <sz val="10"/>
        <rFont val="Meiryo UI"/>
        <family val="0"/>
        <charset val="1"/>
      </rPr>
      <t xml:space="preserve">2ji-mensetsu</t>
    </r>
    <r>
      <rPr>
        <sz val="10"/>
        <rFont val="WenQuanYi Zen Hei"/>
        <family val="2"/>
      </rPr>
      <t xml:space="preserve">を親に）、一次・二次・最終・逆質問・オンラインを章立てで統合または相互リンク。</t>
    </r>
  </si>
  <si>
    <r>
      <rPr>
        <sz val="10"/>
        <rFont val="WenQuanYi Zen Hei"/>
        <family val="2"/>
      </rPr>
      <t xml:space="preserve">転職 二次面接 落ちる </t>
    </r>
    <r>
      <rPr>
        <sz val="10"/>
        <rFont val="Meiryo UI"/>
        <family val="0"/>
        <charset val="1"/>
      </rPr>
      <t xml:space="preserve">/ </t>
    </r>
    <r>
      <rPr>
        <sz val="10"/>
        <rFont val="WenQuanYi Zen Hei"/>
        <family val="2"/>
      </rPr>
      <t xml:space="preserve">最終面接 対策</t>
    </r>
  </si>
  <si>
    <r>
      <rPr>
        <sz val="10"/>
        <rFont val="Meiryo UI"/>
        <family val="0"/>
        <charset val="1"/>
      </rPr>
      <t xml:space="preserve">/tensyoku-riyu-mensetsu-tsutaekata/</t>
    </r>
    <r>
      <rPr>
        <sz val="10"/>
        <rFont val="WenQuanYi Zen Hei"/>
        <family val="2"/>
      </rPr>
      <t xml:space="preserve">（</t>
    </r>
    <r>
      <rPr>
        <sz val="10"/>
        <rFont val="Meiryo UI"/>
        <family val="0"/>
        <charset val="1"/>
      </rPr>
      <t xml:space="preserve">213</t>
    </r>
    <r>
      <rPr>
        <sz val="10"/>
        <rFont val="WenQuanYi Zen Hei"/>
        <family val="2"/>
      </rPr>
      <t xml:space="preserve">表示・</t>
    </r>
    <r>
      <rPr>
        <sz val="10"/>
        <rFont val="Meiryo UI"/>
        <family val="0"/>
        <charset val="1"/>
      </rPr>
      <t xml:space="preserve">22.2</t>
    </r>
    <r>
      <rPr>
        <sz val="10"/>
        <rFont val="WenQuanYi Zen Hei"/>
        <family val="2"/>
      </rPr>
      <t xml:space="preserve">位）
</t>
    </r>
    <r>
      <rPr>
        <sz val="10"/>
        <rFont val="Meiryo UI"/>
        <family val="0"/>
        <charset val="1"/>
      </rPr>
      <t xml:space="preserve">/tensyoku-riyu-negative/</t>
    </r>
    <r>
      <rPr>
        <sz val="10"/>
        <rFont val="WenQuanYi Zen Hei"/>
        <family val="2"/>
      </rPr>
      <t xml:space="preserve">（</t>
    </r>
    <r>
      <rPr>
        <sz val="10"/>
        <rFont val="Meiryo UI"/>
        <family val="0"/>
        <charset val="1"/>
      </rPr>
      <t xml:space="preserve">29</t>
    </r>
    <r>
      <rPr>
        <sz val="10"/>
        <rFont val="WenQuanYi Zen Hei"/>
        <family val="2"/>
      </rPr>
      <t xml:space="preserve">表示・</t>
    </r>
    <r>
      <rPr>
        <sz val="10"/>
        <rFont val="Meiryo UI"/>
        <family val="0"/>
        <charset val="1"/>
      </rPr>
      <t xml:space="preserve">9.0</t>
    </r>
    <r>
      <rPr>
        <sz val="10"/>
        <rFont val="WenQuanYi Zen Hei"/>
        <family val="2"/>
      </rPr>
      <t xml:space="preserve">位）</t>
    </r>
  </si>
  <si>
    <r>
      <rPr>
        <sz val="10"/>
        <rFont val="Meiryo UI"/>
        <family val="0"/>
        <charset val="1"/>
      </rPr>
      <t xml:space="preserve">tensyoku-riyu-mensetsu-tsutaekata</t>
    </r>
    <r>
      <rPr>
        <sz val="10"/>
        <rFont val="WenQuanYi Zen Hei"/>
        <family val="2"/>
      </rPr>
      <t xml:space="preserve">と</t>
    </r>
    <r>
      <rPr>
        <sz val="10"/>
        <rFont val="Meiryo UI"/>
        <family val="0"/>
        <charset val="1"/>
      </rPr>
      <t xml:space="preserve">tensyoku-riyu-negative</t>
    </r>
    <r>
      <rPr>
        <sz val="10"/>
        <rFont val="WenQuanYi Zen Hei"/>
        <family val="2"/>
      </rPr>
      <t xml:space="preserve">は同じ意図。</t>
    </r>
  </si>
  <si>
    <r>
      <rPr>
        <sz val="10"/>
        <rFont val="Meiryo UI"/>
        <family val="0"/>
        <charset val="1"/>
      </rPr>
      <t xml:space="preserve">negative</t>
    </r>
    <r>
      <rPr>
        <sz val="10"/>
        <rFont val="WenQuanYi Zen Hei"/>
        <family val="2"/>
      </rPr>
      <t xml:space="preserve">を</t>
    </r>
    <r>
      <rPr>
        <sz val="10"/>
        <rFont val="Meiryo UI"/>
        <family val="0"/>
        <charset val="1"/>
      </rPr>
      <t xml:space="preserve">tsutaekata</t>
    </r>
    <r>
      <rPr>
        <sz val="10"/>
        <rFont val="WenQuanYi Zen Hei"/>
        <family val="2"/>
      </rPr>
      <t xml:space="preserve">へ統合（</t>
    </r>
    <r>
      <rPr>
        <sz val="10"/>
        <rFont val="Meiryo UI"/>
        <family val="0"/>
        <charset val="1"/>
      </rPr>
      <t xml:space="preserve">301</t>
    </r>
    <r>
      <rPr>
        <sz val="10"/>
        <rFont val="WenQuanYi Zen Hei"/>
        <family val="2"/>
      </rPr>
      <t xml:space="preserve">）。</t>
    </r>
  </si>
  <si>
    <t xml:space="preserve">転職理由 本音 面接</t>
  </si>
  <si>
    <r>
      <rPr>
        <sz val="10"/>
        <rFont val="Meiryo UI"/>
        <family val="0"/>
        <charset val="1"/>
      </rPr>
      <t xml:space="preserve">/kyujinhyo-black-kigyo-checklist/</t>
    </r>
    <r>
      <rPr>
        <sz val="10"/>
        <rFont val="WenQuanYi Zen Hei"/>
        <family val="2"/>
      </rPr>
      <t xml:space="preserve">（</t>
    </r>
    <r>
      <rPr>
        <sz val="10"/>
        <rFont val="Meiryo UI"/>
        <family val="0"/>
        <charset val="1"/>
      </rPr>
      <t xml:space="preserve">575</t>
    </r>
    <r>
      <rPr>
        <sz val="10"/>
        <rFont val="WenQuanYi Zen Hei"/>
        <family val="2"/>
      </rPr>
      <t xml:space="preserve">表示・</t>
    </r>
    <r>
      <rPr>
        <sz val="10"/>
        <rFont val="Meiryo UI"/>
        <family val="0"/>
        <charset val="1"/>
      </rPr>
      <t xml:space="preserve">13.0</t>
    </r>
    <r>
      <rPr>
        <sz val="10"/>
        <rFont val="WenQuanYi Zen Hei"/>
        <family val="2"/>
      </rPr>
      <t xml:space="preserve">位）
</t>
    </r>
    <r>
      <rPr>
        <sz val="10"/>
        <rFont val="Meiryo UI"/>
        <family val="0"/>
        <charset val="1"/>
      </rPr>
      <t xml:space="preserve">/kyujinho-mikata-point/</t>
    </r>
    <r>
      <rPr>
        <sz val="10"/>
        <rFont val="WenQuanYi Zen Hei"/>
        <family val="2"/>
      </rPr>
      <t xml:space="preserve">（</t>
    </r>
    <r>
      <rPr>
        <sz val="10"/>
        <rFont val="Meiryo UI"/>
        <family val="0"/>
        <charset val="1"/>
      </rPr>
      <t xml:space="preserve">328</t>
    </r>
    <r>
      <rPr>
        <sz val="10"/>
        <rFont val="WenQuanYi Zen Hei"/>
        <family val="2"/>
      </rPr>
      <t xml:space="preserve">表示・</t>
    </r>
    <r>
      <rPr>
        <sz val="10"/>
        <rFont val="Meiryo UI"/>
        <family val="0"/>
        <charset val="1"/>
      </rPr>
      <t xml:space="preserve">27.3</t>
    </r>
    <r>
      <rPr>
        <sz val="10"/>
        <rFont val="WenQuanYi Zen Hei"/>
        <family val="2"/>
      </rPr>
      <t xml:space="preserve">位）</t>
    </r>
  </si>
  <si>
    <r>
      <rPr>
        <sz val="10"/>
        <rFont val="Meiryo UI"/>
        <family val="0"/>
        <charset val="1"/>
      </rPr>
      <t xml:space="preserve">checklist</t>
    </r>
    <r>
      <rPr>
        <sz val="10"/>
        <rFont val="WenQuanYi Zen Hei"/>
        <family val="2"/>
      </rPr>
      <t xml:space="preserve">（</t>
    </r>
    <r>
      <rPr>
        <sz val="10"/>
        <rFont val="Meiryo UI"/>
        <family val="0"/>
        <charset val="1"/>
      </rPr>
      <t xml:space="preserve">13.0</t>
    </r>
    <r>
      <rPr>
        <sz val="10"/>
        <rFont val="WenQuanYi Zen Hei"/>
        <family val="2"/>
      </rPr>
      <t xml:space="preserve">位）と</t>
    </r>
    <r>
      <rPr>
        <sz val="10"/>
        <rFont val="Meiryo UI"/>
        <family val="0"/>
        <charset val="1"/>
      </rPr>
      <t xml:space="preserve">mikata-point</t>
    </r>
    <r>
      <rPr>
        <sz val="10"/>
        <rFont val="WenQuanYi Zen Hei"/>
        <family val="2"/>
      </rPr>
      <t xml:space="preserve">（</t>
    </r>
    <r>
      <rPr>
        <sz val="10"/>
        <rFont val="Meiryo UI"/>
        <family val="0"/>
        <charset val="1"/>
      </rPr>
      <t xml:space="preserve">27.3</t>
    </r>
    <r>
      <rPr>
        <sz val="10"/>
        <rFont val="WenQuanYi Zen Hei"/>
        <family val="2"/>
      </rPr>
      <t xml:space="preserve">位）が「求人票の見方」で重複。</t>
    </r>
  </si>
  <si>
    <r>
      <rPr>
        <sz val="10"/>
        <rFont val="Meiryo UI"/>
        <family val="0"/>
        <charset val="1"/>
      </rPr>
      <t xml:space="preserve">mikata-point</t>
    </r>
    <r>
      <rPr>
        <sz val="10"/>
        <rFont val="WenQuanYi Zen Hei"/>
        <family val="2"/>
      </rPr>
      <t xml:space="preserve">を</t>
    </r>
    <r>
      <rPr>
        <sz val="10"/>
        <rFont val="Meiryo UI"/>
        <family val="0"/>
        <charset val="1"/>
      </rPr>
      <t xml:space="preserve">checklist</t>
    </r>
    <r>
      <rPr>
        <sz val="10"/>
        <rFont val="WenQuanYi Zen Hei"/>
        <family val="2"/>
      </rPr>
      <t xml:space="preserve">へ統合し、求人票・ブラック系のハブ記事にする。</t>
    </r>
  </si>
  <si>
    <r>
      <rPr>
        <sz val="10"/>
        <rFont val="WenQuanYi Zen Hei"/>
        <family val="2"/>
      </rPr>
      <t xml:space="preserve">求人票 見方 ポイント </t>
    </r>
    <r>
      <rPr>
        <sz val="10"/>
        <rFont val="Meiryo UI"/>
        <family val="0"/>
        <charset val="1"/>
      </rPr>
      <t xml:space="preserve">/ </t>
    </r>
    <r>
      <rPr>
        <sz val="10"/>
        <rFont val="WenQuanYi Zen Hei"/>
        <family val="2"/>
      </rPr>
      <t xml:space="preserve">こんな求人票は要注意</t>
    </r>
  </si>
  <si>
    <r>
      <rPr>
        <sz val="10"/>
        <rFont val="Meiryo UI"/>
        <family val="0"/>
        <charset val="1"/>
      </rPr>
      <t xml:space="preserve">/engineer-ai-nakunaru/</t>
    </r>
    <r>
      <rPr>
        <sz val="10"/>
        <rFont val="WenQuanYi Zen Hei"/>
        <family val="2"/>
      </rPr>
      <t xml:space="preserve">（</t>
    </r>
    <r>
      <rPr>
        <sz val="10"/>
        <rFont val="Meiryo UI"/>
        <family val="0"/>
        <charset val="1"/>
      </rPr>
      <t xml:space="preserve">331</t>
    </r>
    <r>
      <rPr>
        <sz val="10"/>
        <rFont val="WenQuanYi Zen Hei"/>
        <family val="2"/>
      </rPr>
      <t xml:space="preserve">表示・</t>
    </r>
    <r>
      <rPr>
        <sz val="10"/>
        <rFont val="Meiryo UI"/>
        <family val="0"/>
        <charset val="1"/>
      </rPr>
      <t xml:space="preserve">11.4</t>
    </r>
    <r>
      <rPr>
        <sz val="10"/>
        <rFont val="WenQuanYi Zen Hei"/>
        <family val="2"/>
      </rPr>
      <t xml:space="preserve">位）
</t>
    </r>
    <r>
      <rPr>
        <sz val="10"/>
        <rFont val="Meiryo UI"/>
        <family val="0"/>
        <charset val="1"/>
      </rPr>
      <t xml:space="preserve">/ai-jidai-engineer-skill/</t>
    </r>
    <r>
      <rPr>
        <sz val="10"/>
        <rFont val="WenQuanYi Zen Hei"/>
        <family val="2"/>
      </rPr>
      <t xml:space="preserve">（</t>
    </r>
    <r>
      <rPr>
        <sz val="10"/>
        <rFont val="Meiryo UI"/>
        <family val="0"/>
        <charset val="1"/>
      </rPr>
      <t xml:space="preserve">32</t>
    </r>
    <r>
      <rPr>
        <sz val="10"/>
        <rFont val="WenQuanYi Zen Hei"/>
        <family val="2"/>
      </rPr>
      <t xml:space="preserve">表示・</t>
    </r>
    <r>
      <rPr>
        <sz val="10"/>
        <rFont val="Meiryo UI"/>
        <family val="0"/>
        <charset val="1"/>
      </rPr>
      <t xml:space="preserve">16.2</t>
    </r>
    <r>
      <rPr>
        <sz val="10"/>
        <rFont val="WenQuanYi Zen Hei"/>
        <family val="2"/>
      </rPr>
      <t xml:space="preserve">位）
</t>
    </r>
    <r>
      <rPr>
        <sz val="10"/>
        <rFont val="Meiryo UI"/>
        <family val="0"/>
        <charset val="1"/>
      </rPr>
      <t xml:space="preserve">/engineer-touta-ikinokoru/</t>
    </r>
    <r>
      <rPr>
        <sz val="10"/>
        <rFont val="WenQuanYi Zen Hei"/>
        <family val="2"/>
      </rPr>
      <t xml:space="preserve">（</t>
    </r>
    <r>
      <rPr>
        <sz val="10"/>
        <rFont val="Meiryo UI"/>
        <family val="0"/>
        <charset val="1"/>
      </rPr>
      <t xml:space="preserve">24</t>
    </r>
    <r>
      <rPr>
        <sz val="10"/>
        <rFont val="WenQuanYi Zen Hei"/>
        <family val="2"/>
      </rPr>
      <t xml:space="preserve">表示・</t>
    </r>
    <r>
      <rPr>
        <sz val="10"/>
        <rFont val="Meiryo UI"/>
        <family val="0"/>
        <charset val="1"/>
      </rPr>
      <t xml:space="preserve">5.7</t>
    </r>
    <r>
      <rPr>
        <sz val="10"/>
        <rFont val="WenQuanYi Zen Hei"/>
        <family val="2"/>
      </rPr>
      <t xml:space="preserve">位）</t>
    </r>
  </si>
  <si>
    <r>
      <rPr>
        <sz val="10"/>
        <rFont val="Meiryo UI"/>
        <family val="0"/>
        <charset val="1"/>
      </rPr>
      <t xml:space="preserve">3</t>
    </r>
    <r>
      <rPr>
        <sz val="10"/>
        <rFont val="WenQuanYi Zen Hei"/>
        <family val="2"/>
      </rPr>
      <t xml:space="preserve">記事とも表示が小さく（</t>
    </r>
    <r>
      <rPr>
        <sz val="10"/>
        <rFont val="Meiryo UI"/>
        <family val="0"/>
        <charset val="1"/>
      </rPr>
      <t xml:space="preserve">24</t>
    </r>
    <r>
      <rPr>
        <sz val="10"/>
        <rFont val="WenQuanYi Zen Hei"/>
        <family val="2"/>
      </rPr>
      <t xml:space="preserve">〜</t>
    </r>
    <r>
      <rPr>
        <sz val="10"/>
        <rFont val="Meiryo UI"/>
        <family val="0"/>
        <charset val="1"/>
      </rPr>
      <t xml:space="preserve">331</t>
    </r>
    <r>
      <rPr>
        <sz val="10"/>
        <rFont val="WenQuanYi Zen Hei"/>
        <family val="2"/>
      </rPr>
      <t xml:space="preserve">回）、「エンジニア </t>
    </r>
    <r>
      <rPr>
        <sz val="10"/>
        <rFont val="Meiryo UI"/>
        <family val="0"/>
        <charset val="1"/>
      </rPr>
      <t xml:space="preserve">AI</t>
    </r>
    <r>
      <rPr>
        <sz val="10"/>
        <rFont val="WenQuanYi Zen Hei"/>
        <family val="2"/>
      </rPr>
      <t xml:space="preserve">でなくなる」系で重複しやすい。</t>
    </r>
  </si>
  <si>
    <r>
      <rPr>
        <sz val="10"/>
        <rFont val="Meiryo UI"/>
        <family val="0"/>
        <charset val="1"/>
      </rPr>
      <t xml:space="preserve">engineer-ai-nakunaru</t>
    </r>
    <r>
      <rPr>
        <sz val="10"/>
        <rFont val="WenQuanYi Zen Hei"/>
        <family val="2"/>
      </rPr>
      <t xml:space="preserve">を親に、</t>
    </r>
    <r>
      <rPr>
        <sz val="10"/>
        <rFont val="Meiryo UI"/>
        <family val="0"/>
        <charset val="1"/>
      </rPr>
      <t xml:space="preserve">skill</t>
    </r>
    <r>
      <rPr>
        <sz val="10"/>
        <rFont val="WenQuanYi Zen Hei"/>
        <family val="2"/>
      </rPr>
      <t xml:space="preserve">・</t>
    </r>
    <r>
      <rPr>
        <sz val="10"/>
        <rFont val="Meiryo UI"/>
        <family val="0"/>
        <charset val="1"/>
      </rPr>
      <t xml:space="preserve">touta-ikinokoru</t>
    </r>
    <r>
      <rPr>
        <sz val="10"/>
        <rFont val="WenQuanYi Zen Hei"/>
        <family val="2"/>
      </rPr>
      <t xml:space="preserve">を統合または差別化。</t>
    </r>
  </si>
  <si>
    <r>
      <rPr>
        <sz val="10"/>
        <rFont val="WenQuanYi Zen Hei"/>
        <family val="2"/>
      </rPr>
      <t xml:space="preserve">エンジニア なくなる </t>
    </r>
    <r>
      <rPr>
        <sz val="10"/>
        <rFont val="Meiryo UI"/>
        <family val="0"/>
        <charset val="1"/>
      </rPr>
      <t xml:space="preserve">ai</t>
    </r>
  </si>
  <si>
    <r>
      <rPr>
        <sz val="10"/>
        <rFont val="Meiryo UI"/>
        <family val="0"/>
        <charset val="1"/>
      </rPr>
      <t xml:space="preserve">/kuroji-restructuring-taishosha/</t>
    </r>
    <r>
      <rPr>
        <sz val="10"/>
        <rFont val="WenQuanYi Zen Hei"/>
        <family val="2"/>
      </rPr>
      <t xml:space="preserve">（</t>
    </r>
    <r>
      <rPr>
        <sz val="10"/>
        <rFont val="Meiryo UI"/>
        <family val="0"/>
        <charset val="1"/>
      </rPr>
      <t xml:space="preserve">127</t>
    </r>
    <r>
      <rPr>
        <sz val="10"/>
        <rFont val="WenQuanYi Zen Hei"/>
        <family val="2"/>
      </rPr>
      <t xml:space="preserve">表示・</t>
    </r>
    <r>
      <rPr>
        <sz val="10"/>
        <rFont val="Meiryo UI"/>
        <family val="0"/>
        <charset val="1"/>
      </rPr>
      <t xml:space="preserve">8.7</t>
    </r>
    <r>
      <rPr>
        <sz val="10"/>
        <rFont val="WenQuanYi Zen Hei"/>
        <family val="2"/>
      </rPr>
      <t xml:space="preserve">位）
</t>
    </r>
    <r>
      <rPr>
        <sz val="10"/>
        <rFont val="Meiryo UI"/>
        <family val="0"/>
        <charset val="1"/>
      </rPr>
      <t xml:space="preserve">/kuroji-restructuring-40s-career-defense/</t>
    </r>
    <r>
      <rPr>
        <sz val="10"/>
        <rFont val="WenQuanYi Zen Hei"/>
        <family val="2"/>
      </rPr>
      <t xml:space="preserve">（</t>
    </r>
    <r>
      <rPr>
        <sz val="10"/>
        <rFont val="Meiryo UI"/>
        <family val="0"/>
        <charset val="1"/>
      </rPr>
      <t xml:space="preserve">72</t>
    </r>
    <r>
      <rPr>
        <sz val="10"/>
        <rFont val="WenQuanYi Zen Hei"/>
        <family val="2"/>
      </rPr>
      <t xml:space="preserve">表示・</t>
    </r>
    <r>
      <rPr>
        <sz val="10"/>
        <rFont val="Meiryo UI"/>
        <family val="0"/>
        <charset val="1"/>
      </rPr>
      <t xml:space="preserve">9.3</t>
    </r>
    <r>
      <rPr>
        <sz val="10"/>
        <rFont val="WenQuanYi Zen Hei"/>
        <family val="2"/>
      </rPr>
      <t xml:space="preserve">位）</t>
    </r>
  </si>
  <si>
    <r>
      <rPr>
        <sz val="10"/>
        <rFont val="WenQuanYi Zen Hei"/>
        <family val="2"/>
      </rPr>
      <t xml:space="preserve">対象者記事と</t>
    </r>
    <r>
      <rPr>
        <sz val="10"/>
        <rFont val="Meiryo UI"/>
        <family val="0"/>
        <charset val="1"/>
      </rPr>
      <t xml:space="preserve">40</t>
    </r>
    <r>
      <rPr>
        <sz val="10"/>
        <rFont val="WenQuanYi Zen Hei"/>
        <family val="2"/>
      </rPr>
      <t xml:space="preserve">代の防衛策記事が同じ意図。</t>
    </r>
  </si>
  <si>
    <r>
      <rPr>
        <sz val="10"/>
        <rFont val="Meiryo UI"/>
        <family val="0"/>
        <charset val="1"/>
      </rPr>
      <t xml:space="preserve">40s-career-defense</t>
    </r>
    <r>
      <rPr>
        <sz val="10"/>
        <rFont val="WenQuanYi Zen Hei"/>
        <family val="2"/>
      </rPr>
      <t xml:space="preserve">を</t>
    </r>
    <r>
      <rPr>
        <sz val="10"/>
        <rFont val="Meiryo UI"/>
        <family val="0"/>
        <charset val="1"/>
      </rPr>
      <t xml:space="preserve">taishosha</t>
    </r>
    <r>
      <rPr>
        <sz val="10"/>
        <rFont val="WenQuanYi Zen Hei"/>
        <family val="2"/>
      </rPr>
      <t xml:space="preserve">へ統合するか、</t>
    </r>
    <r>
      <rPr>
        <sz val="10"/>
        <rFont val="Meiryo UI"/>
        <family val="0"/>
        <charset val="1"/>
      </rPr>
      <t xml:space="preserve">40</t>
    </r>
    <r>
      <rPr>
        <sz val="10"/>
        <rFont val="WenQuanYi Zen Hei"/>
        <family val="2"/>
      </rPr>
      <t xml:space="preserve">代向けに明確に差別化。</t>
    </r>
  </si>
  <si>
    <t xml:space="preserve">黒字リストラ 対象</t>
  </si>
  <si>
    <r>
      <rPr>
        <sz val="10"/>
        <rFont val="Meiryo UI"/>
        <family val="0"/>
        <charset val="1"/>
      </rPr>
      <t xml:space="preserve">/major-sier-6-comparison/</t>
    </r>
    <r>
      <rPr>
        <sz val="10"/>
        <rFont val="WenQuanYi Zen Hei"/>
        <family val="2"/>
      </rPr>
      <t xml:space="preserve">（</t>
    </r>
    <r>
      <rPr>
        <sz val="10"/>
        <rFont val="Meiryo UI"/>
        <family val="0"/>
        <charset val="1"/>
      </rPr>
      <t xml:space="preserve">639</t>
    </r>
    <r>
      <rPr>
        <sz val="10"/>
        <rFont val="WenQuanYi Zen Hei"/>
        <family val="2"/>
      </rPr>
      <t xml:space="preserve">表示・</t>
    </r>
    <r>
      <rPr>
        <sz val="10"/>
        <rFont val="Meiryo UI"/>
        <family val="0"/>
        <charset val="1"/>
      </rPr>
      <t xml:space="preserve">9.3</t>
    </r>
    <r>
      <rPr>
        <sz val="10"/>
        <rFont val="WenQuanYi Zen Hei"/>
        <family val="2"/>
      </rPr>
      <t xml:space="preserve">位）
</t>
    </r>
    <r>
      <rPr>
        <sz val="10"/>
        <rFont val="Meiryo UI"/>
        <family val="0"/>
        <charset val="1"/>
      </rPr>
      <t xml:space="preserve">/sier-consul-webkei-chigai/</t>
    </r>
    <r>
      <rPr>
        <sz val="10"/>
        <rFont val="WenQuanYi Zen Hei"/>
        <family val="2"/>
      </rPr>
      <t xml:space="preserve">（</t>
    </r>
    <r>
      <rPr>
        <sz val="10"/>
        <rFont val="Meiryo UI"/>
        <family val="0"/>
        <charset val="1"/>
      </rPr>
      <t xml:space="preserve">129</t>
    </r>
    <r>
      <rPr>
        <sz val="10"/>
        <rFont val="WenQuanYi Zen Hei"/>
        <family val="2"/>
      </rPr>
      <t xml:space="preserve">表示・</t>
    </r>
    <r>
      <rPr>
        <sz val="10"/>
        <rFont val="Meiryo UI"/>
        <family val="0"/>
        <charset val="1"/>
      </rPr>
      <t xml:space="preserve">24.9</t>
    </r>
    <r>
      <rPr>
        <sz val="10"/>
        <rFont val="WenQuanYi Zen Hei"/>
        <family val="2"/>
      </rPr>
      <t xml:space="preserve">位）
</t>
    </r>
    <r>
      <rPr>
        <sz val="10"/>
        <rFont val="Meiryo UI"/>
        <family val="0"/>
        <charset val="1"/>
      </rPr>
      <t xml:space="preserve">/sier-tensyoku-jittai/</t>
    </r>
    <r>
      <rPr>
        <sz val="10"/>
        <rFont val="WenQuanYi Zen Hei"/>
        <family val="2"/>
      </rPr>
      <t xml:space="preserve">（</t>
    </r>
    <r>
      <rPr>
        <sz val="10"/>
        <rFont val="Meiryo UI"/>
        <family val="0"/>
        <charset val="1"/>
      </rPr>
      <t xml:space="preserve">1</t>
    </r>
    <r>
      <rPr>
        <sz val="10"/>
        <rFont val="WenQuanYi Zen Hei"/>
        <family val="2"/>
      </rPr>
      <t xml:space="preserve">表示・</t>
    </r>
    <r>
      <rPr>
        <sz val="10"/>
        <rFont val="Meiryo UI"/>
        <family val="0"/>
        <charset val="1"/>
      </rPr>
      <t xml:space="preserve">8.0</t>
    </r>
    <r>
      <rPr>
        <sz val="10"/>
        <rFont val="WenQuanYi Zen Hei"/>
        <family val="2"/>
      </rPr>
      <t xml:space="preserve">位）</t>
    </r>
  </si>
  <si>
    <r>
      <rPr>
        <sz val="10"/>
        <rFont val="WenQuanYi Zen Hei"/>
        <family val="2"/>
      </rPr>
      <t xml:space="preserve">大手</t>
    </r>
    <r>
      <rPr>
        <sz val="10"/>
        <rFont val="Meiryo UI"/>
        <family val="0"/>
        <charset val="1"/>
      </rPr>
      <t xml:space="preserve">SIer</t>
    </r>
    <r>
      <rPr>
        <sz val="10"/>
        <rFont val="WenQuanYi Zen Hei"/>
        <family val="2"/>
      </rPr>
      <t xml:space="preserve">比較・</t>
    </r>
    <r>
      <rPr>
        <sz val="10"/>
        <rFont val="Meiryo UI"/>
        <family val="0"/>
        <charset val="1"/>
      </rPr>
      <t xml:space="preserve">SIer</t>
    </r>
    <r>
      <rPr>
        <sz val="10"/>
        <rFont val="WenQuanYi Zen Hei"/>
        <family val="2"/>
      </rPr>
      <t xml:space="preserve">とコンサルの違い等。表示が小さく競合の影響は軽微。</t>
    </r>
  </si>
  <si>
    <r>
      <rPr>
        <sz val="10"/>
        <rFont val="WenQuanYi Zen Hei"/>
        <family val="2"/>
      </rPr>
      <t xml:space="preserve">各</t>
    </r>
    <r>
      <rPr>
        <sz val="10"/>
        <rFont val="Meiryo UI"/>
        <family val="0"/>
        <charset val="1"/>
      </rPr>
      <t xml:space="preserve">Tier</t>
    </r>
    <r>
      <rPr>
        <sz val="10"/>
        <rFont val="WenQuanYi Zen Hei"/>
        <family val="2"/>
      </rPr>
      <t xml:space="preserve">記事からのハブとして</t>
    </r>
    <r>
      <rPr>
        <sz val="10"/>
        <rFont val="Meiryo UI"/>
        <family val="0"/>
        <charset val="1"/>
      </rPr>
      <t xml:space="preserve">major-sier-6-comparison</t>
    </r>
    <r>
      <rPr>
        <sz val="10"/>
        <rFont val="WenQuanYi Zen Hei"/>
        <family val="2"/>
      </rPr>
      <t xml:space="preserve">を整備。</t>
    </r>
    <r>
      <rPr>
        <sz val="10"/>
        <rFont val="Meiryo UI"/>
        <family val="0"/>
        <charset val="1"/>
      </rPr>
      <t xml:space="preserve">sier-tensyoku-jittai</t>
    </r>
    <r>
      <rPr>
        <sz val="10"/>
        <rFont val="WenQuanYi Zen Hei"/>
        <family val="2"/>
      </rPr>
      <t xml:space="preserve">（表示</t>
    </r>
    <r>
      <rPr>
        <sz val="10"/>
        <rFont val="Meiryo UI"/>
        <family val="0"/>
        <charset val="1"/>
      </rPr>
      <t xml:space="preserve">1</t>
    </r>
    <r>
      <rPr>
        <sz val="10"/>
        <rFont val="WenQuanYi Zen Hei"/>
        <family val="2"/>
      </rPr>
      <t xml:space="preserve">回）は統合候補。</t>
    </r>
  </si>
  <si>
    <r>
      <rPr>
        <sz val="10"/>
        <rFont val="WenQuanYi Zen Hei"/>
        <family val="2"/>
      </rPr>
      <t xml:space="preserve">大手</t>
    </r>
    <r>
      <rPr>
        <sz val="10"/>
        <rFont val="Meiryo UI"/>
        <family val="0"/>
        <charset val="1"/>
      </rPr>
      <t xml:space="preserve">sier </t>
    </r>
    <r>
      <rPr>
        <sz val="10"/>
        <rFont val="WenQuanYi Zen Hei"/>
        <family val="2"/>
      </rPr>
      <t xml:space="preserve">比較</t>
    </r>
  </si>
  <si>
    <r>
      <rPr>
        <sz val="10"/>
        <rFont val="Meiryo UI"/>
        <family val="0"/>
        <charset val="1"/>
      </rPr>
      <t xml:space="preserve">/aws-sap-difficulty-salary/</t>
    </r>
    <r>
      <rPr>
        <sz val="10"/>
        <rFont val="WenQuanYi Zen Hei"/>
        <family val="2"/>
      </rPr>
      <t xml:space="preserve">（</t>
    </r>
    <r>
      <rPr>
        <sz val="10"/>
        <rFont val="Meiryo UI"/>
        <family val="0"/>
        <charset val="1"/>
      </rPr>
      <t xml:space="preserve">5,584</t>
    </r>
    <r>
      <rPr>
        <sz val="10"/>
        <rFont val="WenQuanYi Zen Hei"/>
        <family val="2"/>
      </rPr>
      <t xml:space="preserve">表示・</t>
    </r>
    <r>
      <rPr>
        <sz val="10"/>
        <rFont val="Meiryo UI"/>
        <family val="0"/>
        <charset val="1"/>
      </rPr>
      <t xml:space="preserve">7.3</t>
    </r>
    <r>
      <rPr>
        <sz val="10"/>
        <rFont val="WenQuanYi Zen Hei"/>
        <family val="2"/>
      </rPr>
      <t xml:space="preserve">位）
</t>
    </r>
    <r>
      <rPr>
        <sz val="10"/>
        <rFont val="Meiryo UI"/>
        <family val="0"/>
        <charset val="1"/>
      </rPr>
      <t xml:space="preserve">/aws-saa-difficulty/</t>
    </r>
    <r>
      <rPr>
        <sz val="10"/>
        <rFont val="WenQuanYi Zen Hei"/>
        <family val="2"/>
      </rPr>
      <t xml:space="preserve">（</t>
    </r>
    <r>
      <rPr>
        <sz val="10"/>
        <rFont val="Meiryo UI"/>
        <family val="0"/>
        <charset val="1"/>
      </rPr>
      <t xml:space="preserve">3,040</t>
    </r>
    <r>
      <rPr>
        <sz val="10"/>
        <rFont val="WenQuanYi Zen Hei"/>
        <family val="2"/>
      </rPr>
      <t xml:space="preserve">表示・</t>
    </r>
    <r>
      <rPr>
        <sz val="10"/>
        <rFont val="Meiryo UI"/>
        <family val="0"/>
        <charset val="1"/>
      </rPr>
      <t xml:space="preserve">9.9</t>
    </r>
    <r>
      <rPr>
        <sz val="10"/>
        <rFont val="WenQuanYi Zen Hei"/>
        <family val="2"/>
      </rPr>
      <t xml:space="preserve">位）
</t>
    </r>
    <r>
      <rPr>
        <sz val="10"/>
        <rFont val="Meiryo UI"/>
        <family val="0"/>
        <charset val="1"/>
      </rPr>
      <t xml:space="preserve">/aws-cloud-practitioner-difficulty/</t>
    </r>
    <r>
      <rPr>
        <sz val="10"/>
        <rFont val="WenQuanYi Zen Hei"/>
        <family val="2"/>
      </rPr>
      <t xml:space="preserve">（</t>
    </r>
    <r>
      <rPr>
        <sz val="10"/>
        <rFont val="Meiryo UI"/>
        <family val="0"/>
        <charset val="1"/>
      </rPr>
      <t xml:space="preserve">952</t>
    </r>
    <r>
      <rPr>
        <sz val="10"/>
        <rFont val="WenQuanYi Zen Hei"/>
        <family val="2"/>
      </rPr>
      <t xml:space="preserve">表示・</t>
    </r>
    <r>
      <rPr>
        <sz val="10"/>
        <rFont val="Meiryo UI"/>
        <family val="0"/>
        <charset val="1"/>
      </rPr>
      <t xml:space="preserve">10.1</t>
    </r>
    <r>
      <rPr>
        <sz val="10"/>
        <rFont val="WenQuanYi Zen Hei"/>
        <family val="2"/>
      </rPr>
      <t xml:space="preserve">位）</t>
    </r>
  </si>
  <si>
    <r>
      <rPr>
        <sz val="10"/>
        <rFont val="WenQuanYi Zen Hei"/>
        <family val="2"/>
      </rPr>
      <t xml:space="preserve">「</t>
    </r>
    <r>
      <rPr>
        <sz val="10"/>
        <rFont val="Meiryo UI"/>
        <family val="0"/>
        <charset val="1"/>
      </rPr>
      <t xml:space="preserve">saa </t>
    </r>
    <r>
      <rPr>
        <sz val="10"/>
        <rFont val="WenQuanYi Zen Hei"/>
        <family val="2"/>
      </rPr>
      <t xml:space="preserve">難易度 応用情報」が</t>
    </r>
    <r>
      <rPr>
        <sz val="10"/>
        <rFont val="Meiryo UI"/>
        <family val="0"/>
        <charset val="1"/>
      </rPr>
      <t xml:space="preserve">aws-saa</t>
    </r>
    <r>
      <rPr>
        <sz val="10"/>
        <rFont val="WenQuanYi Zen Hei"/>
        <family val="2"/>
      </rPr>
      <t xml:space="preserve">と</t>
    </r>
    <r>
      <rPr>
        <sz val="10"/>
        <rFont val="Meiryo UI"/>
        <family val="0"/>
        <charset val="1"/>
      </rPr>
      <t xml:space="preserve">linuc-lpic-level2-aws-saa</t>
    </r>
    <r>
      <rPr>
        <sz val="10"/>
        <rFont val="WenQuanYi Zen Hei"/>
        <family val="2"/>
      </rPr>
      <t xml:space="preserve">の両方に該当。</t>
    </r>
  </si>
  <si>
    <r>
      <rPr>
        <sz val="10"/>
        <rFont val="Meiryo UI"/>
        <family val="0"/>
        <charset val="1"/>
      </rPr>
      <t xml:space="preserve">SAA</t>
    </r>
    <r>
      <rPr>
        <sz val="10"/>
        <rFont val="WenQuanYi Zen Hei"/>
        <family val="2"/>
      </rPr>
      <t xml:space="preserve">の難易度は</t>
    </r>
    <r>
      <rPr>
        <sz val="10"/>
        <rFont val="Meiryo UI"/>
        <family val="0"/>
        <charset val="1"/>
      </rPr>
      <t xml:space="preserve">aws-saa</t>
    </r>
    <r>
      <rPr>
        <sz val="10"/>
        <rFont val="WenQuanYi Zen Hei"/>
        <family val="2"/>
      </rPr>
      <t xml:space="preserve">に集約し、</t>
    </r>
    <r>
      <rPr>
        <sz val="10"/>
        <rFont val="Meiryo UI"/>
        <family val="0"/>
        <charset val="1"/>
      </rPr>
      <t xml:space="preserve">linuc</t>
    </r>
    <r>
      <rPr>
        <sz val="10"/>
        <rFont val="WenQuanYi Zen Hei"/>
        <family val="2"/>
      </rPr>
      <t xml:space="preserve">側は「</t>
    </r>
    <r>
      <rPr>
        <sz val="10"/>
        <rFont val="Meiryo UI"/>
        <family val="0"/>
        <charset val="1"/>
      </rPr>
      <t xml:space="preserve">LinuC/LPIC</t>
    </r>
    <r>
      <rPr>
        <sz val="10"/>
        <rFont val="WenQuanYi Zen Hei"/>
        <family val="2"/>
      </rPr>
      <t xml:space="preserve">レベル</t>
    </r>
    <r>
      <rPr>
        <sz val="10"/>
        <rFont val="Meiryo UI"/>
        <family val="0"/>
        <charset val="1"/>
      </rPr>
      <t xml:space="preserve">2</t>
    </r>
    <r>
      <rPr>
        <sz val="10"/>
        <rFont val="WenQuanYi Zen Hei"/>
        <family val="2"/>
      </rPr>
      <t xml:space="preserve">と</t>
    </r>
    <r>
      <rPr>
        <sz val="10"/>
        <rFont val="Meiryo UI"/>
        <family val="0"/>
        <charset val="1"/>
      </rPr>
      <t xml:space="preserve">SAA</t>
    </r>
    <r>
      <rPr>
        <sz val="10"/>
        <rFont val="WenQuanYi Zen Hei"/>
        <family val="2"/>
      </rPr>
      <t xml:space="preserve">の比較」に限定。</t>
    </r>
  </si>
  <si>
    <r>
      <rPr>
        <sz val="10"/>
        <rFont val="Meiryo UI"/>
        <family val="0"/>
        <charset val="1"/>
      </rPr>
      <t xml:space="preserve">aws saa </t>
    </r>
    <r>
      <rPr>
        <sz val="10"/>
        <rFont val="WenQuanYi Zen Hei"/>
        <family val="2"/>
      </rPr>
      <t xml:space="preserve">難易度</t>
    </r>
  </si>
  <si>
    <r>
      <rPr>
        <sz val="10"/>
        <rFont val="Meiryo UI"/>
        <family val="0"/>
        <charset val="1"/>
      </rPr>
      <t xml:space="preserve">/infra-engineer-qualification-roadmap/</t>
    </r>
    <r>
      <rPr>
        <sz val="10"/>
        <rFont val="WenQuanYi Zen Hei"/>
        <family val="2"/>
      </rPr>
      <t xml:space="preserve">（</t>
    </r>
    <r>
      <rPr>
        <sz val="10"/>
        <rFont val="Meiryo UI"/>
        <family val="0"/>
        <charset val="1"/>
      </rPr>
      <t xml:space="preserve">616</t>
    </r>
    <r>
      <rPr>
        <sz val="10"/>
        <rFont val="WenQuanYi Zen Hei"/>
        <family val="2"/>
      </rPr>
      <t xml:space="preserve">表示・</t>
    </r>
    <r>
      <rPr>
        <sz val="10"/>
        <rFont val="Meiryo UI"/>
        <family val="0"/>
        <charset val="1"/>
      </rPr>
      <t xml:space="preserve">15.6</t>
    </r>
    <r>
      <rPr>
        <sz val="10"/>
        <rFont val="WenQuanYi Zen Hei"/>
        <family val="2"/>
      </rPr>
      <t xml:space="preserve">位）
</t>
    </r>
    <r>
      <rPr>
        <sz val="10"/>
        <rFont val="Meiryo UI"/>
        <family val="0"/>
        <charset val="1"/>
      </rPr>
      <t xml:space="preserve">/ccna-infrastructure-engineer/</t>
    </r>
    <r>
      <rPr>
        <sz val="10"/>
        <rFont val="WenQuanYi Zen Hei"/>
        <family val="2"/>
      </rPr>
      <t xml:space="preserve">（</t>
    </r>
    <r>
      <rPr>
        <sz val="10"/>
        <rFont val="Meiryo UI"/>
        <family val="0"/>
        <charset val="1"/>
      </rPr>
      <t xml:space="preserve">390</t>
    </r>
    <r>
      <rPr>
        <sz val="10"/>
        <rFont val="WenQuanYi Zen Hei"/>
        <family val="2"/>
      </rPr>
      <t xml:space="preserve">表示・</t>
    </r>
    <r>
      <rPr>
        <sz val="10"/>
        <rFont val="Meiryo UI"/>
        <family val="0"/>
        <charset val="1"/>
      </rPr>
      <t xml:space="preserve">14.9</t>
    </r>
    <r>
      <rPr>
        <sz val="10"/>
        <rFont val="WenQuanYi Zen Hei"/>
        <family val="2"/>
      </rPr>
      <t xml:space="preserve">位）</t>
    </r>
  </si>
  <si>
    <t xml:space="preserve">表示が小さい。</t>
  </si>
  <si>
    <r>
      <rPr>
        <sz val="10"/>
        <rFont val="WenQuanYi Zen Hei"/>
        <family val="2"/>
      </rPr>
      <t xml:space="preserve">ロードマップ記事を親に、</t>
    </r>
    <r>
      <rPr>
        <sz val="10"/>
        <rFont val="Meiryo UI"/>
        <family val="0"/>
        <charset val="1"/>
      </rPr>
      <t xml:space="preserve">CCNA</t>
    </r>
    <r>
      <rPr>
        <sz val="10"/>
        <rFont val="WenQuanYi Zen Hei"/>
        <family val="2"/>
      </rPr>
      <t xml:space="preserve">記事からリンク。</t>
    </r>
  </si>
  <si>
    <r>
      <rPr>
        <sz val="10"/>
        <rFont val="Meiryo UI"/>
        <family val="0"/>
        <charset val="1"/>
      </rPr>
      <t xml:space="preserve">/tensyoku-agent-misuterareru/</t>
    </r>
    <r>
      <rPr>
        <sz val="10"/>
        <rFont val="WenQuanYi Zen Hei"/>
        <family val="2"/>
      </rPr>
      <t xml:space="preserve">（</t>
    </r>
    <r>
      <rPr>
        <sz val="10"/>
        <rFont val="Meiryo UI"/>
        <family val="0"/>
        <charset val="1"/>
      </rPr>
      <t xml:space="preserve">898</t>
    </r>
    <r>
      <rPr>
        <sz val="10"/>
        <rFont val="WenQuanYi Zen Hei"/>
        <family val="2"/>
      </rPr>
      <t xml:space="preserve">表示・</t>
    </r>
    <r>
      <rPr>
        <sz val="10"/>
        <rFont val="Meiryo UI"/>
        <family val="0"/>
        <charset val="1"/>
      </rPr>
      <t xml:space="preserve">13.2</t>
    </r>
    <r>
      <rPr>
        <sz val="10"/>
        <rFont val="WenQuanYi Zen Hei"/>
        <family val="2"/>
      </rPr>
      <t xml:space="preserve">位）
</t>
    </r>
    <r>
      <rPr>
        <sz val="10"/>
        <rFont val="Meiryo UI"/>
        <family val="0"/>
        <charset val="1"/>
      </rPr>
      <t xml:space="preserve">/40s-tenshoku-agent-katsuyo/</t>
    </r>
    <r>
      <rPr>
        <sz val="10"/>
        <rFont val="WenQuanYi Zen Hei"/>
        <family val="2"/>
      </rPr>
      <t xml:space="preserve">（</t>
    </r>
    <r>
      <rPr>
        <sz val="10"/>
        <rFont val="Meiryo UI"/>
        <family val="0"/>
        <charset val="1"/>
      </rPr>
      <t xml:space="preserve">45</t>
    </r>
    <r>
      <rPr>
        <sz val="10"/>
        <rFont val="WenQuanYi Zen Hei"/>
        <family val="2"/>
      </rPr>
      <t xml:space="preserve">表示・</t>
    </r>
    <r>
      <rPr>
        <sz val="10"/>
        <rFont val="Meiryo UI"/>
        <family val="0"/>
        <charset val="1"/>
      </rPr>
      <t xml:space="preserve">21.1</t>
    </r>
    <r>
      <rPr>
        <sz val="10"/>
        <rFont val="WenQuanYi Zen Hei"/>
        <family val="2"/>
      </rPr>
      <t xml:space="preserve">位）
</t>
    </r>
    <r>
      <rPr>
        <sz val="10"/>
        <rFont val="Meiryo UI"/>
        <family val="0"/>
        <charset val="1"/>
      </rPr>
      <t xml:space="preserve">/tenshoku-agent-kashikoi-tsukaikata/</t>
    </r>
    <r>
      <rPr>
        <sz val="10"/>
        <rFont val="WenQuanYi Zen Hei"/>
        <family val="2"/>
      </rPr>
      <t xml:space="preserve">（</t>
    </r>
    <r>
      <rPr>
        <sz val="10"/>
        <rFont val="Meiryo UI"/>
        <family val="0"/>
        <charset val="1"/>
      </rPr>
      <t xml:space="preserve">38</t>
    </r>
    <r>
      <rPr>
        <sz val="10"/>
        <rFont val="WenQuanYi Zen Hei"/>
        <family val="2"/>
      </rPr>
      <t xml:space="preserve">表示・</t>
    </r>
    <r>
      <rPr>
        <sz val="10"/>
        <rFont val="Meiryo UI"/>
        <family val="0"/>
        <charset val="1"/>
      </rPr>
      <t xml:space="preserve">7.5</t>
    </r>
    <r>
      <rPr>
        <sz val="10"/>
        <rFont val="WenQuanYi Zen Hei"/>
        <family val="2"/>
      </rPr>
      <t xml:space="preserve">位）</t>
    </r>
  </si>
  <si>
    <r>
      <rPr>
        <sz val="10"/>
        <rFont val="WenQuanYi Zen Hei"/>
        <family val="2"/>
      </rPr>
      <t xml:space="preserve">見捨てられる・賢い使い方・</t>
    </r>
    <r>
      <rPr>
        <sz val="10"/>
        <rFont val="Meiryo UI"/>
        <family val="0"/>
        <charset val="1"/>
      </rPr>
      <t xml:space="preserve">40</t>
    </r>
    <r>
      <rPr>
        <sz val="10"/>
        <rFont val="WenQuanYi Zen Hei"/>
        <family val="2"/>
      </rPr>
      <t xml:space="preserve">代活用で意図は分かれている。</t>
    </r>
  </si>
  <si>
    <t xml:space="preserve">見捨てられる記事を親にして相互リンク。</t>
  </si>
  <si>
    <t xml:space="preserve">転職エージェント 見捨てられる</t>
  </si>
  <si>
    <r>
      <rPr>
        <sz val="10"/>
        <rFont val="Meiryo UI"/>
        <family val="0"/>
        <charset val="1"/>
      </rPr>
      <t xml:space="preserve">/athome-kyujin-black-tensyoku/</t>
    </r>
    <r>
      <rPr>
        <sz val="10"/>
        <rFont val="WenQuanYi Zen Hei"/>
        <family val="2"/>
      </rPr>
      <t xml:space="preserve">（</t>
    </r>
    <r>
      <rPr>
        <sz val="10"/>
        <rFont val="Meiryo UI"/>
        <family val="0"/>
        <charset val="1"/>
      </rPr>
      <t xml:space="preserve">5,278</t>
    </r>
    <r>
      <rPr>
        <sz val="10"/>
        <rFont val="WenQuanYi Zen Hei"/>
        <family val="2"/>
      </rPr>
      <t xml:space="preserve">表示・</t>
    </r>
    <r>
      <rPr>
        <sz val="10"/>
        <rFont val="Meiryo UI"/>
        <family val="0"/>
        <charset val="1"/>
      </rPr>
      <t xml:space="preserve">8.2</t>
    </r>
    <r>
      <rPr>
        <sz val="10"/>
        <rFont val="WenQuanYi Zen Hei"/>
        <family val="2"/>
      </rPr>
      <t xml:space="preserve">位）
</t>
    </r>
    <r>
      <rPr>
        <sz val="10"/>
        <rFont val="Meiryo UI"/>
        <family val="0"/>
        <charset val="1"/>
      </rPr>
      <t xml:space="preserve">/annual-holidays-few-job-posting-warning/</t>
    </r>
    <r>
      <rPr>
        <sz val="10"/>
        <rFont val="WenQuanYi Zen Hei"/>
        <family val="2"/>
      </rPr>
      <t xml:space="preserve">（</t>
    </r>
    <r>
      <rPr>
        <sz val="10"/>
        <rFont val="Meiryo UI"/>
        <family val="0"/>
        <charset val="1"/>
      </rPr>
      <t xml:space="preserve">3,721</t>
    </r>
    <r>
      <rPr>
        <sz val="10"/>
        <rFont val="WenQuanYi Zen Hei"/>
        <family val="2"/>
      </rPr>
      <t xml:space="preserve">表示・</t>
    </r>
    <r>
      <rPr>
        <sz val="10"/>
        <rFont val="Meiryo UI"/>
        <family val="0"/>
        <charset val="1"/>
      </rPr>
      <t xml:space="preserve">6.6</t>
    </r>
    <r>
      <rPr>
        <sz val="10"/>
        <rFont val="WenQuanYi Zen Hei"/>
        <family val="2"/>
      </rPr>
      <t xml:space="preserve">位）
</t>
    </r>
    <r>
      <rPr>
        <sz val="10"/>
        <rFont val="Meiryo UI"/>
        <family val="0"/>
        <charset val="1"/>
      </rPr>
      <t xml:space="preserve">/tairyo-boshu-kyujin-black-kigyo/</t>
    </r>
    <r>
      <rPr>
        <sz val="10"/>
        <rFont val="WenQuanYi Zen Hei"/>
        <family val="2"/>
      </rPr>
      <t xml:space="preserve">（</t>
    </r>
    <r>
      <rPr>
        <sz val="10"/>
        <rFont val="Meiryo UI"/>
        <family val="0"/>
        <charset val="1"/>
      </rPr>
      <t xml:space="preserve">2,682</t>
    </r>
    <r>
      <rPr>
        <sz val="10"/>
        <rFont val="WenQuanYi Zen Hei"/>
        <family val="2"/>
      </rPr>
      <t xml:space="preserve">表示・</t>
    </r>
    <r>
      <rPr>
        <sz val="10"/>
        <rFont val="Meiryo UI"/>
        <family val="0"/>
        <charset val="1"/>
      </rPr>
      <t xml:space="preserve">9.4</t>
    </r>
    <r>
      <rPr>
        <sz val="10"/>
        <rFont val="WenQuanYi Zen Hei"/>
        <family val="2"/>
      </rPr>
      <t xml:space="preserve">位）
</t>
    </r>
    <r>
      <rPr>
        <sz val="10"/>
        <rFont val="Meiryo UI"/>
        <family val="0"/>
        <charset val="1"/>
      </rPr>
      <t xml:space="preserve">/kanbu-kouho-kyuujin-black/</t>
    </r>
    <r>
      <rPr>
        <sz val="10"/>
        <rFont val="WenQuanYi Zen Hei"/>
        <family val="2"/>
      </rPr>
      <t xml:space="preserve">（</t>
    </r>
    <r>
      <rPr>
        <sz val="10"/>
        <rFont val="Meiryo UI"/>
        <family val="0"/>
        <charset val="1"/>
      </rPr>
      <t xml:space="preserve">1,478</t>
    </r>
    <r>
      <rPr>
        <sz val="10"/>
        <rFont val="WenQuanYi Zen Hei"/>
        <family val="2"/>
      </rPr>
      <t xml:space="preserve">表示・</t>
    </r>
    <r>
      <rPr>
        <sz val="10"/>
        <rFont val="Meiryo UI"/>
        <family val="0"/>
        <charset val="1"/>
      </rPr>
      <t xml:space="preserve">11.6</t>
    </r>
    <r>
      <rPr>
        <sz val="10"/>
        <rFont val="WenQuanYi Zen Hei"/>
        <family val="2"/>
      </rPr>
      <t xml:space="preserve">位）
</t>
    </r>
    <r>
      <rPr>
        <sz val="10"/>
        <rFont val="Meiryo UI"/>
        <family val="0"/>
        <charset val="1"/>
      </rPr>
      <t xml:space="preserve">/job-posting-high-salary-black-company-warning/</t>
    </r>
    <r>
      <rPr>
        <sz val="10"/>
        <rFont val="WenQuanYi Zen Hei"/>
        <family val="2"/>
      </rPr>
      <t xml:space="preserve">（</t>
    </r>
    <r>
      <rPr>
        <sz val="10"/>
        <rFont val="Meiryo UI"/>
        <family val="0"/>
        <charset val="1"/>
      </rPr>
      <t xml:space="preserve">1,267</t>
    </r>
    <r>
      <rPr>
        <sz val="10"/>
        <rFont val="WenQuanYi Zen Hei"/>
        <family val="2"/>
      </rPr>
      <t xml:space="preserve">表示・</t>
    </r>
    <r>
      <rPr>
        <sz val="10"/>
        <rFont val="Meiryo UI"/>
        <family val="0"/>
        <charset val="1"/>
      </rPr>
      <t xml:space="preserve">7.2</t>
    </r>
    <r>
      <rPr>
        <sz val="10"/>
        <rFont val="WenQuanYi Zen Hei"/>
        <family val="2"/>
      </rPr>
      <t xml:space="preserve">位）
</t>
    </r>
    <r>
      <rPr>
        <sz val="10"/>
        <rFont val="Meiryo UI"/>
        <family val="0"/>
        <charset val="1"/>
      </rPr>
      <t xml:space="preserve">/kyuujinhyou-aimai-hyougen-black/</t>
    </r>
    <r>
      <rPr>
        <sz val="10"/>
        <rFont val="WenQuanYi Zen Hei"/>
        <family val="2"/>
      </rPr>
      <t xml:space="preserve">（</t>
    </r>
    <r>
      <rPr>
        <sz val="10"/>
        <rFont val="Meiryo UI"/>
        <family val="0"/>
        <charset val="1"/>
      </rPr>
      <t xml:space="preserve">17</t>
    </r>
    <r>
      <rPr>
        <sz val="10"/>
        <rFont val="WenQuanYi Zen Hei"/>
        <family val="2"/>
      </rPr>
      <t xml:space="preserve">表示・</t>
    </r>
    <r>
      <rPr>
        <sz val="10"/>
        <rFont val="Meiryo UI"/>
        <family val="0"/>
        <charset val="1"/>
      </rPr>
      <t xml:space="preserve">6.4</t>
    </r>
    <r>
      <rPr>
        <sz val="10"/>
        <rFont val="WenQuanYi Zen Hei"/>
        <family val="2"/>
      </rPr>
      <t xml:space="preserve">位）</t>
    </r>
  </si>
  <si>
    <t xml:space="preserve">アットホーム・年間休日・大量募集・幹部候補・高収入など、ワードごとに意図は分かれている。</t>
  </si>
  <si>
    <r>
      <rPr>
        <sz val="10"/>
        <rFont val="WenQuanYi Zen Hei"/>
        <family val="2"/>
      </rPr>
      <t xml:space="preserve">求人票チェックリスト記事をハブに、各ワード記事と相互リンク。テーマ全体のクリックが縮小中（</t>
    </r>
    <r>
      <rPr>
        <sz val="10"/>
        <rFont val="Meiryo UI"/>
        <family val="0"/>
        <charset val="1"/>
      </rPr>
      <t xml:space="preserve">0.6</t>
    </r>
    <r>
      <rPr>
        <sz val="10"/>
        <rFont val="WenQuanYi Zen Hei"/>
        <family val="2"/>
      </rPr>
      <t xml:space="preserve">倍）なので重点的に整備。</t>
    </r>
  </si>
  <si>
    <r>
      <rPr>
        <sz val="10"/>
        <rFont val="Meiryo UI"/>
        <family val="0"/>
        <charset val="1"/>
      </rPr>
      <t xml:space="preserve">/instant-offer-one-interview-black-company-warning/</t>
    </r>
    <r>
      <rPr>
        <sz val="10"/>
        <rFont val="WenQuanYi Zen Hei"/>
        <family val="2"/>
      </rPr>
      <t xml:space="preserve">（</t>
    </r>
    <r>
      <rPr>
        <sz val="10"/>
        <rFont val="Meiryo UI"/>
        <family val="0"/>
        <charset val="1"/>
      </rPr>
      <t xml:space="preserve">9,968</t>
    </r>
    <r>
      <rPr>
        <sz val="10"/>
        <rFont val="WenQuanYi Zen Hei"/>
        <family val="2"/>
      </rPr>
      <t xml:space="preserve">表示・</t>
    </r>
    <r>
      <rPr>
        <sz val="10"/>
        <rFont val="Meiryo UI"/>
        <family val="0"/>
        <charset val="1"/>
      </rPr>
      <t xml:space="preserve">6.3</t>
    </r>
    <r>
      <rPr>
        <sz val="10"/>
        <rFont val="WenQuanYi Zen Hei"/>
        <family val="2"/>
      </rPr>
      <t xml:space="preserve">位）
</t>
    </r>
    <r>
      <rPr>
        <sz val="10"/>
        <rFont val="Meiryo UI"/>
        <family val="0"/>
        <charset val="1"/>
      </rPr>
      <t xml:space="preserve">/low-hiring-standards-black-company-risk/</t>
    </r>
    <r>
      <rPr>
        <sz val="10"/>
        <rFont val="WenQuanYi Zen Hei"/>
        <family val="2"/>
      </rPr>
      <t xml:space="preserve">（</t>
    </r>
    <r>
      <rPr>
        <sz val="10"/>
        <rFont val="Meiryo UI"/>
        <family val="0"/>
        <charset val="1"/>
      </rPr>
      <t xml:space="preserve">290</t>
    </r>
    <r>
      <rPr>
        <sz val="10"/>
        <rFont val="WenQuanYi Zen Hei"/>
        <family val="2"/>
      </rPr>
      <t xml:space="preserve">表示・</t>
    </r>
    <r>
      <rPr>
        <sz val="10"/>
        <rFont val="Meiryo UI"/>
        <family val="0"/>
        <charset val="1"/>
      </rPr>
      <t xml:space="preserve">9.2</t>
    </r>
    <r>
      <rPr>
        <sz val="10"/>
        <rFont val="WenQuanYi Zen Hei"/>
        <family val="2"/>
      </rPr>
      <t xml:space="preserve">位）</t>
    </r>
  </si>
  <si>
    <r>
      <rPr>
        <sz val="10"/>
        <rFont val="Meiryo UI"/>
        <family val="0"/>
        <charset val="1"/>
      </rPr>
      <t xml:space="preserve">instant-offer</t>
    </r>
    <r>
      <rPr>
        <sz val="10"/>
        <rFont val="WenQuanYi Zen Hei"/>
        <family val="2"/>
      </rPr>
      <t xml:space="preserve">と採用基準が低い記事は隣接。</t>
    </r>
  </si>
  <si>
    <t xml:space="preserve">相互リンクのみ。</t>
  </si>
  <si>
    <t xml:space="preserve">採用基準 低い 会社</t>
  </si>
  <si>
    <r>
      <rPr>
        <sz val="10"/>
        <rFont val="Meiryo UI"/>
        <family val="0"/>
        <charset val="1"/>
      </rPr>
      <t xml:space="preserve">/network-specialist-haishi/</t>
    </r>
    <r>
      <rPr>
        <sz val="10"/>
        <rFont val="WenQuanYi Zen Hei"/>
        <family val="2"/>
      </rPr>
      <t xml:space="preserve">（</t>
    </r>
    <r>
      <rPr>
        <sz val="10"/>
        <rFont val="Meiryo UI"/>
        <family val="0"/>
        <charset val="1"/>
      </rPr>
      <t xml:space="preserve">7,718</t>
    </r>
    <r>
      <rPr>
        <sz val="10"/>
        <rFont val="WenQuanYi Zen Hei"/>
        <family val="2"/>
      </rPr>
      <t xml:space="preserve">表示・</t>
    </r>
    <r>
      <rPr>
        <sz val="10"/>
        <rFont val="Meiryo UI"/>
        <family val="0"/>
        <charset val="1"/>
      </rPr>
      <t xml:space="preserve">7.4</t>
    </r>
    <r>
      <rPr>
        <sz val="10"/>
        <rFont val="WenQuanYi Zen Hei"/>
        <family val="2"/>
      </rPr>
      <t xml:space="preserve">位）
</t>
    </r>
    <r>
      <rPr>
        <sz val="10"/>
        <rFont val="Meiryo UI"/>
        <family val="0"/>
        <charset val="1"/>
      </rPr>
      <t xml:space="preserve">/database-specialist-haishi/</t>
    </r>
    <r>
      <rPr>
        <sz val="10"/>
        <rFont val="WenQuanYi Zen Hei"/>
        <family val="2"/>
      </rPr>
      <t xml:space="preserve">（</t>
    </r>
    <r>
      <rPr>
        <sz val="10"/>
        <rFont val="Meiryo UI"/>
        <family val="0"/>
        <charset val="1"/>
      </rPr>
      <t xml:space="preserve">3,394</t>
    </r>
    <r>
      <rPr>
        <sz val="10"/>
        <rFont val="WenQuanYi Zen Hei"/>
        <family val="2"/>
      </rPr>
      <t xml:space="preserve">表示・</t>
    </r>
    <r>
      <rPr>
        <sz val="10"/>
        <rFont val="Meiryo UI"/>
        <family val="0"/>
        <charset val="1"/>
      </rPr>
      <t xml:space="preserve">8.9</t>
    </r>
    <r>
      <rPr>
        <sz val="10"/>
        <rFont val="WenQuanYi Zen Hei"/>
        <family val="2"/>
      </rPr>
      <t xml:space="preserve">位）
</t>
    </r>
    <r>
      <rPr>
        <sz val="10"/>
        <rFont val="Meiryo UI"/>
        <family val="0"/>
        <charset val="1"/>
      </rPr>
      <t xml:space="preserve">/it-strategist-haishi/</t>
    </r>
    <r>
      <rPr>
        <sz val="10"/>
        <rFont val="WenQuanYi Zen Hei"/>
        <family val="2"/>
      </rPr>
      <t xml:space="preserve">（</t>
    </r>
    <r>
      <rPr>
        <sz val="10"/>
        <rFont val="Meiryo UI"/>
        <family val="0"/>
        <charset val="1"/>
      </rPr>
      <t xml:space="preserve">2,856</t>
    </r>
    <r>
      <rPr>
        <sz val="10"/>
        <rFont val="WenQuanYi Zen Hei"/>
        <family val="2"/>
      </rPr>
      <t xml:space="preserve">表示・</t>
    </r>
    <r>
      <rPr>
        <sz val="10"/>
        <rFont val="Meiryo UI"/>
        <family val="0"/>
        <charset val="1"/>
      </rPr>
      <t xml:space="preserve">5.2</t>
    </r>
    <r>
      <rPr>
        <sz val="10"/>
        <rFont val="WenQuanYi Zen Hei"/>
        <family val="2"/>
      </rPr>
      <t xml:space="preserve">位）
</t>
    </r>
    <r>
      <rPr>
        <sz val="10"/>
        <rFont val="Meiryo UI"/>
        <family val="0"/>
        <charset val="1"/>
      </rPr>
      <t xml:space="preserve">/system-architect-haishi/</t>
    </r>
    <r>
      <rPr>
        <sz val="10"/>
        <rFont val="WenQuanYi Zen Hei"/>
        <family val="2"/>
      </rPr>
      <t xml:space="preserve">（</t>
    </r>
    <r>
      <rPr>
        <sz val="10"/>
        <rFont val="Meiryo UI"/>
        <family val="0"/>
        <charset val="1"/>
      </rPr>
      <t xml:space="preserve">2,264</t>
    </r>
    <r>
      <rPr>
        <sz val="10"/>
        <rFont val="WenQuanYi Zen Hei"/>
        <family val="2"/>
      </rPr>
      <t xml:space="preserve">表示・</t>
    </r>
    <r>
      <rPr>
        <sz val="10"/>
        <rFont val="Meiryo UI"/>
        <family val="0"/>
        <charset val="1"/>
      </rPr>
      <t xml:space="preserve">7.6</t>
    </r>
    <r>
      <rPr>
        <sz val="10"/>
        <rFont val="WenQuanYi Zen Hei"/>
        <family val="2"/>
      </rPr>
      <t xml:space="preserve">位）
</t>
    </r>
    <r>
      <rPr>
        <sz val="10"/>
        <rFont val="Meiryo UI"/>
        <family val="0"/>
        <charset val="1"/>
      </rPr>
      <t xml:space="preserve">/project-manager-exam-reform/</t>
    </r>
    <r>
      <rPr>
        <sz val="10"/>
        <rFont val="WenQuanYi Zen Hei"/>
        <family val="2"/>
      </rPr>
      <t xml:space="preserve">（</t>
    </r>
    <r>
      <rPr>
        <sz val="10"/>
        <rFont val="Meiryo UI"/>
        <family val="0"/>
        <charset val="1"/>
      </rPr>
      <t xml:space="preserve">1,171</t>
    </r>
    <r>
      <rPr>
        <sz val="10"/>
        <rFont val="WenQuanYi Zen Hei"/>
        <family val="2"/>
      </rPr>
      <t xml:space="preserve">表示・</t>
    </r>
    <r>
      <rPr>
        <sz val="10"/>
        <rFont val="Meiryo UI"/>
        <family val="0"/>
        <charset val="1"/>
      </rPr>
      <t xml:space="preserve">5.7</t>
    </r>
    <r>
      <rPr>
        <sz val="10"/>
        <rFont val="WenQuanYi Zen Hei"/>
        <family val="2"/>
      </rPr>
      <t xml:space="preserve">位）
</t>
    </r>
    <r>
      <rPr>
        <sz val="10"/>
        <rFont val="Meiryo UI"/>
        <family val="0"/>
        <charset val="1"/>
      </rPr>
      <t xml:space="preserve">/embedded-specialist-haishi/</t>
    </r>
    <r>
      <rPr>
        <sz val="10"/>
        <rFont val="WenQuanYi Zen Hei"/>
        <family val="2"/>
      </rPr>
      <t xml:space="preserve">（</t>
    </r>
    <r>
      <rPr>
        <sz val="10"/>
        <rFont val="Meiryo UI"/>
        <family val="0"/>
        <charset val="1"/>
      </rPr>
      <t xml:space="preserve">961</t>
    </r>
    <r>
      <rPr>
        <sz val="10"/>
        <rFont val="WenQuanYi Zen Hei"/>
        <family val="2"/>
      </rPr>
      <t xml:space="preserve">表示・</t>
    </r>
    <r>
      <rPr>
        <sz val="10"/>
        <rFont val="Meiryo UI"/>
        <family val="0"/>
        <charset val="1"/>
      </rPr>
      <t xml:space="preserve">12.7</t>
    </r>
    <r>
      <rPr>
        <sz val="10"/>
        <rFont val="WenQuanYi Zen Hei"/>
        <family val="2"/>
      </rPr>
      <t xml:space="preserve">位）</t>
    </r>
  </si>
  <si>
    <r>
      <rPr>
        <sz val="10"/>
        <rFont val="WenQuanYi Zen Hei"/>
        <family val="2"/>
      </rPr>
      <t xml:space="preserve">試験ごとに記事が分かれ、主要クエリは</t>
    </r>
    <r>
      <rPr>
        <sz val="10"/>
        <rFont val="Meiryo UI"/>
        <family val="0"/>
        <charset val="1"/>
      </rPr>
      <t xml:space="preserve">1</t>
    </r>
    <r>
      <rPr>
        <sz val="10"/>
        <rFont val="WenQuanYi Zen Hei"/>
        <family val="2"/>
      </rPr>
      <t xml:space="preserve">〜</t>
    </r>
    <r>
      <rPr>
        <sz val="10"/>
        <rFont val="Meiryo UI"/>
        <family val="0"/>
        <charset val="1"/>
      </rPr>
      <t xml:space="preserve">7</t>
    </r>
    <r>
      <rPr>
        <sz val="10"/>
        <rFont val="WenQuanYi Zen Hei"/>
        <family val="2"/>
      </rPr>
      <t xml:space="preserve">位。</t>
    </r>
    <r>
      <rPr>
        <sz val="10"/>
        <rFont val="Meiryo UI"/>
        <family val="0"/>
        <charset val="1"/>
      </rPr>
      <t xml:space="preserve">DB</t>
    </r>
    <r>
      <rPr>
        <sz val="10"/>
        <rFont val="WenQuanYi Zen Hei"/>
        <family val="2"/>
      </rPr>
      <t xml:space="preserve">スペシャリスト</t>
    </r>
    <r>
      <rPr>
        <sz val="10"/>
        <rFont val="Meiryo UI"/>
        <family val="0"/>
        <charset val="1"/>
      </rPr>
      <t xml:space="preserve">CTR16%</t>
    </r>
    <r>
      <rPr>
        <sz val="10"/>
        <rFont val="WenQuanYi Zen Hei"/>
        <family val="2"/>
      </rPr>
      <t xml:space="preserve">、</t>
    </r>
    <r>
      <rPr>
        <sz val="10"/>
        <rFont val="Meiryo UI"/>
        <family val="0"/>
        <charset val="1"/>
      </rPr>
      <t xml:space="preserve">IT</t>
    </r>
    <r>
      <rPr>
        <sz val="10"/>
        <rFont val="WenQuanYi Zen Hei"/>
        <family val="2"/>
      </rPr>
      <t xml:space="preserve">ストラテジスト</t>
    </r>
    <r>
      <rPr>
        <sz val="10"/>
        <rFont val="Meiryo UI"/>
        <family val="0"/>
        <charset val="1"/>
      </rPr>
      <t xml:space="preserve">19%</t>
    </r>
    <r>
      <rPr>
        <sz val="10"/>
        <rFont val="WenQuanYi Zen Hei"/>
        <family val="2"/>
      </rPr>
      <t xml:space="preserve">と好調。</t>
    </r>
  </si>
  <si>
    <t xml:space="preserve">現状の型を維持。応用情報だけ欠けているので追加。</t>
  </si>
  <si>
    <r>
      <rPr>
        <b val="true"/>
        <sz val="12"/>
        <color rgb="FF1F3864"/>
        <rFont val="Meiryo UI"/>
        <family val="0"/>
        <charset val="1"/>
      </rPr>
      <t xml:space="preserve">GSC</t>
    </r>
    <r>
      <rPr>
        <b val="true"/>
        <sz val="12"/>
        <color rgb="FF1F3864"/>
        <rFont val="WenQuanYi Zen Hei"/>
        <family val="2"/>
      </rPr>
      <t xml:space="preserve">での確認手順（</t>
    </r>
    <r>
      <rPr>
        <b val="true"/>
        <sz val="12"/>
        <color rgb="FF1F3864"/>
        <rFont val="Meiryo UI"/>
        <family val="0"/>
        <charset val="1"/>
      </rPr>
      <t xml:space="preserve">5</t>
    </r>
    <r>
      <rPr>
        <b val="true"/>
        <sz val="12"/>
        <color rgb="FF1F3864"/>
        <rFont val="WenQuanYi Zen Hei"/>
        <family val="2"/>
      </rPr>
      <t xml:space="preserve">分）</t>
    </r>
  </si>
  <si>
    <r>
      <rPr>
        <sz val="10"/>
        <rFont val="Meiryo UI"/>
        <family val="0"/>
        <charset val="1"/>
      </rPr>
      <t xml:space="preserve">1. Search Console &gt; </t>
    </r>
    <r>
      <rPr>
        <sz val="10"/>
        <rFont val="WenQuanYi Zen Hei"/>
        <family val="2"/>
      </rPr>
      <t xml:space="preserve">検索パフォーマンス </t>
    </r>
    <r>
      <rPr>
        <sz val="10"/>
        <rFont val="Meiryo UI"/>
        <family val="0"/>
        <charset val="1"/>
      </rPr>
      <t xml:space="preserve">&gt; </t>
    </r>
    <r>
      <rPr>
        <sz val="10"/>
        <rFont val="WenQuanYi Zen Hei"/>
        <family val="2"/>
      </rPr>
      <t xml:space="preserve">「＋新規」</t>
    </r>
    <r>
      <rPr>
        <sz val="10"/>
        <rFont val="Meiryo UI"/>
        <family val="0"/>
        <charset val="1"/>
      </rPr>
      <t xml:space="preserve">&gt;</t>
    </r>
    <r>
      <rPr>
        <sz val="10"/>
        <rFont val="WenQuanYi Zen Hei"/>
        <family val="2"/>
      </rPr>
      <t xml:space="preserve">「検索キーワード」</t>
    </r>
    <r>
      <rPr>
        <sz val="10"/>
        <rFont val="Meiryo UI"/>
        <family val="0"/>
        <charset val="1"/>
      </rPr>
      <t xml:space="preserve">&gt;</t>
    </r>
    <r>
      <rPr>
        <sz val="10"/>
        <rFont val="WenQuanYi Zen Hei"/>
        <family val="2"/>
      </rPr>
      <t xml:space="preserve">「次と完全一致するキーワード」に上表のクエリを入力</t>
    </r>
  </si>
  <si>
    <r>
      <rPr>
        <sz val="10"/>
        <rFont val="Meiryo UI"/>
        <family val="0"/>
        <charset val="1"/>
      </rPr>
      <t xml:space="preserve">2. </t>
    </r>
    <r>
      <rPr>
        <sz val="10"/>
        <rFont val="WenQuanYi Zen Hei"/>
        <family val="2"/>
      </rPr>
      <t xml:space="preserve">「ページ」タブを開き、</t>
    </r>
    <r>
      <rPr>
        <sz val="10"/>
        <rFont val="Meiryo UI"/>
        <family val="0"/>
        <charset val="1"/>
      </rPr>
      <t xml:space="preserve">2</t>
    </r>
    <r>
      <rPr>
        <sz val="10"/>
        <rFont val="WenQuanYi Zen Hei"/>
        <family val="2"/>
      </rPr>
      <t xml:space="preserve">つ以上の</t>
    </r>
    <r>
      <rPr>
        <sz val="10"/>
        <rFont val="Meiryo UI"/>
        <family val="0"/>
        <charset val="1"/>
      </rPr>
      <t xml:space="preserve">URL</t>
    </r>
    <r>
      <rPr>
        <sz val="10"/>
        <rFont val="WenQuanYi Zen Hei"/>
        <family val="2"/>
      </rPr>
      <t xml:space="preserve">に表示回数があればカニバリ確定</t>
    </r>
  </si>
  <si>
    <r>
      <rPr>
        <sz val="10"/>
        <rFont val="Meiryo UI"/>
        <family val="0"/>
        <charset val="1"/>
      </rPr>
      <t xml:space="preserve">3. </t>
    </r>
    <r>
      <rPr>
        <sz val="10"/>
        <rFont val="WenQuanYi Zen Hei"/>
        <family val="2"/>
      </rPr>
      <t xml:space="preserve">期間を「過去</t>
    </r>
    <r>
      <rPr>
        <sz val="10"/>
        <rFont val="Meiryo UI"/>
        <family val="0"/>
        <charset val="1"/>
      </rPr>
      <t xml:space="preserve">3</t>
    </r>
    <r>
      <rPr>
        <sz val="10"/>
        <rFont val="WenQuanYi Zen Hei"/>
        <family val="2"/>
      </rPr>
      <t xml:space="preserve">か月」にして比較をオンにすると、日によって表示</t>
    </r>
    <r>
      <rPr>
        <sz val="10"/>
        <rFont val="Meiryo UI"/>
        <family val="0"/>
        <charset val="1"/>
      </rPr>
      <t xml:space="preserve">URL</t>
    </r>
    <r>
      <rPr>
        <sz val="10"/>
        <rFont val="WenQuanYi Zen Hei"/>
        <family val="2"/>
      </rPr>
      <t xml:space="preserve">が入れ替わっているかも分かる</t>
    </r>
  </si>
  <si>
    <r>
      <rPr>
        <sz val="10"/>
        <rFont val="Meiryo UI"/>
        <family val="0"/>
        <charset val="1"/>
      </rPr>
      <t xml:space="preserve">4. </t>
    </r>
    <r>
      <rPr>
        <sz val="10"/>
        <rFont val="WenQuanYi Zen Hei"/>
        <family val="2"/>
      </rPr>
      <t xml:space="preserve">恒久的には </t>
    </r>
    <r>
      <rPr>
        <sz val="10"/>
        <rFont val="Meiryo UI"/>
        <family val="0"/>
        <charset val="1"/>
      </rPr>
      <t xml:space="preserve">GSC API </t>
    </r>
    <r>
      <rPr>
        <sz val="10"/>
        <rFont val="WenQuanYi Zen Hei"/>
        <family val="2"/>
      </rPr>
      <t xml:space="preserve">で「クエリ</t>
    </r>
    <r>
      <rPr>
        <sz val="10"/>
        <rFont val="Meiryo UI"/>
        <family val="0"/>
        <charset val="1"/>
      </rPr>
      <t xml:space="preserve">×</t>
    </r>
    <r>
      <rPr>
        <sz val="10"/>
        <rFont val="WenQuanYi Zen Hei"/>
        <family val="2"/>
      </rPr>
      <t xml:space="preserve">ページ」データを取得し、自動で判定する仕組みを作る（次の段階で対応可能）</t>
    </r>
  </si>
  <si>
    <r>
      <rPr>
        <b val="true"/>
        <sz val="12"/>
        <color rgb="FF1F3864"/>
        <rFont val="WenQuanYi Zen Hei"/>
        <family val="2"/>
      </rPr>
      <t xml:space="preserve">参考：複数の記事の意図に該当するクエリ（表示上位</t>
    </r>
    <r>
      <rPr>
        <b val="true"/>
        <sz val="12"/>
        <color rgb="FF1F3864"/>
        <rFont val="Meiryo UI"/>
        <family val="0"/>
        <charset val="1"/>
      </rPr>
      <t xml:space="preserve">40</t>
    </r>
    <r>
      <rPr>
        <b val="true"/>
        <sz val="12"/>
        <color rgb="FF1F3864"/>
        <rFont val="WenQuanYi Zen Hei"/>
        <family val="2"/>
      </rPr>
      <t xml:space="preserve">件・推定）</t>
    </r>
  </si>
  <si>
    <t xml:space="preserve">クエリ</t>
  </si>
  <si>
    <t xml:space="preserve">平均順位</t>
  </si>
  <si>
    <t xml:space="preserve">該当する記事</t>
  </si>
  <si>
    <t xml:space="preserve">オープンワーク 見方</t>
  </si>
  <si>
    <t xml:space="preserve">/openwork-tsukaikata/
/openwork-graph-mikata/</t>
  </si>
  <si>
    <r>
      <rPr>
        <sz val="10"/>
        <rFont val="Meiryo UI"/>
        <family val="0"/>
        <charset val="1"/>
      </rPr>
      <t xml:space="preserve">ses </t>
    </r>
    <r>
      <rPr>
        <sz val="10"/>
        <rFont val="WenQuanYi Zen Hei"/>
        <family val="2"/>
      </rPr>
      <t xml:space="preserve">見分け方</t>
    </r>
  </si>
  <si>
    <t xml:space="preserve">/ses-syoryu-toritekiho-tenshoku/
/ses-kigyou-miwakekata-erabikata/</t>
  </si>
  <si>
    <t xml:space="preserve">オープンワーク 口コミ 見方</t>
  </si>
  <si>
    <r>
      <rPr>
        <sz val="10"/>
        <rFont val="Meiryo UI"/>
        <family val="0"/>
        <charset val="1"/>
      </rPr>
      <t xml:space="preserve">saa </t>
    </r>
    <r>
      <rPr>
        <sz val="10"/>
        <rFont val="WenQuanYi Zen Hei"/>
        <family val="2"/>
      </rPr>
      <t xml:space="preserve">難易度 応用情報</t>
    </r>
  </si>
  <si>
    <t xml:space="preserve">/ipa-exam-reform-2027/
/aws-saa-difficulty/</t>
  </si>
  <si>
    <r>
      <rPr>
        <sz val="10"/>
        <rFont val="Meiryo UI"/>
        <family val="0"/>
        <charset val="1"/>
      </rPr>
      <t xml:space="preserve">ntt</t>
    </r>
    <r>
      <rPr>
        <sz val="10"/>
        <rFont val="WenQuanYi Zen Hei"/>
        <family val="2"/>
      </rPr>
      <t xml:space="preserve">データ 書類選考通過率 中途</t>
    </r>
  </si>
  <si>
    <t xml:space="preserve">/nttdata-chuto-nanido/
/document-screening-pass-rate/</t>
  </si>
  <si>
    <t xml:space="preserve">オープンワーク 形 ホワイト</t>
  </si>
  <si>
    <t xml:space="preserve">/openwork-graph-mikata/
/openwork-white-company-mikata/</t>
  </si>
  <si>
    <r>
      <rPr>
        <sz val="10"/>
        <rFont val="Meiryo UI"/>
        <family val="0"/>
        <charset val="1"/>
      </rPr>
      <t xml:space="preserve">openwork </t>
    </r>
    <r>
      <rPr>
        <sz val="10"/>
        <rFont val="WenQuanYi Zen Hei"/>
        <family val="2"/>
      </rPr>
      <t xml:space="preserve">見方</t>
    </r>
  </si>
  <si>
    <r>
      <rPr>
        <sz val="10"/>
        <rFont val="Meiryo UI"/>
        <family val="0"/>
        <charset val="1"/>
      </rPr>
      <t xml:space="preserve">aws sap </t>
    </r>
    <r>
      <rPr>
        <sz val="10"/>
        <rFont val="WenQuanYi Zen Hei"/>
        <family val="2"/>
      </rPr>
      <t xml:space="preserve">難易度 応用情報</t>
    </r>
  </si>
  <si>
    <t xml:space="preserve">/ipa-exam-reform-2027/
/aws-sap-difficulty-salary/</t>
  </si>
  <si>
    <t xml:space="preserve">オープンワーク見方</t>
  </si>
  <si>
    <t xml:space="preserve">オープンワーク グラフ 見分け方</t>
  </si>
  <si>
    <r>
      <rPr>
        <sz val="10"/>
        <rFont val="Meiryo UI"/>
        <family val="0"/>
        <charset val="1"/>
      </rPr>
      <t xml:space="preserve">ntt</t>
    </r>
    <r>
      <rPr>
        <sz val="10"/>
        <rFont val="WenQuanYi Zen Hei"/>
        <family val="2"/>
      </rPr>
      <t xml:space="preserve">データ 書類選考 通過率 中途</t>
    </r>
  </si>
  <si>
    <r>
      <rPr>
        <sz val="10"/>
        <rFont val="Meiryo UI"/>
        <family val="0"/>
        <charset val="1"/>
      </rPr>
      <t xml:space="preserve">openwork </t>
    </r>
    <r>
      <rPr>
        <sz val="10"/>
        <rFont val="WenQuanYi Zen Hei"/>
        <family val="2"/>
      </rPr>
      <t xml:space="preserve">評価 低い ランキング</t>
    </r>
  </si>
  <si>
    <r>
      <rPr>
        <sz val="10"/>
        <rFont val="WenQuanYi Zen Hei"/>
        <family val="2"/>
      </rPr>
      <t xml:space="preserve">基本情報技術者試験 </t>
    </r>
    <r>
      <rPr>
        <sz val="10"/>
        <rFont val="Meiryo UI"/>
        <family val="0"/>
        <charset val="1"/>
      </rPr>
      <t xml:space="preserve">2027 </t>
    </r>
    <r>
      <rPr>
        <sz val="10"/>
        <rFont val="WenQuanYi Zen Hei"/>
        <family val="2"/>
      </rPr>
      <t xml:space="preserve">変更点</t>
    </r>
  </si>
  <si>
    <t xml:space="preserve">/ipa-exam-reform-2027/
/itpassport-kihonjoho-2027-henkou/</t>
  </si>
  <si>
    <t xml:space="preserve">転職会議 オープンワーク</t>
  </si>
  <si>
    <t xml:space="preserve">/openwork-tsukaikata/
/tenshokukaigi-openwork-comparison/</t>
  </si>
  <si>
    <r>
      <rPr>
        <sz val="10"/>
        <rFont val="Meiryo UI"/>
        <family val="0"/>
        <charset val="1"/>
      </rPr>
      <t xml:space="preserve">linuc level2 </t>
    </r>
    <r>
      <rPr>
        <sz val="10"/>
        <rFont val="WenQuanYi Zen Hei"/>
        <family val="2"/>
      </rPr>
      <t xml:space="preserve">難易度</t>
    </r>
  </si>
  <si>
    <t xml:space="preserve">/linuc-lpic-level2-aws-saa-difficulty/
/linuc-lpic-difference/</t>
  </si>
  <si>
    <r>
      <rPr>
        <sz val="10"/>
        <rFont val="Meiryo UI"/>
        <family val="0"/>
        <charset val="1"/>
      </rPr>
      <t xml:space="preserve">ntt</t>
    </r>
    <r>
      <rPr>
        <sz val="10"/>
        <rFont val="WenQuanYi Zen Hei"/>
        <family val="2"/>
      </rPr>
      <t xml:space="preserve">データ 中途採用 通過率</t>
    </r>
  </si>
  <si>
    <t xml:space="preserve">レバテックキャリア 断られた</t>
  </si>
  <si>
    <t xml:space="preserve">/levtech-career-reputation/
/tensyoku-agent-misuterareru/</t>
  </si>
  <si>
    <t xml:space="preserve">リクルートエージェント 面接後 アンケート</t>
  </si>
  <si>
    <t xml:space="preserve">/recruit-agent-hyoban/
/recruit-agent-tsukaikata/</t>
  </si>
  <si>
    <r>
      <rPr>
        <sz val="10"/>
        <rFont val="Meiryo UI"/>
        <family val="0"/>
        <charset val="1"/>
      </rPr>
      <t xml:space="preserve">openwork </t>
    </r>
    <r>
      <rPr>
        <sz val="10"/>
        <rFont val="WenQuanYi Zen Hei"/>
        <family val="2"/>
      </rPr>
      <t xml:space="preserve">評価 低い</t>
    </r>
  </si>
  <si>
    <r>
      <rPr>
        <sz val="10"/>
        <rFont val="Meiryo UI"/>
        <family val="0"/>
        <charset val="1"/>
      </rPr>
      <t xml:space="preserve">ai</t>
    </r>
    <r>
      <rPr>
        <sz val="10"/>
        <rFont val="WenQuanYi Zen Hei"/>
        <family val="2"/>
      </rPr>
      <t xml:space="preserve">部署 </t>
    </r>
    <r>
      <rPr>
        <sz val="10"/>
        <rFont val="Meiryo UI"/>
        <family val="0"/>
        <charset val="1"/>
      </rPr>
      <t xml:space="preserve">nec</t>
    </r>
  </si>
  <si>
    <t xml:space="preserve">/nec-career-change-reputation-difficulty/
/nec-ai-department-corporate-ai-workforce/</t>
  </si>
  <si>
    <t xml:space="preserve">リクルートエージェント 面接後のアンケート</t>
  </si>
  <si>
    <r>
      <rPr>
        <sz val="10"/>
        <rFont val="WenQuanYi Zen Hei"/>
        <family val="2"/>
      </rPr>
      <t xml:space="preserve">オープンワーク </t>
    </r>
    <r>
      <rPr>
        <sz val="10"/>
        <rFont val="Meiryo UI"/>
        <family val="0"/>
        <charset val="1"/>
      </rPr>
      <t xml:space="preserve">web</t>
    </r>
    <r>
      <rPr>
        <sz val="10"/>
        <rFont val="WenQuanYi Zen Hei"/>
        <family val="2"/>
      </rPr>
      <t xml:space="preserve">履歴書 非公開</t>
    </r>
  </si>
  <si>
    <t xml:space="preserve">/openwork-tsukaikata/
/openwork-toroku-bareru/</t>
  </si>
  <si>
    <t xml:space="preserve">リクルートエージェント アンケート</t>
  </si>
  <si>
    <r>
      <rPr>
        <sz val="10"/>
        <rFont val="Meiryo UI"/>
        <family val="0"/>
        <charset val="1"/>
      </rPr>
      <t xml:space="preserve">ntt</t>
    </r>
    <r>
      <rPr>
        <sz val="10"/>
        <rFont val="WenQuanYi Zen Hei"/>
        <family val="2"/>
      </rPr>
      <t xml:space="preserve">データ 中途 適性検査 通過率</t>
    </r>
  </si>
  <si>
    <t xml:space="preserve">/nttdata-tekiseikensa-ochita/
/document-screening-pass-rate/</t>
  </si>
  <si>
    <r>
      <rPr>
        <sz val="10"/>
        <rFont val="Meiryo UI"/>
        <family val="0"/>
        <charset val="1"/>
      </rPr>
      <t xml:space="preserve">openwork web</t>
    </r>
    <r>
      <rPr>
        <sz val="10"/>
        <rFont val="WenQuanYi Zen Hei"/>
        <family val="2"/>
      </rPr>
      <t xml:space="preserve">履歴書 非公開</t>
    </r>
  </si>
  <si>
    <t xml:space="preserve">リクルートエージェント 面接後アンケート</t>
  </si>
  <si>
    <t xml:space="preserve">オープンワーク 履歴書 非公開</t>
  </si>
  <si>
    <t xml:space="preserve">オープンワーク ホワイト企業 グラフ</t>
  </si>
  <si>
    <t xml:space="preserve">オープンワーク ブラック企業 見分け方</t>
  </si>
  <si>
    <t xml:space="preserve">/openwork-tsukaikata/
/openwork-white-company-mikata/</t>
  </si>
  <si>
    <t xml:space="preserve">オープンワーク 点数</t>
  </si>
  <si>
    <r>
      <rPr>
        <sz val="10"/>
        <rFont val="Meiryo UI"/>
        <family val="0"/>
        <charset val="1"/>
      </rPr>
      <t xml:space="preserve">ntt</t>
    </r>
    <r>
      <rPr>
        <sz val="10"/>
        <rFont val="WenQuanYi Zen Hei"/>
        <family val="2"/>
      </rPr>
      <t xml:space="preserve">データ 中途 書類通過率</t>
    </r>
  </si>
  <si>
    <t xml:space="preserve">データベース スペシャリスト ネットワーク スペシャリスト 両方</t>
  </si>
  <si>
    <t xml:space="preserve">/network-specialist-haishi/
/database-specialist-haishi/</t>
  </si>
  <si>
    <r>
      <rPr>
        <sz val="10"/>
        <rFont val="Meiryo UI"/>
        <family val="0"/>
        <charset val="1"/>
      </rPr>
      <t xml:space="preserve">ntt</t>
    </r>
    <r>
      <rPr>
        <sz val="10"/>
        <rFont val="WenQuanYi Zen Hei"/>
        <family val="2"/>
      </rPr>
      <t xml:space="preserve">データ中途採用 通過率</t>
    </r>
  </si>
  <si>
    <r>
      <rPr>
        <sz val="10"/>
        <rFont val="Meiryo UI"/>
        <family val="0"/>
        <charset val="1"/>
      </rPr>
      <t xml:space="preserve">ntt</t>
    </r>
    <r>
      <rPr>
        <sz val="10"/>
        <rFont val="WenQuanYi Zen Hei"/>
        <family val="2"/>
      </rPr>
      <t xml:space="preserve">データ 適性検査 通過率</t>
    </r>
  </si>
  <si>
    <r>
      <rPr>
        <sz val="10"/>
        <rFont val="Meiryo UI"/>
        <family val="0"/>
        <charset val="1"/>
      </rPr>
      <t xml:space="preserve">ipa </t>
    </r>
    <r>
      <rPr>
        <sz val="10"/>
        <rFont val="WenQuanYi Zen Hei"/>
        <family val="2"/>
      </rPr>
      <t xml:space="preserve">ネットワークスペシャリスト なくなる</t>
    </r>
  </si>
  <si>
    <t xml:space="preserve">/ipa-exam-reform-2027/
/network-specialist-haishi/</t>
  </si>
  <si>
    <t xml:space="preserve">書類選考で落ちる人の履歴書・職務経歴書に共通する原因は何ですか？</t>
  </si>
  <si>
    <t xml:space="preserve">/chuto-syorui-senko-ochiru/
/tensyoku-shorui-senkou-ochiru-riyuu/
/it-tensyoku-ochiru-kyotsu/</t>
  </si>
  <si>
    <r>
      <rPr>
        <sz val="10"/>
        <rFont val="WenQuanYi Zen Hei"/>
        <family val="2"/>
      </rPr>
      <t xml:space="preserve">リヴホールディングス 転職会議 </t>
    </r>
    <r>
      <rPr>
        <sz val="10"/>
        <rFont val="Meiryo UI"/>
        <family val="0"/>
        <charset val="1"/>
      </rPr>
      <t xml:space="preserve">openwork </t>
    </r>
    <r>
      <rPr>
        <sz val="10"/>
        <rFont val="WenQuanYi Zen Hei"/>
        <family val="2"/>
      </rPr>
      <t xml:space="preserve">評価</t>
    </r>
  </si>
  <si>
    <t xml:space="preserve">/openwork-tsukaikata/
/openwork-graph-mikata/
/tenshokukaigi-openwork-comparison/</t>
  </si>
  <si>
    <r>
      <rPr>
        <sz val="10"/>
        <rFont val="WenQuanYi Zen Hei"/>
        <family val="2"/>
      </rPr>
      <t xml:space="preserve">富士通 年収 </t>
    </r>
    <r>
      <rPr>
        <sz val="10"/>
        <rFont val="Meiryo UI"/>
        <family val="0"/>
        <charset val="1"/>
      </rPr>
      <t xml:space="preserve">20</t>
    </r>
    <r>
      <rPr>
        <sz val="10"/>
        <rFont val="WenQuanYi Zen Hei"/>
        <family val="2"/>
      </rPr>
      <t xml:space="preserve">代</t>
    </r>
  </si>
  <si>
    <t xml:space="preserve">/fujitsu-nenshu-hyouka-jinji-me/
/20dai-kohan-tenshoku-genjitsu/</t>
  </si>
  <si>
    <t xml:space="preserve">ネットワーク スペシャリスト データベース スペシャリスト どっち</t>
  </si>
  <si>
    <t xml:space="preserve">ネットワーク スペシャリスト データベース スペシャリスト</t>
  </si>
  <si>
    <r>
      <rPr>
        <b val="true"/>
        <sz val="14"/>
        <color rgb="FF1F3864"/>
        <rFont val="WenQuanYi Zen Hei"/>
        <family val="2"/>
      </rPr>
      <t xml:space="preserve">壊れた</t>
    </r>
    <r>
      <rPr>
        <b val="true"/>
        <sz val="14"/>
        <color rgb="FF1F3864"/>
        <rFont val="Meiryo UI"/>
        <family val="0"/>
        <charset val="1"/>
      </rPr>
      <t xml:space="preserve">URL</t>
    </r>
    <r>
      <rPr>
        <b val="true"/>
        <sz val="14"/>
        <color rgb="FF1F3864"/>
        <rFont val="WenQuanYi Zen Hei"/>
        <family val="2"/>
      </rPr>
      <t xml:space="preserve">・不要なインデックスの詳細</t>
    </r>
  </si>
  <si>
    <r>
      <rPr>
        <sz val="9"/>
        <color rgb="FF595959"/>
        <rFont val="WenQuanYi Zen Hei"/>
        <family val="2"/>
      </rPr>
      <t xml:space="preserve">過去</t>
    </r>
    <r>
      <rPr>
        <sz val="9"/>
        <color rgb="FF595959"/>
        <rFont val="Meiryo UI"/>
        <family val="0"/>
        <charset val="1"/>
      </rPr>
      <t xml:space="preserve">3</t>
    </r>
    <r>
      <rPr>
        <sz val="9"/>
        <color rgb="FF595959"/>
        <rFont val="WenQuanYi Zen Hei"/>
        <family val="2"/>
      </rPr>
      <t xml:space="preserve">か月に</t>
    </r>
    <r>
      <rPr>
        <sz val="9"/>
        <color rgb="FF595959"/>
        <rFont val="Meiryo UI"/>
        <family val="0"/>
        <charset val="1"/>
      </rPr>
      <t xml:space="preserve">Google</t>
    </r>
    <r>
      <rPr>
        <sz val="9"/>
        <color rgb="FF595959"/>
        <rFont val="WenQuanYi Zen Hei"/>
        <family val="2"/>
      </rPr>
      <t xml:space="preserve">の検索結果に表示された</t>
    </r>
    <r>
      <rPr>
        <sz val="9"/>
        <color rgb="FF595959"/>
        <rFont val="Meiryo UI"/>
        <family val="0"/>
        <charset val="1"/>
      </rPr>
      <t xml:space="preserve">URL</t>
    </r>
    <r>
      <rPr>
        <sz val="9"/>
        <color rgb="FF595959"/>
        <rFont val="WenQuanYi Zen Hei"/>
        <family val="2"/>
      </rPr>
      <t xml:space="preserve">のうち、本来インデックスされるべきでないもの</t>
    </r>
  </si>
  <si>
    <t xml:space="preserve">URL</t>
  </si>
  <si>
    <t xml:space="preserve">種別</t>
  </si>
  <si>
    <r>
      <rPr>
        <b val="true"/>
        <sz val="10"/>
        <color rgb="FFFFFFFF"/>
        <rFont val="Meiryo UI"/>
        <family val="0"/>
        <charset val="1"/>
      </rPr>
      <t xml:space="preserve">28</t>
    </r>
    <r>
      <rPr>
        <b val="true"/>
        <sz val="10"/>
        <color rgb="FFFFFFFF"/>
        <rFont val="WenQuanYi Zen Hei"/>
        <family val="2"/>
      </rPr>
      <t xml:space="preserve">日表示</t>
    </r>
  </si>
  <si>
    <r>
      <rPr>
        <b val="true"/>
        <sz val="10"/>
        <color rgb="FFFFFFFF"/>
        <rFont val="Meiryo UI"/>
        <family val="0"/>
        <charset val="1"/>
      </rPr>
      <t xml:space="preserve">7</t>
    </r>
    <r>
      <rPr>
        <b val="true"/>
        <sz val="10"/>
        <color rgb="FFFFFFFF"/>
        <rFont val="WenQuanYi Zen Hei"/>
        <family val="2"/>
      </rPr>
      <t xml:space="preserve">日表示</t>
    </r>
  </si>
  <si>
    <t xml:space="preserve">推定原因</t>
  </si>
  <si>
    <t xml:space="preserve">対処方法</t>
  </si>
  <si>
    <t xml:space="preserve">確認方法</t>
  </si>
  <si>
    <t xml:space="preserve">https://saiyo-ura.com/tag/tensyoku-agent/</t>
  </si>
  <si>
    <r>
      <rPr>
        <sz val="10"/>
        <rFont val="WenQuanYi Zen Hei"/>
        <family val="2"/>
      </rPr>
      <t xml:space="preserve">タグ</t>
    </r>
    <r>
      <rPr>
        <sz val="10"/>
        <rFont val="Meiryo UI"/>
        <family val="0"/>
        <charset val="1"/>
      </rPr>
      <t xml:space="preserve">/</t>
    </r>
    <r>
      <rPr>
        <sz val="10"/>
        <rFont val="WenQuanYi Zen Hei"/>
        <family val="2"/>
      </rPr>
      <t xml:space="preserve">カテゴリ</t>
    </r>
  </si>
  <si>
    <t xml:space="preserve">タグ・カテゴリの一覧ページがインデックスされている（表示はほぼない）</t>
  </si>
  <si>
    <r>
      <rPr>
        <sz val="10"/>
        <rFont val="Meiryo UI"/>
        <family val="0"/>
        <charset val="1"/>
      </rPr>
      <t xml:space="preserve">SEO</t>
    </r>
    <r>
      <rPr>
        <sz val="10"/>
        <rFont val="WenQuanYi Zen Hei"/>
        <family val="2"/>
      </rPr>
      <t xml:space="preserve">プラグイン（</t>
    </r>
    <r>
      <rPr>
        <sz val="10"/>
        <rFont val="Meiryo UI"/>
        <family val="0"/>
        <charset val="1"/>
      </rPr>
      <t xml:space="preserve">Yoast</t>
    </r>
    <r>
      <rPr>
        <sz val="10"/>
        <rFont val="WenQuanYi Zen Hei"/>
        <family val="2"/>
      </rPr>
      <t xml:space="preserve">・</t>
    </r>
    <r>
      <rPr>
        <sz val="10"/>
        <rFont val="Meiryo UI"/>
        <family val="0"/>
        <charset val="1"/>
      </rPr>
      <t xml:space="preserve">SEO SIMPLE PACK</t>
    </r>
    <r>
      <rPr>
        <sz val="10"/>
        <rFont val="WenQuanYi Zen Hei"/>
        <family val="2"/>
      </rPr>
      <t xml:space="preserve">等）でタグ・カテゴリページを</t>
    </r>
    <r>
      <rPr>
        <sz val="10"/>
        <rFont val="Meiryo UI"/>
        <family val="0"/>
        <charset val="1"/>
      </rPr>
      <t xml:space="preserve">noindex</t>
    </r>
    <r>
      <rPr>
        <sz val="10"/>
        <rFont val="WenQuanYi Zen Hei"/>
        <family val="2"/>
      </rPr>
      <t xml:space="preserve">に設定。カテゴリを集客に使う予定がなければ</t>
    </r>
    <r>
      <rPr>
        <sz val="10"/>
        <rFont val="Meiryo UI"/>
        <family val="0"/>
        <charset val="1"/>
      </rPr>
      <t xml:space="preserve">noindex</t>
    </r>
    <r>
      <rPr>
        <sz val="10"/>
        <rFont val="WenQuanYi Zen Hei"/>
        <family val="2"/>
      </rPr>
      <t xml:space="preserve">推奨</t>
    </r>
  </si>
  <si>
    <r>
      <rPr>
        <sz val="10"/>
        <rFont val="WenQuanYi Zen Hei"/>
        <family val="2"/>
      </rPr>
      <t xml:space="preserve">設定後、</t>
    </r>
    <r>
      <rPr>
        <sz val="10"/>
        <rFont val="Meiryo UI"/>
        <family val="0"/>
        <charset val="1"/>
      </rPr>
      <t xml:space="preserve">URL</t>
    </r>
    <r>
      <rPr>
        <sz val="10"/>
        <rFont val="WenQuanYi Zen Hei"/>
        <family val="2"/>
      </rPr>
      <t xml:space="preserve">検査で「</t>
    </r>
    <r>
      <rPr>
        <sz val="10"/>
        <rFont val="Meiryo UI"/>
        <family val="0"/>
        <charset val="1"/>
      </rPr>
      <t xml:space="preserve">noindex</t>
    </r>
    <r>
      <rPr>
        <sz val="10"/>
        <rFont val="WenQuanYi Zen Hei"/>
        <family val="2"/>
      </rPr>
      <t xml:space="preserve">によって除外」になるか確認</t>
    </r>
  </si>
  <si>
    <t xml:space="preserve">低</t>
  </si>
  <si>
    <t xml:space="preserve">https://saiyo-ura.com/category/skill/</t>
  </si>
  <si>
    <t xml:space="preserve">https://saiyo-ura.com/tag/syorui-senko/</t>
  </si>
  <si>
    <t xml:space="preserve">https://saiyo-ura.com/tag/jinji-no-honne/page/3/</t>
  </si>
  <si>
    <t xml:space="preserve">https://saiyo-ura.com/tag/jinji-no-honne/</t>
  </si>
  <si>
    <t xml:space="preserve">https://www.saiyo-ura.com/professional-digital-skill-exam/</t>
  </si>
  <si>
    <r>
      <rPr>
        <sz val="10"/>
        <rFont val="WenQuanYi Zen Hei"/>
        <family val="2"/>
      </rPr>
      <t xml:space="preserve">ホスト不一致（</t>
    </r>
    <r>
      <rPr>
        <sz val="10"/>
        <rFont val="Meiryo UI"/>
        <family val="0"/>
        <charset val="1"/>
      </rPr>
      <t xml:space="preserve">www</t>
    </r>
    <r>
      <rPr>
        <sz val="10"/>
        <rFont val="WenQuanYi Zen Hei"/>
        <family val="2"/>
      </rPr>
      <t xml:space="preserve">付き）</t>
    </r>
  </si>
  <si>
    <r>
      <rPr>
        <sz val="10"/>
        <rFont val="Meiryo UI"/>
        <family val="0"/>
        <charset val="1"/>
      </rPr>
      <t xml:space="preserve">www</t>
    </r>
    <r>
      <rPr>
        <sz val="10"/>
        <rFont val="WenQuanYi Zen Hei"/>
        <family val="2"/>
      </rPr>
      <t xml:space="preserve">付きでアクセスされた</t>
    </r>
    <r>
      <rPr>
        <sz val="10"/>
        <rFont val="Meiryo UI"/>
        <family val="0"/>
        <charset val="1"/>
      </rPr>
      <t xml:space="preserve">URL</t>
    </r>
    <r>
      <rPr>
        <sz val="10"/>
        <rFont val="WenQuanYi Zen Hei"/>
        <family val="2"/>
      </rPr>
      <t xml:space="preserve">がインデックスされている</t>
    </r>
  </si>
  <si>
    <r>
      <rPr>
        <sz val="10"/>
        <rFont val="Meiryo UI"/>
        <family val="0"/>
        <charset val="1"/>
      </rPr>
      <t xml:space="preserve">www</t>
    </r>
    <r>
      <rPr>
        <sz val="10"/>
        <rFont val="WenQuanYi Zen Hei"/>
        <family val="2"/>
      </rPr>
      <t xml:space="preserve">付き→</t>
    </r>
    <r>
      <rPr>
        <sz val="10"/>
        <rFont val="Meiryo UI"/>
        <family val="0"/>
        <charset val="1"/>
      </rPr>
      <t xml:space="preserve">www</t>
    </r>
    <r>
      <rPr>
        <sz val="10"/>
        <rFont val="WenQuanYi Zen Hei"/>
        <family val="2"/>
      </rPr>
      <t xml:space="preserve">なしへの</t>
    </r>
    <r>
      <rPr>
        <sz val="10"/>
        <rFont val="Meiryo UI"/>
        <family val="0"/>
        <charset val="1"/>
      </rPr>
      <t xml:space="preserve">301</t>
    </r>
    <r>
      <rPr>
        <sz val="10"/>
        <rFont val="WenQuanYi Zen Hei"/>
        <family val="2"/>
      </rPr>
      <t xml:space="preserve">リダイレクトと</t>
    </r>
    <r>
      <rPr>
        <sz val="10"/>
        <rFont val="Meiryo UI"/>
        <family val="0"/>
        <charset val="1"/>
      </rPr>
      <t xml:space="preserve">canonical</t>
    </r>
    <r>
      <rPr>
        <sz val="10"/>
        <rFont val="WenQuanYi Zen Hei"/>
        <family val="2"/>
      </rPr>
      <t xml:space="preserve">（正規</t>
    </r>
    <r>
      <rPr>
        <sz val="10"/>
        <rFont val="Meiryo UI"/>
        <family val="0"/>
        <charset val="1"/>
      </rPr>
      <t xml:space="preserve">URL</t>
    </r>
    <r>
      <rPr>
        <sz val="10"/>
        <rFont val="WenQuanYi Zen Hei"/>
        <family val="2"/>
      </rPr>
      <t xml:space="preserve">）の設定を確認（サーバーまたは</t>
    </r>
    <r>
      <rPr>
        <sz val="10"/>
        <rFont val="Meiryo UI"/>
        <family val="0"/>
        <charset val="1"/>
      </rPr>
      <t xml:space="preserve">WordPress</t>
    </r>
    <r>
      <rPr>
        <sz val="10"/>
        <rFont val="WenQuanYi Zen Hei"/>
        <family val="2"/>
      </rPr>
      <t xml:space="preserve">の設定）</t>
    </r>
  </si>
  <si>
    <r>
      <rPr>
        <sz val="10"/>
        <rFont val="WenQuanYi Zen Hei"/>
        <family val="2"/>
      </rPr>
      <t xml:space="preserve">ブラウザで </t>
    </r>
    <r>
      <rPr>
        <sz val="10"/>
        <rFont val="Meiryo UI"/>
        <family val="0"/>
        <charset val="1"/>
      </rPr>
      <t xml:space="preserve">https://www.saiyo-ura.com/ </t>
    </r>
    <r>
      <rPr>
        <sz val="10"/>
        <rFont val="WenQuanYi Zen Hei"/>
        <family val="2"/>
      </rPr>
      <t xml:space="preserve">を開き、</t>
    </r>
    <r>
      <rPr>
        <sz val="10"/>
        <rFont val="Meiryo UI"/>
        <family val="0"/>
        <charset val="1"/>
      </rPr>
      <t xml:space="preserve">www</t>
    </r>
    <r>
      <rPr>
        <sz val="10"/>
        <rFont val="WenQuanYi Zen Hei"/>
        <family val="2"/>
      </rPr>
      <t xml:space="preserve">なしへ転送されるか確認</t>
    </r>
  </si>
  <si>
    <t xml:space="preserve">https://saiyo-ura.com/ipa-exam-reform-career-impact]</t>
  </si>
  <si>
    <t xml:space="preserve">不正な形式（末尾スラッシュ欠落・記号混入）</t>
  </si>
  <si>
    <r>
      <rPr>
        <sz val="10"/>
        <rFont val="WenQuanYi Zen Hei"/>
        <family val="2"/>
      </rPr>
      <t xml:space="preserve">末尾に「</t>
    </r>
    <r>
      <rPr>
        <sz val="10"/>
        <rFont val="Meiryo UI"/>
        <family val="0"/>
        <charset val="1"/>
      </rPr>
      <t xml:space="preserve">]</t>
    </r>
    <r>
      <rPr>
        <sz val="10"/>
        <rFont val="WenQuanYi Zen Hei"/>
        <family val="2"/>
      </rPr>
      <t xml:space="preserve">」が付いた</t>
    </r>
    <r>
      <rPr>
        <sz val="10"/>
        <rFont val="Meiryo UI"/>
        <family val="0"/>
        <charset val="1"/>
      </rPr>
      <t xml:space="preserve">URL</t>
    </r>
    <r>
      <rPr>
        <sz val="10"/>
        <rFont val="WenQuanYi Zen Hei"/>
        <family val="2"/>
      </rPr>
      <t xml:space="preserve">は、</t>
    </r>
    <r>
      <rPr>
        <sz val="10"/>
        <rFont val="Meiryo UI"/>
        <family val="0"/>
        <charset val="1"/>
      </rPr>
      <t xml:space="preserve">Markdown</t>
    </r>
    <r>
      <rPr>
        <sz val="10"/>
        <rFont val="WenQuanYi Zen Hei"/>
        <family val="2"/>
      </rPr>
      <t xml:space="preserve">形式のリンク（</t>
    </r>
    <r>
      <rPr>
        <sz val="10"/>
        <rFont val="Meiryo UI"/>
        <family val="0"/>
        <charset val="1"/>
      </rPr>
      <t xml:space="preserve">[</t>
    </r>
    <r>
      <rPr>
        <sz val="10"/>
        <rFont val="WenQuanYi Zen Hei"/>
        <family val="2"/>
      </rPr>
      <t xml:space="preserve">文字</t>
    </r>
    <r>
      <rPr>
        <sz val="10"/>
        <rFont val="Meiryo UI"/>
        <family val="0"/>
        <charset val="1"/>
      </rPr>
      <t xml:space="preserve">](URL)</t>
    </r>
    <r>
      <rPr>
        <sz val="10"/>
        <rFont val="WenQuanYi Zen Hei"/>
        <family val="2"/>
      </rPr>
      <t xml:space="preserve">）の貼り間違いが原因とみられる。末尾スラッシュなしは外部・内部の不完全なリンク</t>
    </r>
  </si>
  <si>
    <r>
      <rPr>
        <sz val="10"/>
        <rFont val="WenQuanYi Zen Hei"/>
        <family val="2"/>
      </rPr>
      <t xml:space="preserve">①本文中の該当リンクを修正
②</t>
    </r>
    <r>
      <rPr>
        <sz val="10"/>
        <rFont val="Meiryo UI"/>
        <family val="0"/>
        <charset val="1"/>
      </rPr>
      <t xml:space="preserve">URL</t>
    </r>
    <r>
      <rPr>
        <sz val="10"/>
        <rFont val="WenQuanYi Zen Hei"/>
        <family val="2"/>
      </rPr>
      <t xml:space="preserve">検査ツールで、スラッシュなし</t>
    </r>
    <r>
      <rPr>
        <sz val="10"/>
        <rFont val="Meiryo UI"/>
        <family val="0"/>
        <charset val="1"/>
      </rPr>
      <t xml:space="preserve">URL</t>
    </r>
    <r>
      <rPr>
        <sz val="10"/>
        <rFont val="WenQuanYi Zen Hei"/>
        <family val="2"/>
      </rPr>
      <t xml:space="preserve">が正規</t>
    </r>
    <r>
      <rPr>
        <sz val="10"/>
        <rFont val="Meiryo UI"/>
        <family val="0"/>
        <charset val="1"/>
      </rPr>
      <t xml:space="preserve">URL</t>
    </r>
    <r>
      <rPr>
        <sz val="10"/>
        <rFont val="WenQuanYi Zen Hei"/>
        <family val="2"/>
      </rPr>
      <t xml:space="preserve">へ</t>
    </r>
    <r>
      <rPr>
        <sz val="10"/>
        <rFont val="Meiryo UI"/>
        <family val="0"/>
        <charset val="1"/>
      </rPr>
      <t xml:space="preserve">301</t>
    </r>
    <r>
      <rPr>
        <sz val="10"/>
        <rFont val="WenQuanYi Zen Hei"/>
        <family val="2"/>
      </rPr>
      <t xml:space="preserve">されているか確認（</t>
    </r>
    <r>
      <rPr>
        <sz val="10"/>
        <rFont val="Meiryo UI"/>
        <family val="0"/>
        <charset val="1"/>
      </rPr>
      <t xml:space="preserve">WordPress</t>
    </r>
    <r>
      <rPr>
        <sz val="10"/>
        <rFont val="WenQuanYi Zen Hei"/>
        <family val="2"/>
      </rPr>
      <t xml:space="preserve">の標準動作では</t>
    </r>
    <r>
      <rPr>
        <sz val="10"/>
        <rFont val="Meiryo UI"/>
        <family val="0"/>
        <charset val="1"/>
      </rPr>
      <t xml:space="preserve">301</t>
    </r>
    <r>
      <rPr>
        <sz val="10"/>
        <rFont val="WenQuanYi Zen Hei"/>
        <family val="2"/>
      </rPr>
      <t xml:space="preserve">される）</t>
    </r>
  </si>
  <si>
    <r>
      <rPr>
        <sz val="10"/>
        <rFont val="Meiryo UI"/>
        <family val="0"/>
        <charset val="1"/>
      </rPr>
      <t xml:space="preserve">URL</t>
    </r>
    <r>
      <rPr>
        <sz val="10"/>
        <rFont val="WenQuanYi Zen Hei"/>
        <family val="2"/>
      </rPr>
      <t xml:space="preserve">検査ツールで「</t>
    </r>
    <r>
      <rPr>
        <sz val="10"/>
        <rFont val="Meiryo UI"/>
        <family val="0"/>
        <charset val="1"/>
      </rPr>
      <t xml:space="preserve">Google</t>
    </r>
    <r>
      <rPr>
        <sz val="10"/>
        <rFont val="WenQuanYi Zen Hei"/>
        <family val="2"/>
      </rPr>
      <t xml:space="preserve">が選択した正規</t>
    </r>
    <r>
      <rPr>
        <sz val="10"/>
        <rFont val="Meiryo UI"/>
        <family val="0"/>
        <charset val="1"/>
      </rPr>
      <t xml:space="preserve">URL</t>
    </r>
    <r>
      <rPr>
        <sz val="10"/>
        <rFont val="WenQuanYi Zen Hei"/>
        <family val="2"/>
      </rPr>
      <t xml:space="preserve">」を確認</t>
    </r>
  </si>
  <si>
    <t xml:space="preserve">https://saiyo-ura.com/tairyo-boshu-kyujin-black-kigyo</t>
  </si>
  <si>
    <t xml:space="preserve">https://saiyo-ura.com/saiyo-ura.com/ipa-exam-reform-career-impact/</t>
  </si>
  <si>
    <r>
      <rPr>
        <sz val="10"/>
        <rFont val="WenQuanYi Zen Hei"/>
        <family val="2"/>
      </rPr>
      <t xml:space="preserve">壊れた</t>
    </r>
    <r>
      <rPr>
        <sz val="10"/>
        <rFont val="Meiryo UI"/>
        <family val="0"/>
        <charset val="1"/>
      </rPr>
      <t xml:space="preserve">URL</t>
    </r>
    <r>
      <rPr>
        <sz val="10"/>
        <rFont val="WenQuanYi Zen Hei"/>
        <family val="2"/>
      </rPr>
      <t xml:space="preserve">（</t>
    </r>
    <r>
      <rPr>
        <sz val="10"/>
        <rFont val="Meiryo UI"/>
        <family val="0"/>
        <charset val="1"/>
      </rPr>
      <t xml:space="preserve">https</t>
    </r>
    <r>
      <rPr>
        <sz val="10"/>
        <rFont val="WenQuanYi Zen Hei"/>
        <family val="2"/>
      </rPr>
      <t xml:space="preserve">抜けのリンク）</t>
    </r>
  </si>
  <si>
    <r>
      <rPr>
        <sz val="10"/>
        <rFont val="WenQuanYi Zen Hei"/>
        <family val="2"/>
      </rPr>
      <t xml:space="preserve">記事本文・ウィジェット等のリンクが「</t>
    </r>
    <r>
      <rPr>
        <sz val="10"/>
        <rFont val="Meiryo UI"/>
        <family val="0"/>
        <charset val="1"/>
      </rPr>
      <t xml:space="preserve">https://</t>
    </r>
    <r>
      <rPr>
        <sz val="10"/>
        <rFont val="WenQuanYi Zen Hei"/>
        <family val="2"/>
      </rPr>
      <t xml:space="preserve">」なしの「</t>
    </r>
    <r>
      <rPr>
        <sz val="10"/>
        <rFont val="Meiryo UI"/>
        <family val="0"/>
        <charset val="1"/>
      </rPr>
      <t xml:space="preserve">saiyo-ura.com/</t>
    </r>
    <r>
      <rPr>
        <sz val="10"/>
        <rFont val="WenQuanYi Zen Hei"/>
        <family val="2"/>
      </rPr>
      <t xml:space="preserve">〜」や「</t>
    </r>
    <r>
      <rPr>
        <sz val="10"/>
        <rFont val="Meiryo UI"/>
        <family val="0"/>
        <charset val="1"/>
      </rPr>
      <t xml:space="preserve">/saiyo-ura.com/</t>
    </r>
    <r>
      <rPr>
        <sz val="10"/>
        <rFont val="WenQuanYi Zen Hei"/>
        <family val="2"/>
      </rPr>
      <t xml:space="preserve">〜」で書かれ、サイト内の相対パスとして解釈されている</t>
    </r>
  </si>
  <si>
    <r>
      <rPr>
        <sz val="10"/>
        <rFont val="Meiryo UI"/>
        <family val="0"/>
        <charset val="1"/>
      </rPr>
      <t xml:space="preserve">①WordPress</t>
    </r>
    <r>
      <rPr>
        <sz val="10"/>
        <rFont val="WenQuanYi Zen Hei"/>
        <family val="2"/>
      </rPr>
      <t xml:space="preserve">の管理画面（または </t>
    </r>
    <r>
      <rPr>
        <sz val="10"/>
        <rFont val="Meiryo UI"/>
        <family val="0"/>
        <charset val="1"/>
      </rPr>
      <t xml:space="preserve">Search Regex </t>
    </r>
    <r>
      <rPr>
        <sz val="10"/>
        <rFont val="WenQuanYi Zen Hei"/>
        <family val="2"/>
      </rPr>
      <t xml:space="preserve">等のプラグイン）で本文中の「</t>
    </r>
    <r>
      <rPr>
        <sz val="10"/>
        <rFont val="Meiryo UI"/>
        <family val="0"/>
        <charset val="1"/>
      </rPr>
      <t xml:space="preserve">saiyo-ura.com/</t>
    </r>
    <r>
      <rPr>
        <sz val="10"/>
        <rFont val="WenQuanYi Zen Hei"/>
        <family val="2"/>
      </rPr>
      <t xml:space="preserve">」のうち「</t>
    </r>
    <r>
      <rPr>
        <sz val="10"/>
        <rFont val="Meiryo UI"/>
        <family val="0"/>
        <charset val="1"/>
      </rPr>
      <t xml:space="preserve">https://</t>
    </r>
    <r>
      <rPr>
        <sz val="10"/>
        <rFont val="WenQuanYi Zen Hei"/>
        <family val="2"/>
      </rPr>
      <t xml:space="preserve">」が付いていないリンクを検索して修正
②念のため、壊れた</t>
    </r>
    <r>
      <rPr>
        <sz val="10"/>
        <rFont val="Meiryo UI"/>
        <family val="0"/>
        <charset val="1"/>
      </rPr>
      <t xml:space="preserve">URL→</t>
    </r>
    <r>
      <rPr>
        <sz val="10"/>
        <rFont val="WenQuanYi Zen Hei"/>
        <family val="2"/>
      </rPr>
      <t xml:space="preserve">正しい記事</t>
    </r>
    <r>
      <rPr>
        <sz val="10"/>
        <rFont val="Meiryo UI"/>
        <family val="0"/>
        <charset val="1"/>
      </rPr>
      <t xml:space="preserve">URL</t>
    </r>
    <r>
      <rPr>
        <sz val="10"/>
        <rFont val="WenQuanYi Zen Hei"/>
        <family val="2"/>
      </rPr>
      <t xml:space="preserve">へ</t>
    </r>
    <r>
      <rPr>
        <sz val="10"/>
        <rFont val="Meiryo UI"/>
        <family val="0"/>
        <charset val="1"/>
      </rPr>
      <t xml:space="preserve">301</t>
    </r>
    <r>
      <rPr>
        <sz val="10"/>
        <rFont val="WenQuanYi Zen Hei"/>
        <family val="2"/>
      </rPr>
      <t xml:space="preserve">リダイレクトを設定（</t>
    </r>
    <r>
      <rPr>
        <sz val="10"/>
        <rFont val="Meiryo UI"/>
        <family val="0"/>
        <charset val="1"/>
      </rPr>
      <t xml:space="preserve">Redirection</t>
    </r>
    <r>
      <rPr>
        <sz val="10"/>
        <rFont val="WenQuanYi Zen Hei"/>
        <family val="2"/>
      </rPr>
      <t xml:space="preserve">等のプラグイン）</t>
    </r>
  </si>
  <si>
    <r>
      <rPr>
        <sz val="10"/>
        <rFont val="Meiryo UI"/>
        <family val="0"/>
        <charset val="1"/>
      </rPr>
      <t xml:space="preserve">URL</t>
    </r>
    <r>
      <rPr>
        <sz val="10"/>
        <rFont val="WenQuanYi Zen Hei"/>
        <family val="2"/>
      </rPr>
      <t xml:space="preserve">検査ツールで「参照元ページ」を確認すると、どの記事のリンクが原因か分かる場合がある</t>
    </r>
  </si>
  <si>
    <t xml:space="preserve">高</t>
  </si>
  <si>
    <t xml:space="preserve">https://saiyo-ura.com/saiyo-ura.com/assign-agent-review/</t>
  </si>
  <si>
    <t xml:space="preserve">https://saiyo-ura.com/saiyo-ura.com/oh_bareru</t>
  </si>
  <si>
    <t xml:space="preserve">https://saiyo-ura.com/saiyo-ura.com/openwork-white-company-mikata/</t>
  </si>
  <si>
    <r>
      <rPr>
        <b val="true"/>
        <sz val="12"/>
        <color rgb="FF1F3864"/>
        <rFont val="WenQuanYi Zen Hei"/>
        <family val="2"/>
      </rPr>
      <t xml:space="preserve">参考：目次アンカー付き</t>
    </r>
    <r>
      <rPr>
        <b val="true"/>
        <sz val="12"/>
        <color rgb="FF1F3864"/>
        <rFont val="Meiryo UI"/>
        <family val="0"/>
        <charset val="1"/>
      </rPr>
      <t xml:space="preserve">URL</t>
    </r>
    <r>
      <rPr>
        <b val="true"/>
        <sz val="12"/>
        <color rgb="FF1F3864"/>
        <rFont val="WenQuanYi Zen Hei"/>
        <family val="2"/>
      </rPr>
      <t xml:space="preserve">（</t>
    </r>
    <r>
      <rPr>
        <b val="true"/>
        <sz val="12"/>
        <color rgb="FF1F3864"/>
        <rFont val="Meiryo UI"/>
        <family val="0"/>
        <charset val="1"/>
      </rPr>
      <t xml:space="preserve">#index_id</t>
    </r>
    <r>
      <rPr>
        <b val="true"/>
        <sz val="12"/>
        <color rgb="FF1F3864"/>
        <rFont val="WenQuanYi Zen Hei"/>
        <family val="2"/>
      </rPr>
      <t xml:space="preserve">）について</t>
    </r>
  </si>
  <si>
    <r>
      <rPr>
        <sz val="10"/>
        <rFont val="WenQuanYi Zen Hei"/>
        <family val="2"/>
      </rPr>
      <t xml:space="preserve">検索結果で記事内の目次が「ジャンプリンク」として表示された時の</t>
    </r>
    <r>
      <rPr>
        <sz val="10"/>
        <rFont val="Meiryo UI"/>
        <family val="0"/>
        <charset val="1"/>
      </rPr>
      <t xml:space="preserve">URL</t>
    </r>
    <r>
      <rPr>
        <sz val="10"/>
        <rFont val="WenQuanYi Zen Hei"/>
        <family val="2"/>
      </rPr>
      <t xml:space="preserve">です（</t>
    </r>
    <r>
      <rPr>
        <sz val="10"/>
        <rFont val="Meiryo UI"/>
        <family val="0"/>
        <charset val="1"/>
      </rPr>
      <t xml:space="preserve">344</t>
    </r>
    <r>
      <rPr>
        <sz val="10"/>
        <rFont val="WenQuanYi Zen Hei"/>
        <family val="2"/>
      </rPr>
      <t xml:space="preserve">件・</t>
    </r>
    <r>
      <rPr>
        <sz val="10"/>
        <rFont val="Meiryo UI"/>
        <family val="0"/>
        <charset val="1"/>
      </rPr>
      <t xml:space="preserve">52</t>
    </r>
    <r>
      <rPr>
        <sz val="10"/>
        <rFont val="WenQuanYi Zen Hei"/>
        <family val="2"/>
      </rPr>
      <t xml:space="preserve">記事）。問題ではなく、むしろ良い兆候です。記事単位の集計からは除外しています。目次の見出しを検索語と同じ言葉にすると、ジャンプリンク経由のクリックが増えます。</t>
    </r>
  </si>
  <si>
    <r>
      <rPr>
        <b val="true"/>
        <sz val="10"/>
        <color rgb="FFFFFFFF"/>
        <rFont val="WenQuanYi Zen Hei"/>
        <family val="2"/>
      </rPr>
      <t xml:space="preserve">ジャンプリンクが表示された記事（上位</t>
    </r>
    <r>
      <rPr>
        <b val="true"/>
        <sz val="10"/>
        <color rgb="FFFFFFFF"/>
        <rFont val="Meiryo UI"/>
        <family val="0"/>
        <charset val="1"/>
      </rPr>
      <t xml:space="preserve">15</t>
    </r>
    <r>
      <rPr>
        <b val="true"/>
        <sz val="10"/>
        <color rgb="FFFFFFFF"/>
        <rFont val="WenQuanYi Zen Hei"/>
        <family val="2"/>
      </rPr>
      <t xml:space="preserve">）</t>
    </r>
  </si>
  <si>
    <r>
      <rPr>
        <b val="true"/>
        <sz val="10"/>
        <color rgb="FFFFFFFF"/>
        <rFont val="WenQuanYi Zen Hei"/>
        <family val="2"/>
      </rPr>
      <t xml:space="preserve">アンカー</t>
    </r>
    <r>
      <rPr>
        <b val="true"/>
        <sz val="10"/>
        <color rgb="FFFFFFFF"/>
        <rFont val="Meiryo UI"/>
        <family val="0"/>
        <charset val="1"/>
      </rPr>
      <t xml:space="preserve">URL</t>
    </r>
    <r>
      <rPr>
        <b val="true"/>
        <sz val="10"/>
        <color rgb="FFFFFFFF"/>
        <rFont val="WenQuanYi Zen Hei"/>
        <family val="2"/>
      </rPr>
      <t xml:space="preserve">数</t>
    </r>
  </si>
  <si>
    <t xml:space="preserve">https://saiyo-ura.com/aws-saa-difficulty/</t>
  </si>
  <si>
    <t xml:space="preserve">https://saiyo-ura.com/nttdata-chuto-nanido/</t>
  </si>
  <si>
    <t xml:space="preserve">https://saiyo-ura.com/kanbu-kouho-kyuujin-black/</t>
  </si>
  <si>
    <t xml:space="preserve">https://saiyo-ura.com/nec-career-change-reputation-difficulty/</t>
  </si>
  <si>
    <t xml:space="preserve">https://saiyo-ura.com/hitachi-tenshoku-koukai/</t>
  </si>
  <si>
    <t xml:space="preserve">https://saiyo-ura.com/shokumukeirekisho-ai-chatgpt-sakusei/</t>
  </si>
  <si>
    <t xml:space="preserve">https://saiyo-ura.com/athome-kyujin-black-tensyoku/</t>
  </si>
  <si>
    <t xml:space="preserve">https://saiyo-ura.com/tenshokukaigi-openwork-comparison/</t>
  </si>
  <si>
    <t xml:space="preserve">https://saiyo-ura.com/professional-digital-skill-exam/</t>
  </si>
  <si>
    <t xml:space="preserve">https://saiyo-ura.com/tairyo-boshu-kyujin-black-kigyo/</t>
  </si>
  <si>
    <t xml:space="preserve">https://saiyo-ura.com/openwork-white-company-mikata/</t>
  </si>
  <si>
    <r>
      <rPr>
        <b val="true"/>
        <sz val="14"/>
        <color rgb="FF1F3864"/>
        <rFont val="Meiryo UI"/>
        <family val="0"/>
        <charset val="1"/>
      </rPr>
      <t xml:space="preserve">GSC</t>
    </r>
    <r>
      <rPr>
        <b val="true"/>
        <sz val="14"/>
        <color rgb="FF1F3864"/>
        <rFont val="WenQuanYi Zen Hei"/>
        <family val="2"/>
      </rPr>
      <t xml:space="preserve">分析の主要発見（</t>
    </r>
    <r>
      <rPr>
        <b val="true"/>
        <sz val="14"/>
        <color rgb="FF1F3864"/>
        <rFont val="Meiryo UI"/>
        <family val="0"/>
        <charset val="1"/>
      </rPr>
      <t xml:space="preserve">1</t>
    </r>
    <r>
      <rPr>
        <b val="true"/>
        <sz val="14"/>
        <color rgb="FF1F3864"/>
        <rFont val="WenQuanYi Zen Hei"/>
        <family val="2"/>
      </rPr>
      <t xml:space="preserve">〜</t>
    </r>
    <r>
      <rPr>
        <b val="true"/>
        <sz val="14"/>
        <color rgb="FF1F3864"/>
        <rFont val="Meiryo UI"/>
        <family val="0"/>
        <charset val="1"/>
      </rPr>
      <t xml:space="preserve">5</t>
    </r>
    <r>
      <rPr>
        <b val="true"/>
        <sz val="14"/>
        <color rgb="FF1F3864"/>
        <rFont val="WenQuanYi Zen Hei"/>
        <family val="2"/>
      </rPr>
      <t xml:space="preserve">）</t>
    </r>
  </si>
  <si>
    <r>
      <rPr>
        <sz val="9"/>
        <color rgb="FF595959"/>
        <rFont val="WenQuanYi Zen Hei"/>
        <family val="2"/>
      </rPr>
      <t xml:space="preserve">前回報告の</t>
    </r>
    <r>
      <rPr>
        <sz val="9"/>
        <color rgb="FF595959"/>
        <rFont val="Meiryo UI"/>
        <family val="0"/>
        <charset val="1"/>
      </rPr>
      <t xml:space="preserve">5</t>
    </r>
    <r>
      <rPr>
        <sz val="9"/>
        <color rgb="FF595959"/>
        <rFont val="WenQuanYi Zen Hei"/>
        <family val="2"/>
      </rPr>
      <t xml:space="preserve">つの発見の詳細</t>
    </r>
  </si>
  <si>
    <t xml:space="preserve">発見</t>
  </si>
  <si>
    <t xml:space="preserve">数値の根拠</t>
  </si>
  <si>
    <t xml:space="preserve">意味すること</t>
  </si>
  <si>
    <t xml:space="preserve">打ち手</t>
  </si>
  <si>
    <t xml:space="preserve">関連シート</t>
  </si>
  <si>
    <t xml:space="preserve">伸びてはいるが、少数の記事頼み</t>
  </si>
  <si>
    <r>
      <rPr>
        <sz val="10"/>
        <rFont val="WenQuanYi Zen Hei"/>
        <family val="2"/>
      </rPr>
      <t xml:space="preserve">クリック</t>
    </r>
    <r>
      <rPr>
        <sz val="10"/>
        <rFont val="Meiryo UI"/>
        <family val="0"/>
        <charset val="1"/>
      </rPr>
      <t xml:space="preserve">/</t>
    </r>
    <r>
      <rPr>
        <sz val="10"/>
        <rFont val="WenQuanYi Zen Hei"/>
        <family val="2"/>
      </rPr>
      <t xml:space="preserve">日：</t>
    </r>
    <r>
      <rPr>
        <sz val="10"/>
        <rFont val="Meiryo UI"/>
        <family val="0"/>
        <charset val="1"/>
      </rPr>
      <t xml:space="preserve">3</t>
    </r>
    <r>
      <rPr>
        <sz val="10"/>
        <rFont val="WenQuanYi Zen Hei"/>
        <family val="2"/>
      </rPr>
      <t xml:space="preserve">か月平均</t>
    </r>
    <r>
      <rPr>
        <sz val="10"/>
        <rFont val="Meiryo UI"/>
        <family val="0"/>
        <charset val="1"/>
      </rPr>
      <t xml:space="preserve">119→</t>
    </r>
    <r>
      <rPr>
        <sz val="10"/>
        <rFont val="WenQuanYi Zen Hei"/>
        <family val="2"/>
      </rPr>
      <t xml:space="preserve">直近</t>
    </r>
    <r>
      <rPr>
        <sz val="10"/>
        <rFont val="Meiryo UI"/>
        <family val="0"/>
        <charset val="1"/>
      </rPr>
      <t xml:space="preserve">28</t>
    </r>
    <r>
      <rPr>
        <sz val="10"/>
        <rFont val="WenQuanYi Zen Hei"/>
        <family val="2"/>
      </rPr>
      <t xml:space="preserve">日</t>
    </r>
    <r>
      <rPr>
        <sz val="10"/>
        <rFont val="Meiryo UI"/>
        <family val="0"/>
        <charset val="1"/>
      </rPr>
      <t xml:space="preserve">157→</t>
    </r>
    <r>
      <rPr>
        <sz val="10"/>
        <rFont val="WenQuanYi Zen Hei"/>
        <family val="2"/>
      </rPr>
      <t xml:space="preserve">直近</t>
    </r>
    <r>
      <rPr>
        <sz val="10"/>
        <rFont val="Meiryo UI"/>
        <family val="0"/>
        <charset val="1"/>
      </rPr>
      <t xml:space="preserve">7</t>
    </r>
    <r>
      <rPr>
        <sz val="10"/>
        <rFont val="WenQuanYi Zen Hei"/>
        <family val="2"/>
      </rPr>
      <t xml:space="preserve">日</t>
    </r>
    <r>
      <rPr>
        <sz val="10"/>
        <rFont val="Meiryo UI"/>
        <family val="0"/>
        <charset val="1"/>
      </rPr>
      <t xml:space="preserve">202</t>
    </r>
    <r>
      <rPr>
        <sz val="10"/>
        <rFont val="WenQuanYi Zen Hei"/>
        <family val="2"/>
      </rPr>
      <t xml:space="preserve">。平均順位</t>
    </r>
    <r>
      <rPr>
        <sz val="10"/>
        <rFont val="Meiryo UI"/>
        <family val="0"/>
        <charset val="1"/>
      </rPr>
      <t xml:space="preserve">8.9→7.1</t>
    </r>
    <r>
      <rPr>
        <sz val="10"/>
        <rFont val="WenQuanYi Zen Hei"/>
        <family val="2"/>
      </rPr>
      <t xml:space="preserve">。上位</t>
    </r>
    <r>
      <rPr>
        <sz val="10"/>
        <rFont val="Meiryo UI"/>
        <family val="0"/>
        <charset val="1"/>
      </rPr>
      <t xml:space="preserve">10</t>
    </r>
    <r>
      <rPr>
        <sz val="10"/>
        <rFont val="WenQuanYi Zen Hei"/>
        <family val="2"/>
      </rPr>
      <t xml:space="preserve">記事でクリックの</t>
    </r>
    <r>
      <rPr>
        <sz val="10"/>
        <rFont val="Meiryo UI"/>
        <family val="0"/>
        <charset val="1"/>
      </rPr>
      <t xml:space="preserve">68%</t>
    </r>
    <r>
      <rPr>
        <sz val="10"/>
        <rFont val="WenQuanYi Zen Hei"/>
        <family val="2"/>
      </rPr>
      <t xml:space="preserve">、</t>
    </r>
    <r>
      <rPr>
        <sz val="10"/>
        <rFont val="Meiryo UI"/>
        <family val="0"/>
        <charset val="1"/>
      </rPr>
      <t xml:space="preserve">OpenWork</t>
    </r>
    <r>
      <rPr>
        <sz val="10"/>
        <rFont val="WenQuanYi Zen Hei"/>
        <family val="2"/>
      </rPr>
      <t xml:space="preserve">グラフ記事</t>
    </r>
    <r>
      <rPr>
        <sz val="10"/>
        <rFont val="Meiryo UI"/>
        <family val="0"/>
        <charset val="1"/>
      </rPr>
      <t xml:space="preserve">1</t>
    </r>
    <r>
      <rPr>
        <sz val="10"/>
        <rFont val="WenQuanYi Zen Hei"/>
        <family val="2"/>
      </rPr>
      <t xml:space="preserve">本で約</t>
    </r>
    <r>
      <rPr>
        <sz val="10"/>
        <rFont val="Meiryo UI"/>
        <family val="0"/>
        <charset val="1"/>
      </rPr>
      <t xml:space="preserve">17%</t>
    </r>
    <r>
      <rPr>
        <sz val="10"/>
        <rFont val="WenQuanYi Zen Hei"/>
        <family val="2"/>
      </rPr>
      <t xml:space="preserve">。伸びの中心は富士通（クリック</t>
    </r>
    <r>
      <rPr>
        <sz val="10"/>
        <rFont val="Meiryo UI"/>
        <family val="0"/>
        <charset val="1"/>
      </rPr>
      <t xml:space="preserve">/</t>
    </r>
    <r>
      <rPr>
        <sz val="10"/>
        <rFont val="WenQuanYi Zen Hei"/>
        <family val="2"/>
      </rPr>
      <t xml:space="preserve">日</t>
    </r>
    <r>
      <rPr>
        <sz val="10"/>
        <rFont val="Meiryo UI"/>
        <family val="0"/>
        <charset val="1"/>
      </rPr>
      <t xml:space="preserve">4.2→22.8</t>
    </r>
    <r>
      <rPr>
        <sz val="10"/>
        <rFont val="WenQuanYi Zen Hei"/>
        <family val="2"/>
      </rPr>
      <t xml:space="preserve">）・</t>
    </r>
    <r>
      <rPr>
        <sz val="10"/>
        <rFont val="Meiryo UI"/>
        <family val="0"/>
        <charset val="1"/>
      </rPr>
      <t xml:space="preserve">IPA</t>
    </r>
    <r>
      <rPr>
        <sz val="10"/>
        <rFont val="WenQuanYi Zen Hei"/>
        <family val="2"/>
      </rPr>
      <t xml:space="preserve">改編（</t>
    </r>
    <r>
      <rPr>
        <sz val="10"/>
        <rFont val="Meiryo UI"/>
        <family val="0"/>
        <charset val="1"/>
      </rPr>
      <t xml:space="preserve">3.7→9.6</t>
    </r>
    <r>
      <rPr>
        <sz val="10"/>
        <rFont val="WenQuanYi Zen Hei"/>
        <family val="2"/>
      </rPr>
      <t xml:space="preserve">）・リクルートエージェント評判（</t>
    </r>
    <r>
      <rPr>
        <sz val="10"/>
        <rFont val="Meiryo UI"/>
        <family val="0"/>
        <charset val="1"/>
      </rPr>
      <t xml:space="preserve">0.4→6.2</t>
    </r>
    <r>
      <rPr>
        <sz val="10"/>
        <rFont val="WenQuanYi Zen Hei"/>
        <family val="2"/>
      </rPr>
      <t xml:space="preserve">）</t>
    </r>
  </si>
  <si>
    <t xml:space="preserve">ニュースや試験制度の話題による一時的な需要の可能性があり、サイトの地力が上がったとはまだ言えない。主力記事の順位が落ちるとサイト全体が大きく落ちる</t>
  </si>
  <si>
    <r>
      <rPr>
        <sz val="10"/>
        <rFont val="WenQuanYi Zen Hei"/>
        <family val="2"/>
      </rPr>
      <t xml:space="preserve">第</t>
    </r>
    <r>
      <rPr>
        <sz val="10"/>
        <rFont val="Meiryo UI"/>
        <family val="0"/>
        <charset val="1"/>
      </rPr>
      <t xml:space="preserve">2</t>
    </r>
    <r>
      <rPr>
        <sz val="10"/>
        <rFont val="WenQuanYi Zen Hei"/>
        <family val="2"/>
      </rPr>
      <t xml:space="preserve">・第</t>
    </r>
    <r>
      <rPr>
        <sz val="10"/>
        <rFont val="Meiryo UI"/>
        <family val="0"/>
        <charset val="1"/>
      </rPr>
      <t xml:space="preserve">3</t>
    </r>
    <r>
      <rPr>
        <sz val="10"/>
        <rFont val="WenQuanYi Zen Hei"/>
        <family val="2"/>
      </rPr>
      <t xml:space="preserve">の柱（企業研究・</t>
    </r>
    <r>
      <rPr>
        <sz val="10"/>
        <rFont val="Meiryo UI"/>
        <family val="0"/>
        <charset val="1"/>
      </rPr>
      <t xml:space="preserve">IPA</t>
    </r>
    <r>
      <rPr>
        <sz val="10"/>
        <rFont val="WenQuanYi Zen Hei"/>
        <family val="2"/>
      </rPr>
      <t xml:space="preserve">）を育てて依存を分散。好調記事は大幅リライトせず導線の追加に留める</t>
    </r>
  </si>
  <si>
    <r>
      <rPr>
        <sz val="10"/>
        <rFont val="WenQuanYi Zen Hei"/>
        <family val="2"/>
      </rPr>
      <t xml:space="preserve">推移・デバイス／全記事</t>
    </r>
    <r>
      <rPr>
        <sz val="10"/>
        <rFont val="Meiryo UI"/>
        <family val="0"/>
        <charset val="1"/>
      </rPr>
      <t xml:space="preserve">_</t>
    </r>
    <r>
      <rPr>
        <sz val="10"/>
        <rFont val="WenQuanYi Zen Hei"/>
        <family val="2"/>
      </rPr>
      <t xml:space="preserve">修正点</t>
    </r>
  </si>
  <si>
    <t xml:space="preserve">最大の取りこぼしは「応用情報技術者試験 なくなる」</t>
  </si>
  <si>
    <r>
      <rPr>
        <sz val="10"/>
        <rFont val="WenQuanYi Zen Hei"/>
        <family val="2"/>
      </rPr>
      <t xml:space="preserve">「応用情報技術者試験 なくなる」</t>
    </r>
    <r>
      <rPr>
        <sz val="10"/>
        <rFont val="Meiryo UI"/>
        <family val="0"/>
        <charset val="1"/>
      </rPr>
      <t xml:space="preserve">2,424</t>
    </r>
    <r>
      <rPr>
        <sz val="10"/>
        <rFont val="WenQuanYi Zen Hei"/>
        <family val="2"/>
      </rPr>
      <t xml:space="preserve">表示・</t>
    </r>
    <r>
      <rPr>
        <sz val="10"/>
        <rFont val="Meiryo UI"/>
        <family val="0"/>
        <charset val="1"/>
      </rPr>
      <t xml:space="preserve">9.9</t>
    </r>
    <r>
      <rPr>
        <sz val="10"/>
        <rFont val="WenQuanYi Zen Hei"/>
        <family val="2"/>
      </rPr>
      <t xml:space="preserve">位・</t>
    </r>
    <r>
      <rPr>
        <sz val="10"/>
        <rFont val="Meiryo UI"/>
        <family val="0"/>
        <charset val="1"/>
      </rPr>
      <t xml:space="preserve">CTR0.9%</t>
    </r>
    <r>
      <rPr>
        <sz val="10"/>
        <rFont val="WenQuanYi Zen Hei"/>
        <family val="2"/>
      </rPr>
      <t xml:space="preserve">。直近</t>
    </r>
    <r>
      <rPr>
        <sz val="10"/>
        <rFont val="Meiryo UI"/>
        <family val="0"/>
        <charset val="1"/>
      </rPr>
      <t xml:space="preserve">7</t>
    </r>
    <r>
      <rPr>
        <sz val="10"/>
        <rFont val="WenQuanYi Zen Hei"/>
        <family val="2"/>
      </rPr>
      <t xml:space="preserve">日は</t>
    </r>
    <r>
      <rPr>
        <sz val="10"/>
        <rFont val="Meiryo UI"/>
        <family val="0"/>
        <charset val="1"/>
      </rPr>
      <t xml:space="preserve">1</t>
    </r>
    <r>
      <rPr>
        <sz val="10"/>
        <rFont val="WenQuanYi Zen Hei"/>
        <family val="2"/>
      </rPr>
      <t xml:space="preserve">日約</t>
    </r>
    <r>
      <rPr>
        <sz val="10"/>
        <rFont val="Meiryo UI"/>
        <family val="0"/>
        <charset val="1"/>
      </rPr>
      <t xml:space="preserve">150</t>
    </r>
    <r>
      <rPr>
        <sz val="10"/>
        <rFont val="WenQuanYi Zen Hei"/>
        <family val="2"/>
      </rPr>
      <t xml:space="preserve">表示。関連（いつまで・</t>
    </r>
    <r>
      <rPr>
        <sz val="10"/>
        <rFont val="Meiryo UI"/>
        <family val="0"/>
        <charset val="1"/>
      </rPr>
      <t xml:space="preserve">2027</t>
    </r>
    <r>
      <rPr>
        <sz val="10"/>
        <rFont val="WenQuanYi Zen Hei"/>
        <family val="2"/>
      </rPr>
      <t xml:space="preserve">・最後）を含めると計</t>
    </r>
    <r>
      <rPr>
        <sz val="10"/>
        <rFont val="Meiryo UI"/>
        <family val="0"/>
        <charset val="1"/>
      </rPr>
      <t xml:space="preserve">4,000</t>
    </r>
    <r>
      <rPr>
        <sz val="10"/>
        <rFont val="WenQuanYi Zen Hei"/>
        <family val="2"/>
      </rPr>
      <t xml:space="preserve">表示超</t>
    </r>
  </si>
  <si>
    <r>
      <rPr>
        <sz val="10"/>
        <rFont val="WenQuanYi Zen Hei"/>
        <family val="2"/>
      </rPr>
      <t xml:space="preserve">今いちばん需要が伸びているテーマなのに、総合記事で</t>
    </r>
    <r>
      <rPr>
        <sz val="10"/>
        <rFont val="Meiryo UI"/>
        <family val="0"/>
        <charset val="1"/>
      </rPr>
      <t xml:space="preserve">10</t>
    </r>
    <r>
      <rPr>
        <sz val="10"/>
        <rFont val="WenQuanYi Zen Hei"/>
        <family val="2"/>
      </rPr>
      <t xml:space="preserve">位前後に留まりほぼクリックを取れていない。応用情報の単独記事がない（受け皿不足）</t>
    </r>
  </si>
  <si>
    <r>
      <rPr>
        <sz val="10"/>
        <rFont val="WenQuanYi Zen Hei"/>
        <family val="2"/>
      </rPr>
      <t xml:space="preserve">応用情報の単独記事を新設（</t>
    </r>
    <r>
      <rPr>
        <sz val="10"/>
        <rFont val="Meiryo UI"/>
        <family val="0"/>
        <charset val="1"/>
      </rPr>
      <t xml:space="preserve">/ouyou-jouhou-haishi/ </t>
    </r>
    <r>
      <rPr>
        <sz val="10"/>
        <rFont val="WenQuanYi Zen Hei"/>
        <family val="2"/>
      </rPr>
      <t xml:space="preserve">仮）。総合記事はハブ化</t>
    </r>
  </si>
  <si>
    <r>
      <rPr>
        <sz val="10"/>
        <rFont val="WenQuanYi Zen Hei"/>
        <family val="2"/>
      </rPr>
      <t xml:space="preserve">全記事</t>
    </r>
    <r>
      <rPr>
        <sz val="10"/>
        <rFont val="Meiryo UI"/>
        <family val="0"/>
        <charset val="1"/>
      </rPr>
      <t xml:space="preserve">_</t>
    </r>
    <r>
      <rPr>
        <sz val="10"/>
        <rFont val="WenQuanYi Zen Hei"/>
        <family val="2"/>
      </rPr>
      <t xml:space="preserve">修正点（優先</t>
    </r>
    <r>
      <rPr>
        <sz val="10"/>
        <rFont val="Meiryo UI"/>
        <family val="0"/>
        <charset val="1"/>
      </rPr>
      <t xml:space="preserve">6</t>
    </r>
    <r>
      <rPr>
        <sz val="10"/>
        <rFont val="WenQuanYi Zen Hei"/>
        <family val="2"/>
      </rPr>
      <t xml:space="preserve">）／今後の方向性</t>
    </r>
  </si>
  <si>
    <r>
      <rPr>
        <sz val="10"/>
        <rFont val="WenQuanYi Zen Hei"/>
        <family val="2"/>
      </rPr>
      <t xml:space="preserve">転職会議の記事は</t>
    </r>
    <r>
      <rPr>
        <sz val="10"/>
        <rFont val="Meiryo UI"/>
        <family val="0"/>
        <charset val="1"/>
      </rPr>
      <t xml:space="preserve">OpenWork</t>
    </r>
    <r>
      <rPr>
        <sz val="10"/>
        <rFont val="WenQuanYi Zen Hei"/>
        <family val="2"/>
      </rPr>
      <t xml:space="preserve">の記事に大きく負けている</t>
    </r>
  </si>
  <si>
    <r>
      <rPr>
        <sz val="10"/>
        <rFont val="WenQuanYi Zen Hei"/>
        <family val="2"/>
      </rPr>
      <t xml:space="preserve">直近</t>
    </r>
    <r>
      <rPr>
        <sz val="10"/>
        <rFont val="Meiryo UI"/>
        <family val="0"/>
        <charset val="1"/>
      </rPr>
      <t xml:space="preserve">7</t>
    </r>
    <r>
      <rPr>
        <sz val="10"/>
        <rFont val="WenQuanYi Zen Hei"/>
        <family val="2"/>
      </rPr>
      <t xml:space="preserve">日の</t>
    </r>
    <r>
      <rPr>
        <sz val="10"/>
        <rFont val="Meiryo UI"/>
        <family val="0"/>
        <charset val="1"/>
      </rPr>
      <t xml:space="preserve">CTR</t>
    </r>
    <r>
      <rPr>
        <sz val="10"/>
        <rFont val="WenQuanYi Zen Hei"/>
        <family val="2"/>
      </rPr>
      <t xml:space="preserve">：</t>
    </r>
    <r>
      <rPr>
        <sz val="10"/>
        <rFont val="Meiryo UI"/>
        <family val="0"/>
        <charset val="1"/>
      </rPr>
      <t xml:space="preserve">OpenWork</t>
    </r>
    <r>
      <rPr>
        <sz val="10"/>
        <rFont val="WenQuanYi Zen Hei"/>
        <family val="2"/>
      </rPr>
      <t xml:space="preserve">系</t>
    </r>
    <r>
      <rPr>
        <sz val="10"/>
        <rFont val="Meiryo UI"/>
        <family val="0"/>
        <charset val="1"/>
      </rPr>
      <t xml:space="preserve">13.9%</t>
    </r>
    <r>
      <rPr>
        <sz val="10"/>
        <rFont val="WenQuanYi Zen Hei"/>
        <family val="2"/>
      </rPr>
      <t xml:space="preserve">、転職会議系</t>
    </r>
    <r>
      <rPr>
        <sz val="10"/>
        <rFont val="Meiryo UI"/>
        <family val="0"/>
        <charset val="1"/>
      </rPr>
      <t xml:space="preserve">2.6%</t>
    </r>
    <r>
      <rPr>
        <sz val="10"/>
        <rFont val="WenQuanYi Zen Hei"/>
        <family val="2"/>
      </rPr>
      <t xml:space="preserve">。「転職会議」</t>
    </r>
    <r>
      <rPr>
        <sz val="10"/>
        <rFont val="Meiryo UI"/>
        <family val="0"/>
        <charset val="1"/>
      </rPr>
      <t xml:space="preserve">1,646</t>
    </r>
    <r>
      <rPr>
        <sz val="10"/>
        <rFont val="WenQuanYi Zen Hei"/>
        <family val="2"/>
      </rPr>
      <t xml:space="preserve">表示</t>
    </r>
    <r>
      <rPr>
        <sz val="10"/>
        <rFont val="Meiryo UI"/>
        <family val="0"/>
        <charset val="1"/>
      </rPr>
      <t xml:space="preserve">9.6</t>
    </r>
    <r>
      <rPr>
        <sz val="10"/>
        <rFont val="WenQuanYi Zen Hei"/>
        <family val="2"/>
      </rPr>
      <t xml:space="preserve">位</t>
    </r>
    <r>
      <rPr>
        <sz val="10"/>
        <rFont val="Meiryo UI"/>
        <family val="0"/>
        <charset val="1"/>
      </rPr>
      <t xml:space="preserve">CTR0.5%</t>
    </r>
    <r>
      <rPr>
        <sz val="10"/>
        <rFont val="WenQuanYi Zen Hei"/>
        <family val="2"/>
      </rPr>
      <t xml:space="preserve">、「転職会議 危ない」</t>
    </r>
    <r>
      <rPr>
        <sz val="10"/>
        <rFont val="Meiryo UI"/>
        <family val="0"/>
        <charset val="1"/>
      </rPr>
      <t xml:space="preserve">581</t>
    </r>
    <r>
      <rPr>
        <sz val="10"/>
        <rFont val="WenQuanYi Zen Hei"/>
        <family val="2"/>
      </rPr>
      <t xml:space="preserve">表示クリック</t>
    </r>
    <r>
      <rPr>
        <sz val="10"/>
        <rFont val="Meiryo UI"/>
        <family val="0"/>
        <charset val="1"/>
      </rPr>
      <t xml:space="preserve">0</t>
    </r>
  </si>
  <si>
    <t xml:space="preserve">同じ読者層なのに勝てていない。しかも転職会議は成果が出ている唯一の案件で、ここが最も収益に近い</t>
  </si>
  <si>
    <r>
      <rPr>
        <sz val="10"/>
        <rFont val="Meiryo UI"/>
        <family val="0"/>
        <charset val="1"/>
      </rPr>
      <t xml:space="preserve">OpenWork</t>
    </r>
    <r>
      <rPr>
        <sz val="10"/>
        <rFont val="WenQuanYi Zen Hei"/>
        <family val="2"/>
      </rPr>
      <t xml:space="preserve">記事で勝っている型（具体的な見方・画面解説）を転職会議記事に横展開。</t>
    </r>
    <r>
      <rPr>
        <sz val="10"/>
        <rFont val="Meiryo UI"/>
        <family val="0"/>
        <charset val="1"/>
      </rPr>
      <t xml:space="preserve">4</t>
    </r>
    <r>
      <rPr>
        <sz val="10"/>
        <rFont val="WenQuanYi Zen Hei"/>
        <family val="2"/>
      </rPr>
      <t xml:space="preserve">記事の役割分担</t>
    </r>
  </si>
  <si>
    <r>
      <rPr>
        <sz val="10"/>
        <rFont val="WenQuanYi Zen Hei"/>
        <family val="2"/>
      </rPr>
      <t xml:space="preserve">全記事</t>
    </r>
    <r>
      <rPr>
        <sz val="10"/>
        <rFont val="Meiryo UI"/>
        <family val="0"/>
        <charset val="1"/>
      </rPr>
      <t xml:space="preserve">_</t>
    </r>
    <r>
      <rPr>
        <sz val="10"/>
        <rFont val="WenQuanYi Zen Hei"/>
        <family val="2"/>
      </rPr>
      <t xml:space="preserve">修正点（優先</t>
    </r>
    <r>
      <rPr>
        <sz val="10"/>
        <rFont val="Meiryo UI"/>
        <family val="0"/>
        <charset val="1"/>
      </rPr>
      <t xml:space="preserve">1</t>
    </r>
    <r>
      <rPr>
        <sz val="10"/>
        <rFont val="WenQuanYi Zen Hei"/>
        <family val="2"/>
      </rPr>
      <t xml:space="preserve">）／カニバリ分析</t>
    </r>
  </si>
  <si>
    <r>
      <rPr>
        <sz val="10"/>
        <rFont val="WenQuanYi Zen Hei"/>
        <family val="2"/>
      </rPr>
      <t xml:space="preserve">技術的な問題（壊れた</t>
    </r>
    <r>
      <rPr>
        <sz val="10"/>
        <rFont val="Meiryo UI"/>
        <family val="0"/>
        <charset val="1"/>
      </rPr>
      <t xml:space="preserve">URL</t>
    </r>
    <r>
      <rPr>
        <sz val="10"/>
        <rFont val="WenQuanYi Zen Hei"/>
        <family val="2"/>
      </rPr>
      <t xml:space="preserve">等）</t>
    </r>
  </si>
  <si>
    <r>
      <rPr>
        <sz val="10"/>
        <rFont val="Meiryo UI"/>
        <family val="0"/>
        <charset val="1"/>
      </rPr>
      <t xml:space="preserve">https</t>
    </r>
    <r>
      <rPr>
        <sz val="10"/>
        <rFont val="WenQuanYi Zen Hei"/>
        <family val="2"/>
      </rPr>
      <t xml:space="preserve">抜けのリンクが原因とみられる「</t>
    </r>
    <r>
      <rPr>
        <sz val="10"/>
        <rFont val="Meiryo UI"/>
        <family val="0"/>
        <charset val="1"/>
      </rPr>
      <t xml:space="preserve">/saiyo-ura.com/</t>
    </r>
    <r>
      <rPr>
        <sz val="10"/>
        <rFont val="WenQuanYi Zen Hei"/>
        <family val="2"/>
      </rPr>
      <t xml:space="preserve">記事名</t>
    </r>
    <r>
      <rPr>
        <sz val="10"/>
        <rFont val="Meiryo UI"/>
        <family val="0"/>
        <charset val="1"/>
      </rPr>
      <t xml:space="preserve">/</t>
    </r>
    <r>
      <rPr>
        <sz val="10"/>
        <rFont val="WenQuanYi Zen Hei"/>
        <family val="2"/>
      </rPr>
      <t xml:space="preserve">」形式の</t>
    </r>
    <r>
      <rPr>
        <sz val="10"/>
        <rFont val="Meiryo UI"/>
        <family val="0"/>
        <charset val="1"/>
      </rPr>
      <t xml:space="preserve">URL</t>
    </r>
    <r>
      <rPr>
        <sz val="10"/>
        <rFont val="WenQuanYi Zen Hei"/>
        <family val="2"/>
      </rPr>
      <t xml:space="preserve">が</t>
    </r>
    <r>
      <rPr>
        <sz val="10"/>
        <rFont val="Meiryo UI"/>
        <family val="0"/>
        <charset val="1"/>
      </rPr>
      <t xml:space="preserve">4</t>
    </r>
    <r>
      <rPr>
        <sz val="10"/>
        <rFont val="WenQuanYi Zen Hei"/>
        <family val="2"/>
      </rPr>
      <t xml:space="preserve">件、末尾に「</t>
    </r>
    <r>
      <rPr>
        <sz val="10"/>
        <rFont val="Meiryo UI"/>
        <family val="0"/>
        <charset val="1"/>
      </rPr>
      <t xml:space="preserve">]</t>
    </r>
    <r>
      <rPr>
        <sz val="10"/>
        <rFont val="WenQuanYi Zen Hei"/>
        <family val="2"/>
      </rPr>
      <t xml:space="preserve">」やスラッシュなしの</t>
    </r>
    <r>
      <rPr>
        <sz val="10"/>
        <rFont val="Meiryo UI"/>
        <family val="0"/>
        <charset val="1"/>
      </rPr>
      <t xml:space="preserve">URL</t>
    </r>
    <r>
      <rPr>
        <sz val="10"/>
        <rFont val="WenQuanYi Zen Hei"/>
        <family val="2"/>
      </rPr>
      <t xml:space="preserve">、</t>
    </r>
    <r>
      <rPr>
        <sz val="10"/>
        <rFont val="Meiryo UI"/>
        <family val="0"/>
        <charset val="1"/>
      </rPr>
      <t xml:space="preserve">www</t>
    </r>
    <r>
      <rPr>
        <sz val="10"/>
        <rFont val="WenQuanYi Zen Hei"/>
        <family val="2"/>
      </rPr>
      <t xml:space="preserve">付き</t>
    </r>
    <r>
      <rPr>
        <sz val="10"/>
        <rFont val="Meiryo UI"/>
        <family val="0"/>
        <charset val="1"/>
      </rPr>
      <t xml:space="preserve">URL</t>
    </r>
    <r>
      <rPr>
        <sz val="10"/>
        <rFont val="WenQuanYi Zen Hei"/>
        <family val="2"/>
      </rPr>
      <t xml:space="preserve">、タグ・カテゴリページがインデックス</t>
    </r>
  </si>
  <si>
    <r>
      <rPr>
        <sz val="10"/>
        <rFont val="WenQuanYi Zen Hei"/>
        <family val="2"/>
      </rPr>
      <t xml:space="preserve">表示は少ないが、クロールの無駄と内部リンクの評価漏れにつながる。壊れたリンクは読者にとっても</t>
    </r>
    <r>
      <rPr>
        <sz val="10"/>
        <rFont val="Meiryo UI"/>
        <family val="0"/>
        <charset val="1"/>
      </rPr>
      <t xml:space="preserve">404</t>
    </r>
  </si>
  <si>
    <r>
      <rPr>
        <sz val="10"/>
        <rFont val="WenQuanYi Zen Hei"/>
        <family val="2"/>
      </rPr>
      <t xml:space="preserve">リンク修正＋</t>
    </r>
    <r>
      <rPr>
        <sz val="10"/>
        <rFont val="Meiryo UI"/>
        <family val="0"/>
        <charset val="1"/>
      </rPr>
      <t xml:space="preserve">301</t>
    </r>
    <r>
      <rPr>
        <sz val="10"/>
        <rFont val="WenQuanYi Zen Hei"/>
        <family val="2"/>
      </rPr>
      <t xml:space="preserve">リダイレクト、タグ・カテゴリの</t>
    </r>
    <r>
      <rPr>
        <sz val="10"/>
        <rFont val="Meiryo UI"/>
        <family val="0"/>
        <charset val="1"/>
      </rPr>
      <t xml:space="preserve">noindex</t>
    </r>
  </si>
  <si>
    <r>
      <rPr>
        <sz val="10"/>
        <rFont val="Meiryo UI"/>
        <family val="0"/>
        <charset val="1"/>
      </rPr>
      <t xml:space="preserve">URL</t>
    </r>
    <r>
      <rPr>
        <sz val="10"/>
        <rFont val="WenQuanYi Zen Hei"/>
        <family val="2"/>
      </rPr>
      <t xml:space="preserve">・技術課題</t>
    </r>
  </si>
  <si>
    <r>
      <rPr>
        <sz val="10"/>
        <rFont val="WenQuanYi Zen Hei"/>
        <family val="2"/>
      </rPr>
      <t xml:space="preserve">順位に対して</t>
    </r>
    <r>
      <rPr>
        <sz val="10"/>
        <rFont val="Meiryo UI"/>
        <family val="0"/>
        <charset val="1"/>
      </rPr>
      <t xml:space="preserve">CTR</t>
    </r>
    <r>
      <rPr>
        <sz val="10"/>
        <rFont val="WenQuanYi Zen Hei"/>
        <family val="2"/>
      </rPr>
      <t xml:space="preserve">が低い記事・</t>
    </r>
    <r>
      <rPr>
        <sz val="10"/>
        <rFont val="Meiryo UI"/>
        <family val="0"/>
        <charset val="1"/>
      </rPr>
      <t xml:space="preserve">CTR</t>
    </r>
    <r>
      <rPr>
        <sz val="10"/>
        <rFont val="WenQuanYi Zen Hei"/>
        <family val="2"/>
      </rPr>
      <t xml:space="preserve">が落ちた記事</t>
    </r>
  </si>
  <si>
    <r>
      <rPr>
        <sz val="10"/>
        <rFont val="Meiryo UI"/>
        <family val="0"/>
        <charset val="1"/>
      </rPr>
      <t xml:space="preserve">AI</t>
    </r>
    <r>
      <rPr>
        <sz val="10"/>
        <rFont val="WenQuanYi Zen Hei"/>
        <family val="2"/>
      </rPr>
      <t xml:space="preserve">履歴書記事：</t>
    </r>
    <r>
      <rPr>
        <sz val="10"/>
        <rFont val="Meiryo UI"/>
        <family val="0"/>
        <charset val="1"/>
      </rPr>
      <t xml:space="preserve">7.5</t>
    </r>
    <r>
      <rPr>
        <sz val="10"/>
        <rFont val="WenQuanYi Zen Hei"/>
        <family val="2"/>
      </rPr>
      <t xml:space="preserve">位で</t>
    </r>
    <r>
      <rPr>
        <sz val="10"/>
        <rFont val="Meiryo UI"/>
        <family val="0"/>
        <charset val="1"/>
      </rPr>
      <t xml:space="preserve">CTR0.7%</t>
    </r>
    <r>
      <rPr>
        <sz val="10"/>
        <rFont val="WenQuanYi Zen Hei"/>
        <family val="2"/>
      </rPr>
      <t xml:space="preserve">（同順位帯の標準は約</t>
    </r>
    <r>
      <rPr>
        <sz val="10"/>
        <rFont val="Meiryo UI"/>
        <family val="0"/>
        <charset val="1"/>
      </rPr>
      <t xml:space="preserve">3.5%</t>
    </r>
    <r>
      <rPr>
        <sz val="10"/>
        <rFont val="WenQuanYi Zen Hei"/>
        <family val="2"/>
      </rPr>
      <t xml:space="preserve">）。内定即出し記事：順位</t>
    </r>
    <r>
      <rPr>
        <sz val="10"/>
        <rFont val="Meiryo UI"/>
        <family val="0"/>
        <charset val="1"/>
      </rPr>
      <t xml:space="preserve">6.4→6.0</t>
    </r>
    <r>
      <rPr>
        <sz val="10"/>
        <rFont val="WenQuanYi Zen Hei"/>
        <family val="2"/>
      </rPr>
      <t xml:space="preserve">なのに</t>
    </r>
    <r>
      <rPr>
        <sz val="10"/>
        <rFont val="Meiryo UI"/>
        <family val="0"/>
        <charset val="1"/>
      </rPr>
      <t xml:space="preserve">CTR3.9%→2.3%</t>
    </r>
    <r>
      <rPr>
        <sz val="10"/>
        <rFont val="WenQuanYi Zen Hei"/>
        <family val="2"/>
      </rPr>
      <t xml:space="preserve">でクリック半減。「社名変更 やばい」は</t>
    </r>
    <r>
      <rPr>
        <sz val="10"/>
        <rFont val="Meiryo UI"/>
        <family val="0"/>
        <charset val="1"/>
      </rPr>
      <t xml:space="preserve">2</t>
    </r>
    <r>
      <rPr>
        <sz val="10"/>
        <rFont val="WenQuanYi Zen Hei"/>
        <family val="2"/>
      </rPr>
      <t xml:space="preserve">位で</t>
    </r>
    <r>
      <rPr>
        <sz val="10"/>
        <rFont val="Meiryo UI"/>
        <family val="0"/>
        <charset val="1"/>
      </rPr>
      <t xml:space="preserve">CTR2%</t>
    </r>
  </si>
  <si>
    <r>
      <rPr>
        <sz val="10"/>
        <rFont val="WenQuanYi Zen Hei"/>
        <family val="2"/>
      </rPr>
      <t xml:space="preserve">タイトルが検索意図に即答していない、または検索結果の見え方（競合・</t>
    </r>
    <r>
      <rPr>
        <sz val="10"/>
        <rFont val="Meiryo UI"/>
        <family val="0"/>
        <charset val="1"/>
      </rPr>
      <t xml:space="preserve">AI</t>
    </r>
    <r>
      <rPr>
        <sz val="10"/>
        <rFont val="WenQuanYi Zen Hei"/>
        <family val="2"/>
      </rPr>
      <t xml:space="preserve">の概要表示）が変化</t>
    </r>
  </si>
  <si>
    <r>
      <rPr>
        <sz val="10"/>
        <rFont val="WenQuanYi Zen Hei"/>
        <family val="2"/>
      </rPr>
      <t xml:space="preserve">タイトル・説明文で答えを言い切る。</t>
    </r>
    <r>
      <rPr>
        <sz val="10"/>
        <rFont val="Meiryo UI"/>
        <family val="0"/>
        <charset val="1"/>
      </rPr>
      <t xml:space="preserve">CTR</t>
    </r>
    <r>
      <rPr>
        <sz val="10"/>
        <rFont val="WenQuanYi Zen Hei"/>
        <family val="2"/>
      </rPr>
      <t xml:space="preserve">が落ちた記事は検索結果を目視確認</t>
    </r>
  </si>
  <si>
    <r>
      <rPr>
        <sz val="10"/>
        <rFont val="WenQuanYi Zen Hei"/>
        <family val="2"/>
      </rPr>
      <t xml:space="preserve">全記事</t>
    </r>
    <r>
      <rPr>
        <sz val="10"/>
        <rFont val="Meiryo UI"/>
        <family val="0"/>
        <charset val="1"/>
      </rPr>
      <t xml:space="preserve">_</t>
    </r>
    <r>
      <rPr>
        <sz val="10"/>
        <rFont val="WenQuanYi Zen Hei"/>
        <family val="2"/>
      </rPr>
      <t xml:space="preserve">修正点（優先</t>
    </r>
    <r>
      <rPr>
        <sz val="10"/>
        <rFont val="Meiryo UI"/>
        <family val="0"/>
        <charset val="1"/>
      </rPr>
      <t xml:space="preserve">7</t>
    </r>
    <r>
      <rPr>
        <sz val="10"/>
        <rFont val="WenQuanYi Zen Hei"/>
        <family val="2"/>
      </rPr>
      <t xml:space="preserve">・</t>
    </r>
    <r>
      <rPr>
        <sz val="10"/>
        <rFont val="Meiryo UI"/>
        <family val="0"/>
        <charset val="1"/>
      </rPr>
      <t xml:space="preserve">8</t>
    </r>
    <r>
      <rPr>
        <sz val="10"/>
        <rFont val="WenQuanYi Zen Hei"/>
        <family val="2"/>
      </rPr>
      <t xml:space="preserve">）</t>
    </r>
  </si>
  <si>
    <t xml:space="preserve">クエリ別の機会</t>
  </si>
  <si>
    <t xml:space="preserve">担当記事（推定）は記事マスタのパターンで割り当て。複数ある場合は改行で併記</t>
  </si>
  <si>
    <r>
      <rPr>
        <b val="true"/>
        <sz val="12"/>
        <color rgb="FF1F3864"/>
        <rFont val="Meiryo UI"/>
        <family val="0"/>
        <charset val="1"/>
      </rPr>
      <t xml:space="preserve">1. </t>
    </r>
    <r>
      <rPr>
        <b val="true"/>
        <sz val="12"/>
        <color rgb="FF1F3864"/>
        <rFont val="WenQuanYi Zen Hei"/>
        <family val="2"/>
      </rPr>
      <t xml:space="preserve">あと一歩のクエリ（過去</t>
    </r>
    <r>
      <rPr>
        <b val="true"/>
        <sz val="12"/>
        <color rgb="FF1F3864"/>
        <rFont val="Meiryo UI"/>
        <family val="0"/>
        <charset val="1"/>
      </rPr>
      <t xml:space="preserve">3</t>
    </r>
    <r>
      <rPr>
        <b val="true"/>
        <sz val="12"/>
        <color rgb="FF1F3864"/>
        <rFont val="WenQuanYi Zen Hei"/>
        <family val="2"/>
      </rPr>
      <t xml:space="preserve">か月・平均</t>
    </r>
    <r>
      <rPr>
        <b val="true"/>
        <sz val="12"/>
        <color rgb="FF1F3864"/>
        <rFont val="Meiryo UI"/>
        <family val="0"/>
        <charset val="1"/>
      </rPr>
      <t xml:space="preserve">4</t>
    </r>
    <r>
      <rPr>
        <b val="true"/>
        <sz val="12"/>
        <color rgb="FF1F3864"/>
        <rFont val="WenQuanYi Zen Hei"/>
        <family val="2"/>
      </rPr>
      <t xml:space="preserve">〜</t>
    </r>
    <r>
      <rPr>
        <b val="true"/>
        <sz val="12"/>
        <color rgb="FF1F3864"/>
        <rFont val="Meiryo UI"/>
        <family val="0"/>
        <charset val="1"/>
      </rPr>
      <t xml:space="preserve">20</t>
    </r>
    <r>
      <rPr>
        <b val="true"/>
        <sz val="12"/>
        <color rgb="FF1F3864"/>
        <rFont val="WenQuanYi Zen Hei"/>
        <family val="2"/>
      </rPr>
      <t xml:space="preserve">位・表示</t>
    </r>
    <r>
      <rPr>
        <b val="true"/>
        <sz val="12"/>
        <color rgb="FF1F3864"/>
        <rFont val="Meiryo UI"/>
        <family val="0"/>
        <charset val="1"/>
      </rPr>
      <t xml:space="preserve">100</t>
    </r>
    <r>
      <rPr>
        <b val="true"/>
        <sz val="12"/>
        <color rgb="FF1F3864"/>
        <rFont val="WenQuanYi Zen Hei"/>
        <family val="2"/>
      </rPr>
      <t xml:space="preserve">回以上、</t>
    </r>
    <r>
      <rPr>
        <b val="true"/>
        <sz val="12"/>
        <color rgb="FF1F3864"/>
        <rFont val="Meiryo UI"/>
        <family val="0"/>
        <charset val="1"/>
      </rPr>
      <t xml:space="preserve">3</t>
    </r>
    <r>
      <rPr>
        <b val="true"/>
        <sz val="12"/>
        <color rgb="FF1F3864"/>
        <rFont val="WenQuanYi Zen Hei"/>
        <family val="2"/>
      </rPr>
      <t xml:space="preserve">位相当の</t>
    </r>
    <r>
      <rPr>
        <b val="true"/>
        <sz val="12"/>
        <color rgb="FF1F3864"/>
        <rFont val="Meiryo UI"/>
        <family val="0"/>
        <charset val="1"/>
      </rPr>
      <t xml:space="preserve">CTR 7.2%</t>
    </r>
    <r>
      <rPr>
        <b val="true"/>
        <sz val="12"/>
        <color rgb="FF1F3864"/>
        <rFont val="WenQuanYi Zen Hei"/>
        <family val="2"/>
      </rPr>
      <t xml:space="preserve">に届いた場合の追加クリック順）</t>
    </r>
  </si>
  <si>
    <r>
      <rPr>
        <b val="true"/>
        <sz val="10"/>
        <color rgb="FFFFFFFF"/>
        <rFont val="WenQuanYi Zen Hei"/>
        <family val="2"/>
      </rPr>
      <t xml:space="preserve">見込み増（クリック</t>
    </r>
    <r>
      <rPr>
        <b val="true"/>
        <sz val="10"/>
        <color rgb="FFFFFFFF"/>
        <rFont val="Meiryo UI"/>
        <family val="0"/>
        <charset val="1"/>
      </rPr>
      <t xml:space="preserve">/3</t>
    </r>
    <r>
      <rPr>
        <b val="true"/>
        <sz val="10"/>
        <color rgb="FFFFFFFF"/>
        <rFont val="WenQuanYi Zen Hei"/>
        <family val="2"/>
      </rPr>
      <t xml:space="preserve">か月）</t>
    </r>
  </si>
  <si>
    <t xml:space="preserve">担当記事（推定）</t>
  </si>
  <si>
    <t xml:space="preserve">応用情報技術者試験 なくなる</t>
  </si>
  <si>
    <t xml:space="preserve">オープンワーク 登録 ばれる</t>
  </si>
  <si>
    <t xml:space="preserve">ネットワークスペシャリスト 廃止</t>
  </si>
  <si>
    <t xml:space="preserve">転職会議 口コミ 見る方法</t>
  </si>
  <si>
    <r>
      <rPr>
        <sz val="10"/>
        <rFont val="WenQuanYi Zen Hei"/>
        <family val="2"/>
      </rPr>
      <t xml:space="preserve">履歴書 </t>
    </r>
    <r>
      <rPr>
        <sz val="10"/>
        <rFont val="Meiryo UI"/>
        <family val="0"/>
        <charset val="1"/>
      </rPr>
      <t xml:space="preserve">ai </t>
    </r>
    <r>
      <rPr>
        <sz val="10"/>
        <rFont val="WenQuanYi Zen Hei"/>
        <family val="2"/>
      </rPr>
      <t xml:space="preserve">バレる</t>
    </r>
  </si>
  <si>
    <t xml:space="preserve">ネスペ なくなる</t>
  </si>
  <si>
    <t xml:space="preserve">転職会議 危ない</t>
  </si>
  <si>
    <t xml:space="preserve">転職会議 退会</t>
  </si>
  <si>
    <r>
      <rPr>
        <sz val="10"/>
        <rFont val="Meiryo UI"/>
        <family val="0"/>
        <charset val="1"/>
      </rPr>
      <t xml:space="preserve">ntt</t>
    </r>
    <r>
      <rPr>
        <sz val="10"/>
        <rFont val="WenQuanYi Zen Hei"/>
        <family val="2"/>
      </rPr>
      <t xml:space="preserve">データ中途採用 厳しい</t>
    </r>
  </si>
  <si>
    <t xml:space="preserve">転職会議 評判</t>
  </si>
  <si>
    <t xml:space="preserve">アット ホーム な職場 やばい</t>
  </si>
  <si>
    <t xml:space="preserve">富士通 年収</t>
  </si>
  <si>
    <t xml:space="preserve">応用情報 なくなる</t>
  </si>
  <si>
    <r>
      <rPr>
        <sz val="10"/>
        <rFont val="Meiryo UI"/>
        <family val="0"/>
        <charset val="1"/>
      </rPr>
      <t xml:space="preserve">openwork </t>
    </r>
    <r>
      <rPr>
        <sz val="10"/>
        <rFont val="WenQuanYi Zen Hei"/>
        <family val="2"/>
      </rPr>
      <t xml:space="preserve">バレる</t>
    </r>
  </si>
  <si>
    <r>
      <rPr>
        <sz val="10"/>
        <rFont val="WenQuanYi Zen Hei"/>
        <family val="2"/>
      </rPr>
      <t xml:space="preserve">職務経歴書 </t>
    </r>
    <r>
      <rPr>
        <sz val="10"/>
        <rFont val="Meiryo UI"/>
        <family val="0"/>
        <charset val="1"/>
      </rPr>
      <t xml:space="preserve">ai </t>
    </r>
    <r>
      <rPr>
        <sz val="10"/>
        <rFont val="WenQuanYi Zen Hei"/>
        <family val="2"/>
      </rPr>
      <t xml:space="preserve">バレる</t>
    </r>
  </si>
  <si>
    <t xml:space="preserve">転職会議 解約</t>
  </si>
  <si>
    <t xml:space="preserve">オープンワーク 口コミ</t>
  </si>
  <si>
    <t xml:space="preserve">転職会議 登録 ばれる</t>
  </si>
  <si>
    <r>
      <rPr>
        <sz val="10"/>
        <rFont val="Meiryo UI"/>
        <family val="0"/>
        <charset val="1"/>
      </rPr>
      <t xml:space="preserve">nec ai </t>
    </r>
    <r>
      <rPr>
        <sz val="10"/>
        <rFont val="WenQuanYi Zen Hei"/>
        <family val="2"/>
      </rPr>
      <t xml:space="preserve">部署</t>
    </r>
  </si>
  <si>
    <t xml:space="preserve">日立ビルシステム 勝ち組</t>
  </si>
  <si>
    <t xml:space="preserve">応用情報技術者試験 いつまで</t>
  </si>
  <si>
    <t xml:space="preserve">アットホームな職場です</t>
  </si>
  <si>
    <t xml:space="preserve">転職会議 登録</t>
  </si>
  <si>
    <t xml:space="preserve">転職会議 裏ワザ</t>
  </si>
  <si>
    <t xml:space="preserve">応用情報 いつ</t>
  </si>
  <si>
    <r>
      <rPr>
        <sz val="10"/>
        <rFont val="Meiryo UI"/>
        <family val="0"/>
        <charset val="1"/>
      </rPr>
      <t xml:space="preserve">openwork </t>
    </r>
    <r>
      <rPr>
        <sz val="10"/>
        <rFont val="WenQuanYi Zen Hei"/>
        <family val="2"/>
      </rPr>
      <t xml:space="preserve">口コミ 見るには 学生</t>
    </r>
  </si>
  <si>
    <t xml:space="preserve">オープンワーク 登録 バレる</t>
  </si>
  <si>
    <r>
      <rPr>
        <sz val="10"/>
        <rFont val="Meiryo UI"/>
        <family val="0"/>
        <charset val="1"/>
      </rPr>
      <t xml:space="preserve">ntt</t>
    </r>
    <r>
      <rPr>
        <sz val="10"/>
        <rFont val="WenQuanYi Zen Hei"/>
        <family val="2"/>
      </rPr>
      <t xml:space="preserve">データ 中途採用 厳しい</t>
    </r>
  </si>
  <si>
    <t xml:space="preserve">アット ホーム 会社 やばい</t>
  </si>
  <si>
    <t xml:space="preserve">応用情報技術者試験 なくなる いつ</t>
  </si>
  <si>
    <t xml:space="preserve">オープンワーク 口コミ バレる</t>
  </si>
  <si>
    <t xml:space="preserve">転職会議 口コミ</t>
  </si>
  <si>
    <r>
      <rPr>
        <sz val="10"/>
        <rFont val="Meiryo UI"/>
        <family val="0"/>
        <charset val="1"/>
      </rPr>
      <t xml:space="preserve">aws sap </t>
    </r>
    <r>
      <rPr>
        <sz val="10"/>
        <rFont val="WenQuanYi Zen Hei"/>
        <family val="2"/>
      </rPr>
      <t xml:space="preserve">年収</t>
    </r>
  </si>
  <si>
    <t xml:space="preserve">オープンワーク あてに ならない</t>
  </si>
  <si>
    <r>
      <rPr>
        <sz val="10"/>
        <rFont val="Meiryo UI"/>
        <family val="0"/>
        <charset val="1"/>
      </rPr>
      <t xml:space="preserve">openwork </t>
    </r>
    <r>
      <rPr>
        <sz val="10"/>
        <rFont val="WenQuanYi Zen Hei"/>
        <family val="2"/>
      </rPr>
      <t xml:space="preserve">口コミ 見るには学生</t>
    </r>
  </si>
  <si>
    <t xml:space="preserve">即日内定 やばい</t>
  </si>
  <si>
    <t xml:space="preserve">大量採用</t>
  </si>
  <si>
    <t xml:space="preserve">ギークリー 勝手 に 応募</t>
  </si>
  <si>
    <r>
      <rPr>
        <b val="true"/>
        <sz val="12"/>
        <color rgb="FF1F3864"/>
        <rFont val="Meiryo UI"/>
        <family val="0"/>
        <charset val="1"/>
      </rPr>
      <t xml:space="preserve">2. </t>
    </r>
    <r>
      <rPr>
        <b val="true"/>
        <sz val="12"/>
        <color rgb="FF1F3864"/>
        <rFont val="WenQuanYi Zen Hei"/>
        <family val="2"/>
      </rPr>
      <t xml:space="preserve">直近</t>
    </r>
    <r>
      <rPr>
        <b val="true"/>
        <sz val="12"/>
        <color rgb="FF1F3864"/>
        <rFont val="Meiryo UI"/>
        <family val="0"/>
        <charset val="1"/>
      </rPr>
      <t xml:space="preserve">28</t>
    </r>
    <r>
      <rPr>
        <b val="true"/>
        <sz val="12"/>
        <color rgb="FF1F3864"/>
        <rFont val="WenQuanYi Zen Hei"/>
        <family val="2"/>
      </rPr>
      <t xml:space="preserve">日で急伸・新規出現したクエリ（需要の変化。表示</t>
    </r>
    <r>
      <rPr>
        <b val="true"/>
        <sz val="12"/>
        <color rgb="FF1F3864"/>
        <rFont val="Meiryo UI"/>
        <family val="0"/>
        <charset val="1"/>
      </rPr>
      <t xml:space="preserve">/</t>
    </r>
    <r>
      <rPr>
        <b val="true"/>
        <sz val="12"/>
        <color rgb="FF1F3864"/>
        <rFont val="WenQuanYi Zen Hei"/>
        <family val="2"/>
      </rPr>
      <t xml:space="preserve">日で比較）</t>
    </r>
  </si>
  <si>
    <r>
      <rPr>
        <b val="true"/>
        <sz val="10"/>
        <color rgb="FFFFFFFF"/>
        <rFont val="WenQuanYi Zen Hei"/>
        <family val="2"/>
      </rPr>
      <t xml:space="preserve">表示</t>
    </r>
    <r>
      <rPr>
        <b val="true"/>
        <sz val="10"/>
        <color rgb="FFFFFFFF"/>
        <rFont val="Meiryo UI"/>
        <family val="0"/>
        <charset val="1"/>
      </rPr>
      <t xml:space="preserve">/</t>
    </r>
    <r>
      <rPr>
        <b val="true"/>
        <sz val="10"/>
        <color rgb="FFFFFFFF"/>
        <rFont val="WenQuanYi Zen Hei"/>
        <family val="2"/>
      </rPr>
      <t xml:space="preserve">日（以前）</t>
    </r>
  </si>
  <si>
    <r>
      <rPr>
        <b val="true"/>
        <sz val="10"/>
        <color rgb="FFFFFFFF"/>
        <rFont val="WenQuanYi Zen Hei"/>
        <family val="2"/>
      </rPr>
      <t xml:space="preserve">表示</t>
    </r>
    <r>
      <rPr>
        <b val="true"/>
        <sz val="10"/>
        <color rgb="FFFFFFFF"/>
        <rFont val="Meiryo UI"/>
        <family val="0"/>
        <charset val="1"/>
      </rPr>
      <t xml:space="preserve">/</t>
    </r>
    <r>
      <rPr>
        <b val="true"/>
        <sz val="10"/>
        <color rgb="FFFFFFFF"/>
        <rFont val="WenQuanYi Zen Hei"/>
        <family val="2"/>
      </rPr>
      <t xml:space="preserve">日（</t>
    </r>
    <r>
      <rPr>
        <b val="true"/>
        <sz val="10"/>
        <color rgb="FFFFFFFF"/>
        <rFont val="Meiryo UI"/>
        <family val="0"/>
        <charset val="1"/>
      </rPr>
      <t xml:space="preserve">7</t>
    </r>
    <r>
      <rPr>
        <b val="true"/>
        <sz val="10"/>
        <color rgb="FFFFFFFF"/>
        <rFont val="WenQuanYi Zen Hei"/>
        <family val="2"/>
      </rPr>
      <t xml:space="preserve">日）</t>
    </r>
  </si>
  <si>
    <r>
      <rPr>
        <b val="true"/>
        <sz val="10"/>
        <color rgb="FFFFFFFF"/>
        <rFont val="WenQuanYi Zen Hei"/>
        <family val="2"/>
      </rPr>
      <t xml:space="preserve">クリック（</t>
    </r>
    <r>
      <rPr>
        <b val="true"/>
        <sz val="10"/>
        <color rgb="FFFFFFFF"/>
        <rFont val="Meiryo UI"/>
        <family val="0"/>
        <charset val="1"/>
      </rPr>
      <t xml:space="preserve">28</t>
    </r>
    <r>
      <rPr>
        <b val="true"/>
        <sz val="10"/>
        <color rgb="FFFFFFFF"/>
        <rFont val="WenQuanYi Zen Hei"/>
        <family val="2"/>
      </rPr>
      <t xml:space="preserve">日）</t>
    </r>
  </si>
  <si>
    <t xml:space="preserve">応用情報技術者試験</t>
  </si>
  <si>
    <t xml:space="preserve">応用情報 いつまで</t>
  </si>
  <si>
    <t xml:space="preserve">リクルートエージェント 求人ポストとは</t>
  </si>
  <si>
    <r>
      <rPr>
        <sz val="10"/>
        <rFont val="WenQuanYi Zen Hei"/>
        <family val="2"/>
      </rPr>
      <t xml:space="preserve">応用情報技術者試験 </t>
    </r>
    <r>
      <rPr>
        <sz val="10"/>
        <rFont val="Meiryo UI"/>
        <family val="0"/>
        <charset val="1"/>
      </rPr>
      <t xml:space="preserve">2027</t>
    </r>
  </si>
  <si>
    <t xml:space="preserve">応用情報技術者 なくなる</t>
  </si>
  <si>
    <t xml:space="preserve">応用情報 後期</t>
  </si>
  <si>
    <r>
      <rPr>
        <sz val="10"/>
        <rFont val="WenQuanYi Zen Hei"/>
        <family val="2"/>
      </rPr>
      <t xml:space="preserve">富士通 </t>
    </r>
    <r>
      <rPr>
        <sz val="10"/>
        <rFont val="Meiryo UI"/>
        <family val="0"/>
        <charset val="1"/>
      </rPr>
      <t xml:space="preserve">40</t>
    </r>
    <r>
      <rPr>
        <sz val="10"/>
        <rFont val="WenQuanYi Zen Hei"/>
        <family val="2"/>
      </rPr>
      <t xml:space="preserve">歳年収</t>
    </r>
  </si>
  <si>
    <r>
      <rPr>
        <sz val="10"/>
        <rFont val="WenQuanYi Zen Hei"/>
        <family val="2"/>
      </rPr>
      <t xml:space="preserve">応用情報技術者試験 申し込み </t>
    </r>
    <r>
      <rPr>
        <sz val="10"/>
        <rFont val="Meiryo UI"/>
        <family val="0"/>
        <charset val="1"/>
      </rPr>
      <t xml:space="preserve">2027</t>
    </r>
  </si>
  <si>
    <t xml:space="preserve">転職会議 ログイン</t>
  </si>
  <si>
    <t xml:space="preserve">富士通 マネージャー 年収</t>
  </si>
  <si>
    <t xml:space="preserve">転職会議 口コミ バレる</t>
  </si>
  <si>
    <t xml:space="preserve">ネットワークスペシャリスト</t>
  </si>
  <si>
    <t xml:space="preserve">応用情報 後期試験</t>
  </si>
  <si>
    <r>
      <rPr>
        <sz val="10"/>
        <rFont val="Meiryo UI"/>
        <family val="0"/>
        <charset val="1"/>
      </rPr>
      <t xml:space="preserve">ai</t>
    </r>
    <r>
      <rPr>
        <sz val="10"/>
        <rFont val="WenQuanYi Zen Hei"/>
        <family val="2"/>
      </rPr>
      <t xml:space="preserve">部署</t>
    </r>
  </si>
  <si>
    <t xml:space="preserve">アサイン エージェント</t>
  </si>
  <si>
    <t xml:space="preserve">富士通 部長 年収</t>
  </si>
  <si>
    <r>
      <rPr>
        <sz val="10"/>
        <rFont val="Meiryo UI"/>
        <family val="0"/>
        <charset val="1"/>
      </rPr>
      <t xml:space="preserve">type</t>
    </r>
    <r>
      <rPr>
        <sz val="10"/>
        <rFont val="WenQuanYi Zen Hei"/>
        <family val="2"/>
      </rPr>
      <t xml:space="preserve">転職エージェント 評判</t>
    </r>
  </si>
  <si>
    <r>
      <rPr>
        <b val="true"/>
        <sz val="12"/>
        <color rgb="FF1F3864"/>
        <rFont val="Meiryo UI"/>
        <family val="0"/>
        <charset val="1"/>
      </rPr>
      <t xml:space="preserve">3. </t>
    </r>
    <r>
      <rPr>
        <b val="true"/>
        <sz val="12"/>
        <color rgb="FF1F3864"/>
        <rFont val="WenQuanYi Zen Hei"/>
        <family val="2"/>
      </rPr>
      <t xml:space="preserve">表示されているがクリック</t>
    </r>
    <r>
      <rPr>
        <b val="true"/>
        <sz val="12"/>
        <color rgb="FF1F3864"/>
        <rFont val="Meiryo UI"/>
        <family val="0"/>
        <charset val="1"/>
      </rPr>
      <t xml:space="preserve">0</t>
    </r>
    <r>
      <rPr>
        <b val="true"/>
        <sz val="12"/>
        <color rgb="FF1F3864"/>
        <rFont val="WenQuanYi Zen Hei"/>
        <family val="2"/>
      </rPr>
      <t xml:space="preserve">のクエリ（過去</t>
    </r>
    <r>
      <rPr>
        <b val="true"/>
        <sz val="12"/>
        <color rgb="FF1F3864"/>
        <rFont val="Meiryo UI"/>
        <family val="0"/>
        <charset val="1"/>
      </rPr>
      <t xml:space="preserve">3</t>
    </r>
    <r>
      <rPr>
        <b val="true"/>
        <sz val="12"/>
        <color rgb="FF1F3864"/>
        <rFont val="WenQuanYi Zen Hei"/>
        <family val="2"/>
      </rPr>
      <t xml:space="preserve">か月・表示上位</t>
    </r>
    <r>
      <rPr>
        <b val="true"/>
        <sz val="12"/>
        <color rgb="FF1F3864"/>
        <rFont val="Meiryo UI"/>
        <family val="0"/>
        <charset val="1"/>
      </rPr>
      <t xml:space="preserve">30</t>
    </r>
    <r>
      <rPr>
        <b val="true"/>
        <sz val="12"/>
        <color rgb="FF1F3864"/>
        <rFont val="WenQuanYi Zen Hei"/>
        <family val="2"/>
      </rPr>
      <t xml:space="preserve">。検索意図とのズレを確認）</t>
    </r>
  </si>
  <si>
    <t xml:space="preserve">書類選考 落ちる 中途</t>
  </si>
  <si>
    <t xml:space="preserve">レバテックキャリア 評判</t>
  </si>
  <si>
    <t xml:space="preserve">転職会議事務局</t>
  </si>
  <si>
    <t xml:space="preserve">転職サイト 直接応募 どっち</t>
  </si>
  <si>
    <t xml:space="preserve">転職 幹部候補募集</t>
  </si>
  <si>
    <r>
      <rPr>
        <sz val="10"/>
        <rFont val="Meiryo UI"/>
        <family val="0"/>
        <charset val="1"/>
      </rPr>
      <t xml:space="preserve">openwork web</t>
    </r>
    <r>
      <rPr>
        <sz val="10"/>
        <rFont val="WenQuanYi Zen Hei"/>
        <family val="2"/>
      </rPr>
      <t xml:space="preserve">履歴書 バレる</t>
    </r>
  </si>
  <si>
    <t xml:space="preserve">求人 幹部候補募集</t>
  </si>
  <si>
    <t xml:space="preserve">求人票 ポイント</t>
  </si>
  <si>
    <t xml:space="preserve">アットホームな職場</t>
  </si>
  <si>
    <t xml:space="preserve">転職会議 メリット</t>
  </si>
  <si>
    <r>
      <rPr>
        <sz val="10"/>
        <rFont val="WenQuanYi Zen Hei"/>
        <family val="2"/>
      </rPr>
      <t xml:space="preserve">職務経歴書 </t>
    </r>
    <r>
      <rPr>
        <sz val="10"/>
        <rFont val="Meiryo UI"/>
        <family val="0"/>
        <charset val="1"/>
      </rPr>
      <t xml:space="preserve">chatgpt </t>
    </r>
    <r>
      <rPr>
        <sz val="10"/>
        <rFont val="WenQuanYi Zen Hei"/>
        <family val="2"/>
      </rPr>
      <t xml:space="preserve">バレる</t>
    </r>
  </si>
  <si>
    <t xml:space="preserve">転職エージェント 直接応募</t>
  </si>
  <si>
    <r>
      <rPr>
        <sz val="10"/>
        <rFont val="Meiryo UI"/>
        <family val="0"/>
        <charset val="1"/>
      </rPr>
      <t xml:space="preserve">aws </t>
    </r>
    <r>
      <rPr>
        <sz val="10"/>
        <rFont val="WenQuanYi Zen Hei"/>
        <family val="2"/>
      </rPr>
      <t xml:space="preserve">資格 年収</t>
    </r>
  </si>
  <si>
    <t xml:space="preserve">転職エージェント 直接応募 併用</t>
  </si>
  <si>
    <r>
      <rPr>
        <sz val="10"/>
        <rFont val="Meiryo UI"/>
        <family val="0"/>
        <charset val="1"/>
      </rPr>
      <t xml:space="preserve">aws saa </t>
    </r>
    <r>
      <rPr>
        <sz val="10"/>
        <rFont val="WenQuanYi Zen Hei"/>
        <family val="2"/>
      </rPr>
      <t xml:space="preserve">難しい</t>
    </r>
  </si>
  <si>
    <t xml:space="preserve">転職エージェント 直接応募 どっち</t>
  </si>
  <si>
    <t xml:space="preserve">転職会議 使い方</t>
  </si>
  <si>
    <r>
      <rPr>
        <sz val="10"/>
        <rFont val="Meiryo UI"/>
        <family val="0"/>
        <charset val="1"/>
      </rPr>
      <t xml:space="preserve">openwork </t>
    </r>
    <r>
      <rPr>
        <sz val="10"/>
        <rFont val="WenQuanYi Zen Hei"/>
        <family val="2"/>
      </rPr>
      <t xml:space="preserve">口コミ ばれる</t>
    </r>
  </si>
  <si>
    <r>
      <rPr>
        <sz val="10"/>
        <rFont val="Meiryo UI"/>
        <family val="0"/>
        <charset val="1"/>
      </rPr>
      <t xml:space="preserve">nec ai </t>
    </r>
    <r>
      <rPr>
        <sz val="10"/>
        <rFont val="WenQuanYi Zen Hei"/>
        <family val="2"/>
      </rPr>
      <t xml:space="preserve">組織</t>
    </r>
  </si>
  <si>
    <r>
      <rPr>
        <sz val="10"/>
        <rFont val="WenQuanYi Zen Hei"/>
        <family val="2"/>
      </rPr>
      <t xml:space="preserve">日本</t>
    </r>
    <r>
      <rPr>
        <sz val="10"/>
        <rFont val="Meiryo UI"/>
        <family val="0"/>
        <charset val="1"/>
      </rPr>
      <t xml:space="preserve">ibm </t>
    </r>
    <r>
      <rPr>
        <sz val="10"/>
        <rFont val="WenQuanYi Zen Hei"/>
        <family val="2"/>
      </rPr>
      <t xml:space="preserve">やばい</t>
    </r>
  </si>
  <si>
    <t xml:space="preserve">週次推移・デバイス別</t>
  </si>
  <si>
    <t xml:space="preserve">週次推移（月曜始まり。最終週は日数が少ない）</t>
  </si>
  <si>
    <t xml:space="preserve">週の開始日</t>
  </si>
  <si>
    <t xml:space="preserve">2026/07/07</t>
  </si>
  <si>
    <t xml:space="preserve">2026/07/14</t>
  </si>
  <si>
    <t xml:space="preserve">2026/07/21</t>
  </si>
  <si>
    <t xml:space="preserve">2026/07/28</t>
  </si>
  <si>
    <t xml:space="preserve">2026/08/04</t>
  </si>
  <si>
    <t xml:space="preserve">2026/08/11</t>
  </si>
  <si>
    <t xml:space="preserve">2026/08/18</t>
  </si>
  <si>
    <t xml:space="preserve">2026/08/25</t>
  </si>
  <si>
    <t xml:space="preserve">2026/09/01</t>
  </si>
  <si>
    <t xml:space="preserve">2026/09/08</t>
  </si>
  <si>
    <t xml:space="preserve">2026/09/15</t>
  </si>
  <si>
    <t xml:space="preserve">2026/09/22</t>
  </si>
  <si>
    <t xml:space="preserve">2026/09/29</t>
  </si>
  <si>
    <t xml:space="preserve">2026/10/06</t>
  </si>
  <si>
    <t xml:space="preserve">デバイス別</t>
  </si>
  <si>
    <t xml:space="preserve">期間・デバイス</t>
  </si>
  <si>
    <r>
      <rPr>
        <sz val="10"/>
        <rFont val="WenQuanYi Zen Hei"/>
        <family val="2"/>
      </rPr>
      <t xml:space="preserve">過去</t>
    </r>
    <r>
      <rPr>
        <sz val="10"/>
        <rFont val="Meiryo UI"/>
        <family val="0"/>
        <charset val="1"/>
      </rPr>
      <t xml:space="preserve">28</t>
    </r>
    <r>
      <rPr>
        <sz val="10"/>
        <rFont val="WenQuanYi Zen Hei"/>
        <family val="2"/>
      </rPr>
      <t xml:space="preserve">日・モバイル</t>
    </r>
  </si>
  <si>
    <r>
      <rPr>
        <sz val="10"/>
        <rFont val="WenQuanYi Zen Hei"/>
        <family val="2"/>
      </rPr>
      <t xml:space="preserve">過去</t>
    </r>
    <r>
      <rPr>
        <sz val="10"/>
        <rFont val="Meiryo UI"/>
        <family val="0"/>
        <charset val="1"/>
      </rPr>
      <t xml:space="preserve">28</t>
    </r>
    <r>
      <rPr>
        <sz val="10"/>
        <rFont val="WenQuanYi Zen Hei"/>
        <family val="2"/>
      </rPr>
      <t xml:space="preserve">日・</t>
    </r>
    <r>
      <rPr>
        <sz val="10"/>
        <rFont val="Meiryo UI"/>
        <family val="0"/>
        <charset val="1"/>
      </rPr>
      <t xml:space="preserve">PC</t>
    </r>
  </si>
  <si>
    <r>
      <rPr>
        <sz val="10"/>
        <rFont val="WenQuanYi Zen Hei"/>
        <family val="2"/>
      </rPr>
      <t xml:space="preserve">過去</t>
    </r>
    <r>
      <rPr>
        <sz val="10"/>
        <rFont val="Meiryo UI"/>
        <family val="0"/>
        <charset val="1"/>
      </rPr>
      <t xml:space="preserve">28</t>
    </r>
    <r>
      <rPr>
        <sz val="10"/>
        <rFont val="WenQuanYi Zen Hei"/>
        <family val="2"/>
      </rPr>
      <t xml:space="preserve">日・タブレット</t>
    </r>
  </si>
  <si>
    <r>
      <rPr>
        <sz val="10"/>
        <rFont val="WenQuanYi Zen Hei"/>
        <family val="2"/>
      </rPr>
      <t xml:space="preserve">過去</t>
    </r>
    <r>
      <rPr>
        <sz val="10"/>
        <rFont val="Meiryo UI"/>
        <family val="0"/>
        <charset val="1"/>
      </rPr>
      <t xml:space="preserve">3</t>
    </r>
    <r>
      <rPr>
        <sz val="10"/>
        <rFont val="WenQuanYi Zen Hei"/>
        <family val="2"/>
      </rPr>
      <t xml:space="preserve">か月・モバイル</t>
    </r>
  </si>
  <si>
    <r>
      <rPr>
        <sz val="10"/>
        <rFont val="WenQuanYi Zen Hei"/>
        <family val="2"/>
      </rPr>
      <t xml:space="preserve">過去</t>
    </r>
    <r>
      <rPr>
        <sz val="10"/>
        <rFont val="Meiryo UI"/>
        <family val="0"/>
        <charset val="1"/>
      </rPr>
      <t xml:space="preserve">3</t>
    </r>
    <r>
      <rPr>
        <sz val="10"/>
        <rFont val="WenQuanYi Zen Hei"/>
        <family val="2"/>
      </rPr>
      <t xml:space="preserve">か月・</t>
    </r>
    <r>
      <rPr>
        <sz val="10"/>
        <rFont val="Meiryo UI"/>
        <family val="0"/>
        <charset val="1"/>
      </rPr>
      <t xml:space="preserve">PC</t>
    </r>
  </si>
  <si>
    <r>
      <rPr>
        <sz val="10"/>
        <rFont val="WenQuanYi Zen Hei"/>
        <family val="2"/>
      </rPr>
      <t xml:space="preserve">過去</t>
    </r>
    <r>
      <rPr>
        <sz val="10"/>
        <rFont val="Meiryo UI"/>
        <family val="0"/>
        <charset val="1"/>
      </rPr>
      <t xml:space="preserve">3</t>
    </r>
    <r>
      <rPr>
        <sz val="10"/>
        <rFont val="WenQuanYi Zen Hei"/>
        <family val="2"/>
      </rPr>
      <t xml:space="preserve">か月・タブレット</t>
    </r>
  </si>
  <si>
    <r>
      <rPr>
        <b val="true"/>
        <sz val="12"/>
        <color rgb="FF1F3864"/>
        <rFont val="WenQuanYi Zen Hei"/>
        <family val="2"/>
      </rPr>
      <t xml:space="preserve">日別（過去</t>
    </r>
    <r>
      <rPr>
        <b val="true"/>
        <sz val="12"/>
        <color rgb="FF1F3864"/>
        <rFont val="Meiryo UI"/>
        <family val="0"/>
        <charset val="1"/>
      </rPr>
      <t xml:space="preserve">3</t>
    </r>
    <r>
      <rPr>
        <b val="true"/>
        <sz val="12"/>
        <color rgb="FF1F3864"/>
        <rFont val="WenQuanYi Zen Hei"/>
        <family val="2"/>
      </rPr>
      <t xml:space="preserve">か月）</t>
    </r>
  </si>
  <si>
    <t xml:space="preserve">日付</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</si>
  <si>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</si>
  <si>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</si>
  <si>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</si>
  <si>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</si>
  <si>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</si>
  <si>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</si>
  <si>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</si>
  <si>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</si>
  <si>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</si>
  <si>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</si>
  <si>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</si>
  <si>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</si>
  <si>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</si>
  <si>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</si>
  <si>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</si>
  <si>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</si>
  <si>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</si>
  <si>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</si>
  <si>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</si>
  <si>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</si>
  <si>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</si>
  <si>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</si>
  <si>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</si>
  <si>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</si>
  <si>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</si>
  <si>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</si>
  <si>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</si>
  <si>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</si>
  <si>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</si>
  <si>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</si>
  <si>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</si>
  <si>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</si>
  <si>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</si>
  <si>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</si>
  <si>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</si>
  <si>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</si>
  <si>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</si>
  <si>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</si>
  <si>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</si>
  <si>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</si>
  <si>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</si>
  <si>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</si>
  <si>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</si>
  <si>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</si>
  <si>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</si>
  <si>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</si>
  <si>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2026-08-22</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</si>
  <si>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</si>
  <si>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</si>
  <si>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</si>
  <si>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</si>
  <si>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</si>
  <si>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</si>
  <si>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</si>
  <si>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</si>
  <si>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</si>
  <si>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</si>
  <si>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</si>
  <si>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</si>
  <si>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</si>
  <si>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</si>
  <si>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</si>
  <si>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</si>
  <si>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</si>
  <si>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</si>
  <si>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</si>
  <si>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</si>
  <si>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</si>
  <si>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</si>
  <si>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</si>
  <si>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</si>
  <si>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2026-09-16</t>
  </si>
  <si>
    <t xml:space="preserve">2026-09-17</t>
  </si>
  <si>
    <t xml:space="preserve">2026-09-18</t>
  </si>
  <si>
    <t xml:space="preserve">2026-09-19</t>
  </si>
  <si>
    <t xml:space="preserve">2026-09-20</t>
  </si>
  <si>
    <t xml:space="preserve">2026-09-21</t>
  </si>
  <si>
    <t xml:space="preserve">2026-09-22</t>
  </si>
  <si>
    <t xml:space="preserve">2026-09-23</t>
  </si>
  <si>
    <t xml:space="preserve">2026-09-24</t>
  </si>
  <si>
    <t xml:space="preserve">2026-09-25</t>
  </si>
  <si>
    <t xml:space="preserve">2026-09-26</t>
  </si>
  <si>
    <t xml:space="preserve">2026-09-27</t>
  </si>
  <si>
    <t xml:space="preserve">2026-09-28</t>
  </si>
  <si>
    <t xml:space="preserve">2026-09-29</t>
  </si>
  <si>
    <t xml:space="preserve">2026-09-30</t>
  </si>
  <si>
    <t xml:space="preserve">2026-10-01</t>
  </si>
  <si>
    <t xml:space="preserve">2026-10-02</t>
  </si>
  <si>
    <t xml:space="preserve">2026-10-03</t>
  </si>
  <si>
    <t xml:space="preserve">2026-10-04</t>
  </si>
  <si>
    <t xml:space="preserve">2026-10-05</t>
  </si>
  <si>
    <t xml:space="preserve">2026-10-06</t>
  </si>
  <si>
    <r>
      <rPr>
        <b val="true"/>
        <sz val="14"/>
        <color rgb="FF1F3864"/>
        <rFont val="WenQuanYi Zen Hei"/>
        <family val="2"/>
      </rPr>
      <t xml:space="preserve">アフィリエイト実績（</t>
    </r>
    <r>
      <rPr>
        <b val="true"/>
        <sz val="14"/>
        <color rgb="FF1F3864"/>
        <rFont val="Meiryo UI"/>
        <family val="0"/>
        <charset val="1"/>
      </rPr>
      <t xml:space="preserve">A8.net</t>
    </r>
    <r>
      <rPr>
        <b val="true"/>
        <sz val="14"/>
        <color rgb="FF1F3864"/>
        <rFont val="WenQuanYi Zen Hei"/>
        <family val="2"/>
      </rPr>
      <t xml:space="preserve">・バリューコマース・もしも）</t>
    </r>
  </si>
  <si>
    <t xml:space="preserve">診断</t>
  </si>
  <si>
    <r>
      <rPr>
        <sz val="10"/>
        <rFont val="WenQuanYi Zen Hei"/>
        <family val="2"/>
      </rPr>
      <t xml:space="preserve">・成果：バリューコマースの転職会議で</t>
    </r>
    <r>
      <rPr>
        <sz val="10"/>
        <rFont val="Meiryo UI"/>
        <family val="0"/>
        <charset val="1"/>
      </rPr>
      <t xml:space="preserve">1</t>
    </r>
    <r>
      <rPr>
        <sz val="10"/>
        <rFont val="WenQuanYi Zen Hei"/>
        <family val="2"/>
      </rPr>
      <t xml:space="preserve">件・</t>
    </r>
    <r>
      <rPr>
        <sz val="10"/>
        <rFont val="Meiryo UI"/>
        <family val="0"/>
        <charset val="1"/>
      </rPr>
      <t xml:space="preserve">330</t>
    </r>
    <r>
      <rPr>
        <sz val="10"/>
        <rFont val="WenQuanYi Zen Hei"/>
        <family val="2"/>
      </rPr>
      <t xml:space="preserve">円が発生（</t>
    </r>
    <r>
      <rPr>
        <sz val="10"/>
        <rFont val="Meiryo UI"/>
        <family val="0"/>
        <charset val="1"/>
      </rPr>
      <t xml:space="preserve">9/12</t>
    </r>
    <r>
      <rPr>
        <sz val="10"/>
        <rFont val="WenQuanYi Zen Hei"/>
        <family val="2"/>
      </rPr>
      <t xml:space="preserve">・未承認）。それ以外は全</t>
    </r>
    <r>
      <rPr>
        <sz val="10"/>
        <rFont val="Meiryo UI"/>
        <family val="0"/>
        <charset val="1"/>
      </rPr>
      <t xml:space="preserve">ASP</t>
    </r>
    <r>
      <rPr>
        <sz val="10"/>
        <rFont val="WenQuanYi Zen Hei"/>
        <family val="2"/>
      </rPr>
      <t xml:space="preserve">で</t>
    </r>
    <r>
      <rPr>
        <sz val="10"/>
        <rFont val="Meiryo UI"/>
        <family val="0"/>
        <charset val="1"/>
      </rPr>
      <t xml:space="preserve">0</t>
    </r>
    <r>
      <rPr>
        <sz val="10"/>
        <rFont val="WenQuanYi Zen Hei"/>
        <family val="2"/>
      </rPr>
      <t xml:space="preserve">件。</t>
    </r>
  </si>
  <si>
    <r>
      <rPr>
        <sz val="10"/>
        <rFont val="WenQuanYi Zen Hei"/>
        <family val="2"/>
      </rPr>
      <t xml:space="preserve">・表示：</t>
    </r>
    <r>
      <rPr>
        <sz val="10"/>
        <rFont val="Meiryo UI"/>
        <family val="0"/>
        <charset val="1"/>
      </rPr>
      <t xml:space="preserve">A8</t>
    </r>
    <r>
      <rPr>
        <sz val="10"/>
        <rFont val="WenQuanYi Zen Hei"/>
        <family val="2"/>
      </rPr>
      <t xml:space="preserve">の表示は</t>
    </r>
    <r>
      <rPr>
        <sz val="10"/>
        <rFont val="Meiryo UI"/>
        <family val="0"/>
        <charset val="1"/>
      </rPr>
      <t xml:space="preserve">7</t>
    </r>
    <r>
      <rPr>
        <sz val="10"/>
        <rFont val="WenQuanYi Zen Hei"/>
        <family val="2"/>
      </rPr>
      <t xml:space="preserve">月</t>
    </r>
    <r>
      <rPr>
        <sz val="10"/>
        <rFont val="Meiryo UI"/>
        <family val="0"/>
        <charset val="1"/>
      </rPr>
      <t xml:space="preserve">324→8</t>
    </r>
    <r>
      <rPr>
        <sz val="10"/>
        <rFont val="WenQuanYi Zen Hei"/>
        <family val="2"/>
      </rPr>
      <t xml:space="preserve">月</t>
    </r>
    <r>
      <rPr>
        <sz val="10"/>
        <rFont val="Meiryo UI"/>
        <family val="0"/>
        <charset val="1"/>
      </rPr>
      <t xml:space="preserve">193→9</t>
    </r>
    <r>
      <rPr>
        <sz val="10"/>
        <rFont val="WenQuanYi Zen Hei"/>
        <family val="2"/>
      </rPr>
      <t xml:space="preserve">月</t>
    </r>
    <r>
      <rPr>
        <sz val="10"/>
        <rFont val="Meiryo UI"/>
        <family val="0"/>
        <charset val="1"/>
      </rPr>
      <t xml:space="preserve">97→10</t>
    </r>
    <r>
      <rPr>
        <sz val="10"/>
        <rFont val="WenQuanYi Zen Hei"/>
        <family val="2"/>
      </rPr>
      <t xml:space="preserve">月</t>
    </r>
    <r>
      <rPr>
        <sz val="10"/>
        <rFont val="Meiryo UI"/>
        <family val="0"/>
        <charset val="1"/>
      </rPr>
      <t xml:space="preserve">51</t>
    </r>
    <r>
      <rPr>
        <sz val="10"/>
        <rFont val="WenQuanYi Zen Hei"/>
        <family val="2"/>
      </rPr>
      <t xml:space="preserve">と減少。同じ期間に検索流入は約</t>
    </r>
    <r>
      <rPr>
        <sz val="10"/>
        <rFont val="Meiryo UI"/>
        <family val="0"/>
        <charset val="1"/>
      </rPr>
      <t xml:space="preserve">2</t>
    </r>
    <r>
      <rPr>
        <sz val="10"/>
        <rFont val="WenQuanYi Zen Hei"/>
        <family val="2"/>
      </rPr>
      <t xml:space="preserve">倍に増えており、流入の多い記事に広告が置かれていない、または既存のバナーが外れている可能性が高い。</t>
    </r>
  </si>
  <si>
    <r>
      <rPr>
        <sz val="10"/>
        <rFont val="WenQuanYi Zen Hei"/>
        <family val="2"/>
      </rPr>
      <t xml:space="preserve">・クリック：</t>
    </r>
    <r>
      <rPr>
        <sz val="10"/>
        <rFont val="Meiryo UI"/>
        <family val="0"/>
        <charset val="1"/>
      </rPr>
      <t xml:space="preserve">VC</t>
    </r>
    <r>
      <rPr>
        <sz val="10"/>
        <rFont val="WenQuanYi Zen Hei"/>
        <family val="2"/>
      </rPr>
      <t xml:space="preserve">は</t>
    </r>
    <r>
      <rPr>
        <sz val="10"/>
        <rFont val="Meiryo UI"/>
        <family val="0"/>
        <charset val="1"/>
      </rPr>
      <t xml:space="preserve">30</t>
    </r>
    <r>
      <rPr>
        <sz val="10"/>
        <rFont val="WenQuanYi Zen Hei"/>
        <family val="2"/>
      </rPr>
      <t xml:space="preserve">日で</t>
    </r>
    <r>
      <rPr>
        <sz val="10"/>
        <rFont val="Meiryo UI"/>
        <family val="0"/>
        <charset val="1"/>
      </rPr>
      <t xml:space="preserve">646</t>
    </r>
    <r>
      <rPr>
        <sz val="10"/>
        <rFont val="WenQuanYi Zen Hei"/>
        <family val="2"/>
      </rPr>
      <t xml:space="preserve">表示・</t>
    </r>
    <r>
      <rPr>
        <sz val="10"/>
        <rFont val="Meiryo UI"/>
        <family val="0"/>
        <charset val="1"/>
      </rPr>
      <t xml:space="preserve">22</t>
    </r>
    <r>
      <rPr>
        <sz val="10"/>
        <rFont val="WenQuanYi Zen Hei"/>
        <family val="2"/>
      </rPr>
      <t xml:space="preserve">クリック。検索流入（月約</t>
    </r>
    <r>
      <rPr>
        <sz val="10"/>
        <rFont val="Meiryo UI"/>
        <family val="0"/>
        <charset val="1"/>
      </rPr>
      <t xml:space="preserve">4,700</t>
    </r>
    <r>
      <rPr>
        <sz val="10"/>
        <rFont val="WenQuanYi Zen Hei"/>
        <family val="2"/>
      </rPr>
      <t xml:space="preserve">）に対し、アフィリエイトのクリックは全</t>
    </r>
    <r>
      <rPr>
        <sz val="10"/>
        <rFont val="Meiryo UI"/>
        <family val="0"/>
        <charset val="1"/>
      </rPr>
      <t xml:space="preserve">ASP</t>
    </r>
    <r>
      <rPr>
        <sz val="10"/>
        <rFont val="WenQuanYi Zen Hei"/>
        <family val="2"/>
      </rPr>
      <t xml:space="preserve">合計で月約</t>
    </r>
    <r>
      <rPr>
        <sz val="10"/>
        <rFont val="Meiryo UI"/>
        <family val="0"/>
        <charset val="1"/>
      </rPr>
      <t xml:space="preserve">25</t>
    </r>
    <r>
      <rPr>
        <sz val="10"/>
        <rFont val="WenQuanYi Zen Hei"/>
        <family val="2"/>
      </rPr>
      <t xml:space="preserve">（約</t>
    </r>
    <r>
      <rPr>
        <sz val="10"/>
        <rFont val="Meiryo UI"/>
        <family val="0"/>
        <charset val="1"/>
      </rPr>
      <t xml:space="preserve">0.5%</t>
    </r>
    <r>
      <rPr>
        <sz val="10"/>
        <rFont val="WenQuanYi Zen Hei"/>
        <family val="2"/>
      </rPr>
      <t xml:space="preserve">）。</t>
    </r>
  </si>
  <si>
    <r>
      <rPr>
        <sz val="10"/>
        <rFont val="WenQuanYi Zen Hei"/>
        <family val="2"/>
      </rPr>
      <t xml:space="preserve">・無関係な広告：じゃらん</t>
    </r>
    <r>
      <rPr>
        <sz val="10"/>
        <rFont val="Meiryo UI"/>
        <family val="0"/>
        <charset val="1"/>
      </rPr>
      <t xml:space="preserve">net</t>
    </r>
    <r>
      <rPr>
        <sz val="10"/>
        <rFont val="WenQuanYi Zen Hei"/>
        <family val="2"/>
      </rPr>
      <t xml:space="preserve">・一休</t>
    </r>
    <r>
      <rPr>
        <sz val="10"/>
        <rFont val="Meiryo UI"/>
        <family val="0"/>
        <charset val="1"/>
      </rPr>
      <t xml:space="preserve">.com</t>
    </r>
    <r>
      <rPr>
        <sz val="10"/>
        <rFont val="WenQuanYi Zen Hei"/>
        <family val="2"/>
      </rPr>
      <t xml:space="preserve">が各</t>
    </r>
    <r>
      <rPr>
        <sz val="10"/>
        <rFont val="Meiryo UI"/>
        <family val="0"/>
        <charset val="1"/>
      </rPr>
      <t xml:space="preserve">34</t>
    </r>
    <r>
      <rPr>
        <sz val="10"/>
        <rFont val="WenQuanYi Zen Hei"/>
        <family val="2"/>
      </rPr>
      <t xml:space="preserve">表示。読者（転職検討者）と無関係なので撤去。</t>
    </r>
  </si>
  <si>
    <r>
      <rPr>
        <sz val="10"/>
        <rFont val="WenQuanYi Zen Hei"/>
        <family val="2"/>
      </rPr>
      <t xml:space="preserve">・リクナビ</t>
    </r>
    <r>
      <rPr>
        <sz val="10"/>
        <rFont val="Meiryo UI"/>
        <family val="0"/>
        <charset val="1"/>
      </rPr>
      <t xml:space="preserve">NEXT</t>
    </r>
    <r>
      <rPr>
        <sz val="10"/>
        <rFont val="WenQuanYi Zen Hei"/>
        <family val="2"/>
      </rPr>
      <t xml:space="preserve">は</t>
    </r>
    <r>
      <rPr>
        <sz val="10"/>
        <rFont val="Meiryo UI"/>
        <family val="0"/>
        <charset val="1"/>
      </rPr>
      <t xml:space="preserve">12</t>
    </r>
    <r>
      <rPr>
        <sz val="10"/>
        <rFont val="WenQuanYi Zen Hei"/>
        <family val="2"/>
      </rPr>
      <t xml:space="preserve">表示に対して</t>
    </r>
    <r>
      <rPr>
        <sz val="10"/>
        <rFont val="Meiryo UI"/>
        <family val="0"/>
        <charset val="1"/>
      </rPr>
      <t xml:space="preserve">13</t>
    </r>
    <r>
      <rPr>
        <sz val="10"/>
        <rFont val="WenQuanYi Zen Hei"/>
        <family val="2"/>
      </rPr>
      <t xml:space="preserve">クリック（テキストリンク経由とみられる）。テキストリンクでもクリックされる案件。</t>
    </r>
  </si>
  <si>
    <r>
      <rPr>
        <sz val="10"/>
        <rFont val="WenQuanYi Zen Hei"/>
        <family val="2"/>
      </rPr>
      <t xml:space="preserve">・レバテックダイレクト（</t>
    </r>
    <r>
      <rPr>
        <sz val="10"/>
        <rFont val="Meiryo UI"/>
        <family val="0"/>
        <charset val="1"/>
      </rPr>
      <t xml:space="preserve">A8</t>
    </r>
    <r>
      <rPr>
        <sz val="10"/>
        <rFont val="WenQuanYi Zen Hei"/>
        <family val="2"/>
      </rPr>
      <t xml:space="preserve">）は</t>
    </r>
    <r>
      <rPr>
        <sz val="10"/>
        <rFont val="Meiryo UI"/>
        <family val="0"/>
        <charset val="1"/>
      </rPr>
      <t xml:space="preserve">431</t>
    </r>
    <r>
      <rPr>
        <sz val="10"/>
        <rFont val="WenQuanYi Zen Hei"/>
        <family val="2"/>
      </rPr>
      <t xml:space="preserve">表示・</t>
    </r>
    <r>
      <rPr>
        <sz val="10"/>
        <rFont val="Meiryo UI"/>
        <family val="0"/>
        <charset val="1"/>
      </rPr>
      <t xml:space="preserve">15</t>
    </r>
    <r>
      <rPr>
        <sz val="10"/>
        <rFont val="WenQuanYi Zen Hei"/>
        <family val="2"/>
      </rPr>
      <t xml:space="preserve">クリック（</t>
    </r>
    <r>
      <rPr>
        <sz val="10"/>
        <rFont val="Meiryo UI"/>
        <family val="0"/>
        <charset val="1"/>
      </rPr>
      <t xml:space="preserve">3.5%</t>
    </r>
    <r>
      <rPr>
        <sz val="10"/>
        <rFont val="WenQuanYi Zen Hei"/>
        <family val="2"/>
      </rPr>
      <t xml:space="preserve">）で</t>
    </r>
    <r>
      <rPr>
        <sz val="10"/>
        <rFont val="Meiryo UI"/>
        <family val="0"/>
        <charset val="1"/>
      </rPr>
      <t xml:space="preserve">A8</t>
    </r>
    <r>
      <rPr>
        <sz val="10"/>
        <rFont val="WenQuanYi Zen Hei"/>
        <family val="2"/>
      </rPr>
      <t xml:space="preserve">の中で最も実績がある。</t>
    </r>
    <r>
      <rPr>
        <sz val="10"/>
        <rFont val="Meiryo UI"/>
        <family val="0"/>
        <charset val="1"/>
      </rPr>
      <t xml:space="preserve">IT</t>
    </r>
    <r>
      <rPr>
        <sz val="10"/>
        <rFont val="WenQuanYi Zen Hei"/>
        <family val="2"/>
      </rPr>
      <t xml:space="preserve">系記事のスカウト導線に使う。</t>
    </r>
  </si>
  <si>
    <r>
      <rPr>
        <b val="true"/>
        <sz val="12"/>
        <color rgb="FF1F3864"/>
        <rFont val="Meiryo UI"/>
        <family val="0"/>
        <charset val="1"/>
      </rPr>
      <t xml:space="preserve">A8.net </t>
    </r>
    <r>
      <rPr>
        <b val="true"/>
        <sz val="12"/>
        <color rgb="FF1F3864"/>
        <rFont val="WenQuanYi Zen Hei"/>
        <family val="2"/>
      </rPr>
      <t xml:space="preserve">月次（</t>
    </r>
    <r>
      <rPr>
        <b val="true"/>
        <sz val="12"/>
        <color rgb="FF1F3864"/>
        <rFont val="Meiryo UI"/>
        <family val="0"/>
        <charset val="1"/>
      </rPr>
      <t xml:space="preserve">2026</t>
    </r>
    <r>
      <rPr>
        <b val="true"/>
        <sz val="12"/>
        <color rgb="FF1F3864"/>
        <rFont val="WenQuanYi Zen Hei"/>
        <family val="2"/>
      </rPr>
      <t xml:space="preserve">年）</t>
    </r>
  </si>
  <si>
    <t xml:space="preserve">年月</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</si>
  <si>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</si>
  <si>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</si>
  <si>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</si>
  <si>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</si>
  <si>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</si>
  <si>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</si>
  <si>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</si>
  <si>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</si>
  <si>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</si>
  <si>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</si>
  <si>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r>
      <rPr>
        <b val="true"/>
        <sz val="12"/>
        <color rgb="FF1F3864"/>
        <rFont val="Meiryo UI"/>
        <family val="0"/>
        <charset val="1"/>
      </rPr>
      <t xml:space="preserve">A8.net </t>
    </r>
    <r>
      <rPr>
        <b val="true"/>
        <sz val="12"/>
        <color rgb="FF1F3864"/>
        <rFont val="WenQuanYi Zen Hei"/>
        <family val="2"/>
      </rPr>
      <t xml:space="preserve">プログラム別（</t>
    </r>
    <r>
      <rPr>
        <b val="true"/>
        <sz val="12"/>
        <color rgb="FF1F3864"/>
        <rFont val="Meiryo UI"/>
        <family val="0"/>
        <charset val="1"/>
      </rPr>
      <t xml:space="preserve">2026</t>
    </r>
    <r>
      <rPr>
        <b val="true"/>
        <sz val="12"/>
        <color rgb="FF1F3864"/>
        <rFont val="WenQuanYi Zen Hei"/>
        <family val="2"/>
      </rPr>
      <t xml:space="preserve">年</t>
    </r>
    <r>
      <rPr>
        <b val="true"/>
        <sz val="12"/>
        <color rgb="FF1F3864"/>
        <rFont val="Meiryo UI"/>
        <family val="0"/>
        <charset val="1"/>
      </rPr>
      <t xml:space="preserve">1</t>
    </r>
    <r>
      <rPr>
        <b val="true"/>
        <sz val="12"/>
        <color rgb="FF1F3864"/>
        <rFont val="WenQuanYi Zen Hei"/>
        <family val="2"/>
      </rPr>
      <t xml:space="preserve">月〜</t>
    </r>
    <r>
      <rPr>
        <b val="true"/>
        <sz val="12"/>
        <color rgb="FF1F3864"/>
        <rFont val="Meiryo UI"/>
        <family val="0"/>
        <charset val="1"/>
      </rPr>
      <t xml:space="preserve">10</t>
    </r>
    <r>
      <rPr>
        <b val="true"/>
        <sz val="12"/>
        <color rgb="FF1F3864"/>
        <rFont val="WenQuanYi Zen Hei"/>
        <family val="2"/>
      </rPr>
      <t xml:space="preserve">月）</t>
    </r>
  </si>
  <si>
    <t xml:space="preserve">プログラム</t>
  </si>
  <si>
    <r>
      <rPr>
        <sz val="10"/>
        <rFont val="WenQuanYi Zen Hei"/>
        <family val="2"/>
      </rPr>
      <t xml:space="preserve">第二</t>
    </r>
    <r>
      <rPr>
        <sz val="10"/>
        <rFont val="Meiryo UI"/>
        <family val="0"/>
        <charset val="1"/>
      </rPr>
      <t xml:space="preserve">/</t>
    </r>
    <r>
      <rPr>
        <sz val="10"/>
        <rFont val="WenQuanYi Zen Hei"/>
        <family val="2"/>
      </rPr>
      <t xml:space="preserve">既卒</t>
    </r>
    <r>
      <rPr>
        <sz val="10"/>
        <rFont val="Meiryo UI"/>
        <family val="0"/>
        <charset val="1"/>
      </rPr>
      <t xml:space="preserve">/</t>
    </r>
    <r>
      <rPr>
        <sz val="10"/>
        <rFont val="WenQuanYi Zen Hei"/>
        <family val="2"/>
      </rPr>
      <t xml:space="preserve">フリーター</t>
    </r>
    <r>
      <rPr>
        <sz val="10"/>
        <rFont val="Meiryo UI"/>
        <family val="0"/>
        <charset val="1"/>
      </rPr>
      <t xml:space="preserve">/</t>
    </r>
    <r>
      <rPr>
        <sz val="10"/>
        <rFont val="WenQuanYi Zen Hei"/>
        <family val="2"/>
      </rPr>
      <t xml:space="preserve">中退</t>
    </r>
    <r>
      <rPr>
        <sz val="10"/>
        <rFont val="Meiryo UI"/>
        <family val="0"/>
        <charset val="1"/>
      </rPr>
      <t xml:space="preserve">/</t>
    </r>
    <r>
      <rPr>
        <sz val="10"/>
        <rFont val="WenQuanYi Zen Hei"/>
        <family val="2"/>
      </rPr>
      <t xml:space="preserve">高卒の就職・転職支援【第二新卒エージェント</t>
    </r>
    <r>
      <rPr>
        <sz val="10"/>
        <rFont val="Meiryo UI"/>
        <family val="0"/>
        <charset val="1"/>
      </rPr>
      <t xml:space="preserve">neo</t>
    </r>
    <r>
      <rPr>
        <sz val="10"/>
        <rFont val="WenQuanYi Zen Hei"/>
        <family val="2"/>
      </rPr>
      <t xml:space="preserve">】</t>
    </r>
  </si>
  <si>
    <r>
      <rPr>
        <sz val="10"/>
        <rFont val="Meiryo UI"/>
        <family val="0"/>
        <charset val="1"/>
      </rPr>
      <t xml:space="preserve">IT</t>
    </r>
    <r>
      <rPr>
        <sz val="10"/>
        <rFont val="WenQuanYi Zen Hei"/>
        <family val="2"/>
      </rPr>
      <t xml:space="preserve">・</t>
    </r>
    <r>
      <rPr>
        <sz val="10"/>
        <rFont val="Meiryo UI"/>
        <family val="0"/>
        <charset val="1"/>
      </rPr>
      <t xml:space="preserve">WEB</t>
    </r>
    <r>
      <rPr>
        <sz val="10"/>
        <rFont val="WenQuanYi Zen Hei"/>
        <family val="2"/>
      </rPr>
      <t xml:space="preserve">・ソーシャルゲーム業界専門の転職支援プロ集団【</t>
    </r>
    <r>
      <rPr>
        <sz val="10"/>
        <rFont val="Meiryo UI"/>
        <family val="0"/>
        <charset val="1"/>
      </rPr>
      <t xml:space="preserve">Geekly</t>
    </r>
    <r>
      <rPr>
        <sz val="10"/>
        <rFont val="WenQuanYi Zen Hei"/>
        <family val="2"/>
      </rPr>
      <t xml:space="preserve">】</t>
    </r>
  </si>
  <si>
    <r>
      <rPr>
        <sz val="10"/>
        <rFont val="Meiryo UI"/>
        <family val="0"/>
        <charset val="1"/>
      </rPr>
      <t xml:space="preserve">IT</t>
    </r>
    <r>
      <rPr>
        <sz val="10"/>
        <rFont val="WenQuanYi Zen Hei"/>
        <family val="2"/>
      </rPr>
      <t xml:space="preserve">・</t>
    </r>
    <r>
      <rPr>
        <sz val="10"/>
        <rFont val="Meiryo UI"/>
        <family val="0"/>
        <charset val="1"/>
      </rPr>
      <t xml:space="preserve">Web</t>
    </r>
    <r>
      <rPr>
        <sz val="10"/>
        <rFont val="WenQuanYi Zen Hei"/>
        <family val="2"/>
      </rPr>
      <t xml:space="preserve">のスカウト転職サービスなら【レバテックダイレクト】</t>
    </r>
  </si>
  <si>
    <r>
      <rPr>
        <b val="true"/>
        <sz val="12"/>
        <color rgb="FF1F3864"/>
        <rFont val="WenQuanYi Zen Hei"/>
        <family val="2"/>
      </rPr>
      <t xml:space="preserve">バリューコマース 広告主別（</t>
    </r>
    <r>
      <rPr>
        <b val="true"/>
        <sz val="12"/>
        <color rgb="FF1F3864"/>
        <rFont val="Meiryo UI"/>
        <family val="0"/>
        <charset val="1"/>
      </rPr>
      <t xml:space="preserve">2026/09/10</t>
    </r>
    <r>
      <rPr>
        <b val="true"/>
        <sz val="12"/>
        <color rgb="FF1F3864"/>
        <rFont val="WenQuanYi Zen Hei"/>
        <family val="2"/>
      </rPr>
      <t xml:space="preserve">〜</t>
    </r>
    <r>
      <rPr>
        <b val="true"/>
        <sz val="12"/>
        <color rgb="FF1F3864"/>
        <rFont val="Meiryo UI"/>
        <family val="0"/>
        <charset val="1"/>
      </rPr>
      <t xml:space="preserve">10/10</t>
    </r>
    <r>
      <rPr>
        <b val="true"/>
        <sz val="12"/>
        <color rgb="FF1F3864"/>
        <rFont val="WenQuanYi Zen Hei"/>
        <family val="2"/>
      </rPr>
      <t xml:space="preserve">）</t>
    </r>
  </si>
  <si>
    <t xml:space="preserve">広告主</t>
  </si>
  <si>
    <t xml:space="preserve">報酬（円・未承認含む）</t>
  </si>
  <si>
    <r>
      <rPr>
        <sz val="10"/>
        <rFont val="Meiryo UI"/>
        <family val="0"/>
        <charset val="1"/>
      </rPr>
      <t xml:space="preserve">JAC Recruitment </t>
    </r>
    <r>
      <rPr>
        <sz val="10"/>
        <rFont val="WenQuanYi Zen Hei"/>
        <family val="2"/>
      </rPr>
      <t xml:space="preserve">無料転職サポート 会員登録促進キャンペーン</t>
    </r>
  </si>
  <si>
    <r>
      <rPr>
        <sz val="10"/>
        <rFont val="WenQuanYi Zen Hei"/>
        <family val="2"/>
      </rPr>
      <t xml:space="preserve">じゃらん</t>
    </r>
    <r>
      <rPr>
        <sz val="10"/>
        <rFont val="Meiryo UI"/>
        <family val="0"/>
        <charset val="1"/>
      </rPr>
      <t xml:space="preserve">net</t>
    </r>
  </si>
  <si>
    <t xml:space="preserve">無関係な広告。撤去</t>
  </si>
  <si>
    <r>
      <rPr>
        <sz val="10"/>
        <rFont val="WenQuanYi Zen Hei"/>
        <family val="2"/>
      </rPr>
      <t xml:space="preserve">一休</t>
    </r>
    <r>
      <rPr>
        <sz val="10"/>
        <rFont val="Meiryo UI"/>
        <family val="0"/>
        <charset val="1"/>
      </rPr>
      <t xml:space="preserve">.com</t>
    </r>
  </si>
  <si>
    <r>
      <rPr>
        <b val="true"/>
        <sz val="12"/>
        <color rgb="FF1F3864"/>
        <rFont val="WenQuanYi Zen Hei"/>
        <family val="2"/>
      </rPr>
      <t xml:space="preserve">もしもアフィリエイト（サイト別</t>
    </r>
    <r>
      <rPr>
        <b val="true"/>
        <sz val="12"/>
        <color rgb="FF1F3864"/>
        <rFont val="Meiryo UI"/>
        <family val="0"/>
        <charset val="1"/>
      </rPr>
      <t xml:space="preserve">KPI</t>
    </r>
    <r>
      <rPr>
        <b val="true"/>
        <sz val="12"/>
        <color rgb="FF1F3864"/>
        <rFont val="WenQuanYi Zen Hei"/>
        <family val="2"/>
      </rPr>
      <t xml:space="preserve">）</t>
    </r>
  </si>
  <si>
    <t xml:space="preserve">サイト</t>
  </si>
  <si>
    <t xml:space="preserve">採用のウラ側</t>
  </si>
  <si>
    <r>
      <rPr>
        <b val="true"/>
        <sz val="12"/>
        <color rgb="FF1F3864"/>
        <rFont val="WenQuanYi Zen Hei"/>
        <family val="2"/>
      </rPr>
      <t xml:space="preserve">バリューコマース 日別（</t>
    </r>
    <r>
      <rPr>
        <b val="true"/>
        <sz val="12"/>
        <color rgb="FF1F3864"/>
        <rFont val="Meiryo UI"/>
        <family val="0"/>
        <charset val="1"/>
      </rPr>
      <t xml:space="preserve">2026/09/10</t>
    </r>
    <r>
      <rPr>
        <b val="true"/>
        <sz val="12"/>
        <color rgb="FF1F3864"/>
        <rFont val="WenQuanYi Zen Hei"/>
        <family val="2"/>
      </rPr>
      <t xml:space="preserve">〜</t>
    </r>
    <r>
      <rPr>
        <b val="true"/>
        <sz val="12"/>
        <color rgb="FF1F3864"/>
        <rFont val="Meiryo UI"/>
        <family val="0"/>
        <charset val="1"/>
      </rPr>
      <t xml:space="preserve">10/10</t>
    </r>
    <r>
      <rPr>
        <b val="true"/>
        <sz val="12"/>
        <color rgb="FF1F3864"/>
        <rFont val="WenQuanYi Zen Hei"/>
        <family val="2"/>
      </rPr>
      <t xml:space="preserve">）</t>
    </r>
  </si>
  <si>
    <t xml:space="preserve">報酬（円）</t>
  </si>
  <si>
    <t xml:space="preserve">2026/09/10</t>
  </si>
  <si>
    <t xml:space="preserve">2026/09/11</t>
  </si>
  <si>
    <t xml:space="preserve">2026/09/12</t>
  </si>
  <si>
    <t xml:space="preserve">2026/09/13</t>
  </si>
  <si>
    <t xml:space="preserve">2026/09/14</t>
  </si>
  <si>
    <t xml:space="preserve">2026/09/16</t>
  </si>
  <si>
    <t xml:space="preserve">2026/09/17</t>
  </si>
  <si>
    <t xml:space="preserve">2026/09/18</t>
  </si>
  <si>
    <t xml:space="preserve">2026/09/19</t>
  </si>
  <si>
    <t xml:space="preserve">2026/09/20</t>
  </si>
  <si>
    <t xml:space="preserve">2026/09/21</t>
  </si>
  <si>
    <t xml:space="preserve">2026/09/23</t>
  </si>
  <si>
    <t xml:space="preserve">2026/09/24</t>
  </si>
  <si>
    <t xml:space="preserve">2026/09/25</t>
  </si>
  <si>
    <t xml:space="preserve">2026/09/26</t>
  </si>
  <si>
    <t xml:space="preserve">2026/09/27</t>
  </si>
  <si>
    <t xml:space="preserve">2026/09/28</t>
  </si>
  <si>
    <t xml:space="preserve">2026/09/30</t>
  </si>
  <si>
    <t xml:space="preserve">2026/10/01</t>
  </si>
  <si>
    <t xml:space="preserve">2026/10/02</t>
  </si>
  <si>
    <t xml:space="preserve">2026/10/03</t>
  </si>
  <si>
    <t xml:space="preserve">2026/10/04</t>
  </si>
  <si>
    <t xml:space="preserve">2026/10/05</t>
  </si>
  <si>
    <t xml:space="preserve">2026/10/07</t>
  </si>
  <si>
    <t xml:space="preserve">2026/10/08</t>
  </si>
  <si>
    <t xml:space="preserve">2026/10/09</t>
  </si>
  <si>
    <t xml:space="preserve">2026/10/10</t>
  </si>
</sst>
</file>

<file path=xl/styles.xml><?xml version="1.0" encoding="utf-8"?>
<styleSheet xmlns="http://schemas.openxmlformats.org/spreadsheetml/2006/main">
  <numFmts count="7">
    <numFmt numFmtId="164" formatCode="General"/>
    <numFmt numFmtId="165" formatCode="0.0%"/>
    <numFmt numFmtId="166" formatCode="#,##0"/>
    <numFmt numFmtId="167" formatCode="#,##0.0"/>
    <numFmt numFmtId="168" formatCode="0.00"/>
    <numFmt numFmtId="169" formatCode="0.00\倍"/>
    <numFmt numFmtId="170" formatCode="0.0"/>
  </numFmts>
  <fonts count="21">
    <font>
      <sz val="11"/>
      <color theme="1"/>
      <name val="Calibri"/>
      <family val="2"/>
      <charset val="1"/>
    </font>
    <font>
      <sz val="10"/>
      <name val="Arial"/>
      <family val="0"/>
    </font>
    <font>
      <sz val="10"/>
      <name val="Arial"/>
      <family val="0"/>
    </font>
    <font>
      <sz val="10"/>
      <name val="Arial"/>
      <family val="0"/>
    </font>
    <font>
      <b val="true"/>
      <sz val="14"/>
      <color rgb="FF1F3864"/>
      <name val="WenQuanYi Zen Hei"/>
      <family val="2"/>
    </font>
    <font>
      <sz val="9"/>
      <color rgb="FF595959"/>
      <name val="WenQuanYi Zen Hei"/>
      <family val="2"/>
    </font>
    <font>
      <sz val="9"/>
      <color rgb="FF595959"/>
      <name val="Meiryo UI"/>
      <family val="0"/>
      <charset val="1"/>
    </font>
    <font>
      <b val="true"/>
      <sz val="12"/>
      <color rgb="FF1F3864"/>
      <name val="WenQuanYi Zen Hei"/>
      <family val="2"/>
    </font>
    <font>
      <u val="single"/>
      <sz val="10"/>
      <color rgb="FF0563C1"/>
      <name val="WenQuanYi Zen Hei"/>
      <family val="2"/>
    </font>
    <font>
      <sz val="10"/>
      <name val="WenQuanYi Zen Hei"/>
      <family val="2"/>
    </font>
    <font>
      <sz val="10"/>
      <name val="Meiryo UI"/>
      <family val="0"/>
      <charset val="1"/>
    </font>
    <font>
      <u val="single"/>
      <sz val="10"/>
      <color rgb="FF0563C1"/>
      <name val="Meiryo UI"/>
      <family val="0"/>
      <charset val="1"/>
    </font>
    <font>
      <b val="true"/>
      <sz val="10"/>
      <color rgb="FFFFFFFF"/>
      <name val="WenQuanYi Zen Hei"/>
      <family val="2"/>
    </font>
    <font>
      <b val="true"/>
      <sz val="12"/>
      <color rgb="FF1F3864"/>
      <name val="Meiryo UI"/>
      <family val="0"/>
      <charset val="1"/>
    </font>
    <font>
      <b val="true"/>
      <sz val="10"/>
      <color rgb="FFFFFFFF"/>
      <name val="Meiryo UI"/>
      <family val="0"/>
      <charset val="1"/>
    </font>
    <font>
      <sz val="10"/>
      <color rgb="FF0000FF"/>
      <name val="Meiryo UI"/>
      <family val="0"/>
      <charset val="1"/>
    </font>
    <font>
      <b val="true"/>
      <sz val="10"/>
      <name val="Meiryo UI"/>
      <family val="0"/>
      <charset val="1"/>
    </font>
    <font>
      <b val="true"/>
      <sz val="10"/>
      <name val="WenQuanYi Zen Hei"/>
      <family val="2"/>
    </font>
    <font>
      <b val="true"/>
      <sz val="14"/>
      <color rgb="FF1F3864"/>
      <name val="Meiryo UI"/>
      <family val="0"/>
      <charset val="1"/>
    </font>
    <font>
      <b val="true"/>
      <sz val="12"/>
      <color rgb="FFFFFFFF"/>
      <name val="WenQuanYi Zen Hei"/>
      <family val="2"/>
    </font>
    <font>
      <b val="true"/>
      <sz val="12"/>
      <color rgb="FFFFFFFF"/>
      <name val="Meiryo UI"/>
      <family val="0"/>
      <charset val="1"/>
    </font>
  </fonts>
  <fills count="12">
    <fill>
      <patternFill patternType="none"/>
    </fill>
    <fill>
      <patternFill patternType="gray125"/>
    </fill>
    <fill>
      <patternFill patternType="solid">
        <fgColor rgb="FF1F3864"/>
        <bgColor rgb="FF333333"/>
      </patternFill>
    </fill>
    <fill>
      <patternFill patternType="solid">
        <fgColor rgb="FFF2F2F2"/>
        <bgColor rgb="FFF7F7F7"/>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F8CBAD"/>
        <bgColor rgb="FFFFE699"/>
      </patternFill>
    </fill>
    <fill>
      <patternFill patternType="solid">
        <fgColor rgb="FFF7F7F7"/>
        <bgColor rgb="FFF2F2F2"/>
      </patternFill>
    </fill>
    <fill>
      <patternFill patternType="solid">
        <fgColor rgb="FFFFE699"/>
        <bgColor rgb="FFFFF2CC"/>
      </patternFill>
    </fill>
    <fill>
      <patternFill patternType="solid">
        <fgColor rgb="FFDDEBF7"/>
        <bgColor rgb="FFD9E1F2"/>
      </patternFill>
    </fill>
    <fill>
      <patternFill patternType="solid">
        <fgColor rgb="FFD9E1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true" applyProtection="false">
      <alignment horizontal="general" vertical="top"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8" fontId="10" fillId="0" borderId="1" xfId="0" applyFont="true" applyBorder="true" applyAlignment="true" applyProtection="false">
      <alignment horizontal="general" vertical="top" textRotation="0" wrapText="false" indent="0" shrinkToFit="false"/>
      <protection locked="true" hidden="false"/>
    </xf>
    <xf numFmtId="166" fontId="10" fillId="3" borderId="1" xfId="0" applyFont="true" applyBorder="true" applyAlignment="true" applyProtection="false">
      <alignment horizontal="general" vertical="top" textRotation="0" wrapText="false" indent="0" shrinkToFit="false"/>
      <protection locked="true" hidden="false"/>
    </xf>
    <xf numFmtId="165" fontId="10" fillId="3" borderId="1" xfId="0" applyFont="true" applyBorder="true" applyAlignment="true" applyProtection="false">
      <alignment horizontal="general" vertical="top" textRotation="0" wrapText="false" indent="0" shrinkToFit="false"/>
      <protection locked="true" hidden="false"/>
    </xf>
    <xf numFmtId="167" fontId="10" fillId="3" borderId="1" xfId="0" applyFont="true" applyBorder="true" applyAlignment="true" applyProtection="false">
      <alignment horizontal="general" vertical="top" textRotation="0" wrapText="false" indent="0" shrinkToFit="false"/>
      <protection locked="true" hidden="false"/>
    </xf>
    <xf numFmtId="168" fontId="10" fillId="3" borderId="1" xfId="0" applyFont="true" applyBorder="true" applyAlignment="true" applyProtection="false">
      <alignment horizontal="general" vertical="top"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false" indent="0" shrinkToFit="false"/>
      <protection locked="true" hidden="false"/>
    </xf>
    <xf numFmtId="164" fontId="17" fillId="6"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top" textRotation="0" wrapText="false" indent="0" shrinkToFit="false"/>
      <protection locked="true" hidden="false"/>
    </xf>
    <xf numFmtId="169" fontId="10" fillId="3" borderId="1" xfId="0" applyFont="true" applyBorder="true" applyAlignment="true" applyProtection="false">
      <alignment horizontal="general" vertical="top" textRotation="0" wrapText="false" indent="0" shrinkToFit="false"/>
      <protection locked="true" hidden="false"/>
    </xf>
    <xf numFmtId="166" fontId="15" fillId="0" borderId="1" xfId="0" applyFont="true" applyBorder="true" applyAlignment="true" applyProtection="false">
      <alignment horizontal="general" vertical="top" textRotation="0" wrapText="false" indent="0" shrinkToFit="false"/>
      <protection locked="true" hidden="false"/>
    </xf>
    <xf numFmtId="165" fontId="15" fillId="3" borderId="1" xfId="0" applyFont="true" applyBorder="true" applyAlignment="true" applyProtection="false">
      <alignment horizontal="general" vertical="top" textRotation="0" wrapText="false" indent="0" shrinkToFit="false"/>
      <protection locked="true" hidden="false"/>
    </xf>
    <xf numFmtId="165" fontId="15" fillId="0" borderId="1" xfId="0" applyFont="true" applyBorder="true" applyAlignment="true" applyProtection="false">
      <alignment horizontal="general" vertical="top" textRotation="0" wrapText="false" indent="0" shrinkToFit="false"/>
      <protection locked="true" hidden="false"/>
    </xf>
    <xf numFmtId="166" fontId="15" fillId="3" borderId="1" xfId="0" applyFont="true" applyBorder="true" applyAlignment="true" applyProtection="false">
      <alignment horizontal="general" vertical="top" textRotation="0" wrapText="false" indent="0" shrinkToFit="false"/>
      <protection locked="true" hidden="false"/>
    </xf>
    <xf numFmtId="164" fontId="10" fillId="7" borderId="1" xfId="0" applyFont="true" applyBorder="true" applyAlignment="true" applyProtection="false">
      <alignment horizontal="general" vertical="top" textRotation="0" wrapText="fals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6" fontId="10" fillId="8" borderId="1" xfId="0" applyFont="true" applyBorder="true" applyAlignment="true" applyProtection="false">
      <alignment horizontal="general" vertical="top" textRotation="0" wrapText="false" indent="0" shrinkToFit="false"/>
      <protection locked="true" hidden="false"/>
    </xf>
    <xf numFmtId="165" fontId="10" fillId="8" borderId="1" xfId="0" applyFont="true" applyBorder="true" applyAlignment="true" applyProtection="false">
      <alignment horizontal="general" vertical="top" textRotation="0" wrapText="false" indent="0" shrinkToFit="false"/>
      <protection locked="true" hidden="false"/>
    </xf>
    <xf numFmtId="170" fontId="10" fillId="8" borderId="1" xfId="0" applyFont="true" applyBorder="true" applyAlignment="true" applyProtection="false">
      <alignment horizontal="general" vertical="top" textRotation="0" wrapText="false" indent="0" shrinkToFit="false"/>
      <protection locked="true" hidden="false"/>
    </xf>
    <xf numFmtId="164" fontId="9" fillId="8" borderId="1" xfId="0" applyFont="true" applyBorder="true" applyAlignment="true" applyProtection="false">
      <alignment horizontal="general" vertical="top" textRotation="0" wrapText="false" indent="0" shrinkToFit="false"/>
      <protection locked="true" hidden="false"/>
    </xf>
    <xf numFmtId="167" fontId="10" fillId="8" borderId="1" xfId="0" applyFont="true" applyBorder="true" applyAlignment="true" applyProtection="false">
      <alignment horizontal="general" vertical="top" textRotation="0" wrapText="false" indent="0" shrinkToFit="false"/>
      <protection locked="true" hidden="false"/>
    </xf>
    <xf numFmtId="164" fontId="10" fillId="9" borderId="1" xfId="0" applyFont="true" applyBorder="true" applyAlignment="true" applyProtection="false">
      <alignment horizontal="general" vertical="top" textRotation="0" wrapText="false" indent="0" shrinkToFit="false"/>
      <protection locked="true" hidden="false"/>
    </xf>
    <xf numFmtId="164" fontId="10" fillId="9"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false" indent="0" shrinkToFit="false"/>
      <protection locked="true" hidden="false"/>
    </xf>
    <xf numFmtId="164" fontId="10" fillId="10" borderId="1" xfId="0" applyFont="true" applyBorder="true" applyAlignment="true" applyProtection="false">
      <alignment horizontal="center" vertical="top" textRotation="0" wrapText="fals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9" fillId="2" borderId="0" xfId="0" applyFont="true" applyBorder="true" applyAlignment="false" applyProtection="false">
      <alignment horizontal="general" vertical="bottom" textRotation="0" wrapText="false" indent="0" shrinkToFit="false"/>
      <protection locked="true" hidden="false"/>
    </xf>
    <xf numFmtId="164" fontId="17" fillId="11" borderId="1" xfId="0" applyFont="true" applyBorder="true" applyAlignment="true" applyProtection="false">
      <alignment horizontal="general" vertical="top" textRotation="0" wrapText="true" indent="0" shrinkToFit="false"/>
      <protection locked="true" hidden="false"/>
    </xf>
    <xf numFmtId="164" fontId="16" fillId="11"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70" fontId="10" fillId="3"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FFFFFF"/>
          <bgColor rgb="FF000000"/>
        </patternFill>
      </fill>
    </dxf>
    <dxf>
      <fill>
        <patternFill patternType="solid">
          <bgColor rgb="FF000000"/>
        </patternFill>
      </fill>
    </dxf>
    <dxf>
      <fill>
        <patternFill patternType="solid">
          <fgColor rgb="FFF7F7F7"/>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DDEBF7"/>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F2F2F2"/>
      <rgbColor rgb="FFE2EFDA"/>
      <rgbColor rgb="FFFFE699"/>
      <rgbColor rgb="FFF7F7F7"/>
      <rgbColor rgb="FFFCE4D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aiyo-ura_&#25913;&#21892;&#12524;&#12509;&#12540;&#12488;_2026-10-10.xlsx" TargetMode="External"/><Relationship Id="rId2" Type="http://schemas.openxmlformats.org/officeDocument/2006/relationships/hyperlink" Target="saiyo-ura_&#25913;&#21892;&#12524;&#12509;&#12540;&#12488;_2026-10-10.xlsx" TargetMode="External"/><Relationship Id="rId3" Type="http://schemas.openxmlformats.org/officeDocument/2006/relationships/hyperlink" Target="saiyo-ura_&#25913;&#21892;&#12524;&#12509;&#12540;&#12488;_2026-10-10.xlsx" TargetMode="External"/><Relationship Id="rId4" Type="http://schemas.openxmlformats.org/officeDocument/2006/relationships/hyperlink" Target="saiyo-ura_&#25913;&#21892;&#12524;&#12509;&#12540;&#12488;_2026-10-10.xlsx" TargetMode="External"/><Relationship Id="rId5" Type="http://schemas.openxmlformats.org/officeDocument/2006/relationships/hyperlink" Target="saiyo-ura_&#25913;&#21892;&#12524;&#12509;&#12540;&#12488;_2026-10-10.xlsx" TargetMode="External"/><Relationship Id="rId6" Type="http://schemas.openxmlformats.org/officeDocument/2006/relationships/hyperlink" Target="saiyo-ura_&#25913;&#21892;&#12524;&#12509;&#12540;&#12488;_2026-10-10.xlsx" TargetMode="External"/><Relationship Id="rId7" Type="http://schemas.openxmlformats.org/officeDocument/2006/relationships/hyperlink" Target="saiyo-ura_&#25913;&#21892;&#12524;&#12509;&#12540;&#12488;_2026-10-10.xlsx" TargetMode="External"/><Relationship Id="rId8" Type="http://schemas.openxmlformats.org/officeDocument/2006/relationships/hyperlink" Target="saiyo-ura_&#25913;&#21892;&#12524;&#12509;&#12540;&#12488;_2026-10-10.xlsx" TargetMode="External"/><Relationship Id="rId9" Type="http://schemas.openxmlformats.org/officeDocument/2006/relationships/hyperlink" Target="saiyo-ura_&#25913;&#21892;&#12524;&#12509;&#12540;&#12488;_2026-10-10.xlsx" TargetMode="External"/><Relationship Id="rId10" Type="http://schemas.openxmlformats.org/officeDocument/2006/relationships/hyperlink" Target="saiyo-ura_&#25913;&#21892;&#12524;&#12509;&#12540;&#12488;_2026-10-10.xlsx" TargetMode="External"/><Relationship Id="rId11" Type="http://schemas.openxmlformats.org/officeDocument/2006/relationships/hyperlink" Target="saiyo-ura_&#25913;&#21892;&#12524;&#12509;&#12540;&#12488;_2026-10-10.xlsx"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D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4" min="3"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4" t="s">
        <v>13</v>
      </c>
      <c r="B10" s="5" t="s">
        <v>14</v>
      </c>
    </row>
    <row r="11" customFormat="false" ht="15" hidden="false" customHeight="false" outlineLevel="0" collapsed="false">
      <c r="A11" s="6" t="s">
        <v>15</v>
      </c>
      <c r="B11" s="5" t="s">
        <v>16</v>
      </c>
    </row>
    <row r="12" customFormat="false" ht="15" hidden="false" customHeight="false" outlineLevel="0" collapsed="false">
      <c r="A12" s="6" t="s">
        <v>17</v>
      </c>
      <c r="B12" s="5" t="s">
        <v>18</v>
      </c>
    </row>
    <row r="13" customFormat="false" ht="15" hidden="false" customHeight="false" outlineLevel="0" collapsed="false">
      <c r="A13" s="4" t="s">
        <v>19</v>
      </c>
      <c r="B13" s="5" t="s">
        <v>20</v>
      </c>
    </row>
    <row r="14" customFormat="false" ht="15" hidden="false" customHeight="false" outlineLevel="0" collapsed="false">
      <c r="A14" s="4" t="s">
        <v>21</v>
      </c>
      <c r="B14" s="5" t="s">
        <v>22</v>
      </c>
    </row>
    <row r="15" customFormat="false" ht="15" hidden="false" customHeight="false" outlineLevel="0" collapsed="false">
      <c r="A15" s="4" t="s">
        <v>23</v>
      </c>
      <c r="B15" s="7" t="s">
        <v>24</v>
      </c>
    </row>
    <row r="17" customFormat="false" ht="15" hidden="false" customHeight="false" outlineLevel="0" collapsed="false">
      <c r="A17" s="3" t="s">
        <v>25</v>
      </c>
    </row>
    <row r="18" customFormat="false" ht="15" hidden="false" customHeight="false" outlineLevel="0" collapsed="false">
      <c r="A18" s="8" t="s">
        <v>26</v>
      </c>
      <c r="B18" s="8" t="s">
        <v>27</v>
      </c>
    </row>
    <row r="19" customFormat="false" ht="26.85" hidden="false" customHeight="false" outlineLevel="0" collapsed="false">
      <c r="A19" s="9" t="s">
        <v>28</v>
      </c>
      <c r="B19" s="10" t="s">
        <v>29</v>
      </c>
    </row>
    <row r="20" customFormat="false" ht="15" hidden="false" customHeight="false" outlineLevel="0" collapsed="false">
      <c r="A20" s="11" t="s">
        <v>30</v>
      </c>
      <c r="B20" s="12" t="s">
        <v>31</v>
      </c>
    </row>
    <row r="21" customFormat="false" ht="15" hidden="false" customHeight="false" outlineLevel="0" collapsed="false">
      <c r="A21" s="13" t="s">
        <v>32</v>
      </c>
      <c r="B21" s="10" t="s">
        <v>33</v>
      </c>
    </row>
    <row r="22" customFormat="false" ht="15" hidden="false" customHeight="false" outlineLevel="0" collapsed="false">
      <c r="A22" s="14" t="s">
        <v>34</v>
      </c>
      <c r="B22" s="12" t="s">
        <v>35</v>
      </c>
    </row>
    <row r="24" customFormat="false" ht="15" hidden="false" customHeight="false" outlineLevel="0" collapsed="false">
      <c r="A24" s="3" t="s">
        <v>36</v>
      </c>
    </row>
    <row r="25" customFormat="false" ht="42" hidden="false" customHeight="true" outlineLevel="0" collapsed="false">
      <c r="A25" s="15" t="s">
        <v>37</v>
      </c>
      <c r="B25" s="15"/>
      <c r="C25" s="15"/>
      <c r="D25" s="15"/>
    </row>
    <row r="26" customFormat="false" ht="42" hidden="false" customHeight="true" outlineLevel="0" collapsed="false">
      <c r="A26" s="15" t="s">
        <v>38</v>
      </c>
      <c r="B26" s="15"/>
      <c r="C26" s="15"/>
      <c r="D26" s="15"/>
    </row>
    <row r="27" customFormat="false" ht="42" hidden="false" customHeight="true" outlineLevel="0" collapsed="false">
      <c r="A27" s="15" t="s">
        <v>39</v>
      </c>
      <c r="B27" s="15"/>
      <c r="C27" s="15"/>
      <c r="D27" s="15"/>
    </row>
    <row r="28" customFormat="false" ht="42" hidden="false" customHeight="true" outlineLevel="0" collapsed="false">
      <c r="A28" s="15" t="s">
        <v>40</v>
      </c>
      <c r="B28" s="15"/>
      <c r="C28" s="15"/>
      <c r="D28" s="15"/>
    </row>
    <row r="29" customFormat="false" ht="42" hidden="false" customHeight="true" outlineLevel="0" collapsed="false">
      <c r="A29" s="15" t="s">
        <v>41</v>
      </c>
      <c r="B29" s="15"/>
      <c r="C29" s="15"/>
      <c r="D29" s="15"/>
    </row>
    <row r="30" customFormat="false" ht="42" hidden="false" customHeight="true" outlineLevel="0" collapsed="false">
      <c r="A30" s="15" t="s">
        <v>42</v>
      </c>
      <c r="B30" s="15"/>
      <c r="C30" s="15"/>
      <c r="D30" s="15"/>
    </row>
    <row r="32" customFormat="false" ht="17.15" hidden="false" customHeight="false" outlineLevel="0" collapsed="false">
      <c r="A32" s="3" t="s">
        <v>43</v>
      </c>
    </row>
    <row r="33" customFormat="false" ht="13.4" hidden="false" customHeight="false" outlineLevel="0" collapsed="false">
      <c r="A33" s="16" t="s">
        <v>44</v>
      </c>
      <c r="B33" s="16"/>
      <c r="C33" s="16"/>
      <c r="D33" s="16"/>
    </row>
    <row r="34" customFormat="false" ht="15" hidden="false" customHeight="false" outlineLevel="0" collapsed="false">
      <c r="A34" s="8" t="s">
        <v>45</v>
      </c>
      <c r="B34" s="8" t="s">
        <v>46</v>
      </c>
    </row>
    <row r="35" customFormat="false" ht="15" hidden="false" customHeight="false" outlineLevel="0" collapsed="false">
      <c r="A35" s="13" t="n">
        <v>1</v>
      </c>
      <c r="B35" s="17" t="n">
        <v>0.3</v>
      </c>
    </row>
    <row r="36" customFormat="false" ht="15" hidden="false" customHeight="false" outlineLevel="0" collapsed="false">
      <c r="A36" s="13" t="n">
        <v>2</v>
      </c>
      <c r="B36" s="17" t="n">
        <v>0.2</v>
      </c>
    </row>
    <row r="37" customFormat="false" ht="15" hidden="false" customHeight="false" outlineLevel="0" collapsed="false">
      <c r="A37" s="13" t="n">
        <v>3</v>
      </c>
      <c r="B37" s="17" t="n">
        <v>0.14</v>
      </c>
    </row>
    <row r="38" customFormat="false" ht="15" hidden="false" customHeight="false" outlineLevel="0" collapsed="false">
      <c r="A38" s="13" t="n">
        <v>4</v>
      </c>
      <c r="B38" s="17" t="n">
        <v>0.1</v>
      </c>
    </row>
    <row r="39" customFormat="false" ht="15" hidden="false" customHeight="false" outlineLevel="0" collapsed="false">
      <c r="A39" s="13" t="n">
        <v>5</v>
      </c>
      <c r="B39" s="17" t="n">
        <v>0.08</v>
      </c>
    </row>
    <row r="40" customFormat="false" ht="15" hidden="false" customHeight="false" outlineLevel="0" collapsed="false">
      <c r="A40" s="13" t="n">
        <v>6</v>
      </c>
      <c r="B40" s="17" t="n">
        <v>0.06</v>
      </c>
    </row>
    <row r="41" customFormat="false" ht="15" hidden="false" customHeight="false" outlineLevel="0" collapsed="false">
      <c r="A41" s="13" t="n">
        <v>7</v>
      </c>
      <c r="B41" s="17" t="n">
        <v>0.05</v>
      </c>
    </row>
    <row r="42" customFormat="false" ht="15" hidden="false" customHeight="false" outlineLevel="0" collapsed="false">
      <c r="A42" s="13" t="n">
        <v>8</v>
      </c>
      <c r="B42" s="17" t="n">
        <v>0.045</v>
      </c>
    </row>
    <row r="43" customFormat="false" ht="15" hidden="false" customHeight="false" outlineLevel="0" collapsed="false">
      <c r="A43" s="13" t="n">
        <v>9</v>
      </c>
      <c r="B43" s="17" t="n">
        <v>0.04</v>
      </c>
    </row>
    <row r="44" customFormat="false" ht="15" hidden="false" customHeight="false" outlineLevel="0" collapsed="false">
      <c r="A44" s="13" t="n">
        <v>10</v>
      </c>
      <c r="B44" s="17" t="n">
        <v>0.035</v>
      </c>
    </row>
    <row r="45" customFormat="false" ht="15" hidden="false" customHeight="false" outlineLevel="0" collapsed="false">
      <c r="A45" s="13" t="n">
        <v>11</v>
      </c>
      <c r="B45" s="17" t="n">
        <v>0.025</v>
      </c>
    </row>
    <row r="46" customFormat="false" ht="15" hidden="false" customHeight="false" outlineLevel="0" collapsed="false">
      <c r="A46" s="13" t="n">
        <v>12</v>
      </c>
      <c r="B46" s="17" t="n">
        <v>0.025</v>
      </c>
    </row>
    <row r="47" customFormat="false" ht="15" hidden="false" customHeight="false" outlineLevel="0" collapsed="false">
      <c r="A47" s="13" t="n">
        <v>13</v>
      </c>
      <c r="B47" s="17" t="n">
        <v>0.025</v>
      </c>
    </row>
    <row r="48" customFormat="false" ht="15" hidden="false" customHeight="false" outlineLevel="0" collapsed="false">
      <c r="A48" s="13" t="n">
        <v>14</v>
      </c>
      <c r="B48" s="17" t="n">
        <v>0.025</v>
      </c>
    </row>
    <row r="49" customFormat="false" ht="15" hidden="false" customHeight="false" outlineLevel="0" collapsed="false">
      <c r="A49" s="13" t="n">
        <v>15</v>
      </c>
      <c r="B49" s="17" t="n">
        <v>0.025</v>
      </c>
    </row>
    <row r="50" customFormat="false" ht="15" hidden="false" customHeight="false" outlineLevel="0" collapsed="false">
      <c r="A50" s="13" t="n">
        <v>16</v>
      </c>
      <c r="B50" s="17" t="n">
        <v>0.012</v>
      </c>
    </row>
    <row r="51" customFormat="false" ht="15" hidden="false" customHeight="false" outlineLevel="0" collapsed="false">
      <c r="A51" s="13" t="n">
        <v>17</v>
      </c>
      <c r="B51" s="17" t="n">
        <v>0.012</v>
      </c>
    </row>
    <row r="52" customFormat="false" ht="15" hidden="false" customHeight="false" outlineLevel="0" collapsed="false">
      <c r="A52" s="13" t="n">
        <v>18</v>
      </c>
      <c r="B52" s="17" t="n">
        <v>0.012</v>
      </c>
    </row>
    <row r="53" customFormat="false" ht="15" hidden="false" customHeight="false" outlineLevel="0" collapsed="false">
      <c r="A53" s="13" t="n">
        <v>19</v>
      </c>
      <c r="B53" s="17" t="n">
        <v>0.012</v>
      </c>
    </row>
    <row r="54" customFormat="false" ht="15" hidden="false" customHeight="false" outlineLevel="0" collapsed="false">
      <c r="A54" s="13" t="n">
        <v>20</v>
      </c>
      <c r="B54" s="17" t="n">
        <v>0.012</v>
      </c>
    </row>
    <row r="56" customFormat="false" ht="15" hidden="false" customHeight="false" outlineLevel="0" collapsed="false">
      <c r="A56" s="3" t="s">
        <v>47</v>
      </c>
    </row>
    <row r="57" customFormat="false" ht="15" hidden="false" customHeight="false" outlineLevel="0" collapsed="false">
      <c r="A57" s="8" t="s">
        <v>47</v>
      </c>
      <c r="B57" s="8" t="s">
        <v>48</v>
      </c>
    </row>
    <row r="58" customFormat="false" ht="15" hidden="false" customHeight="false" outlineLevel="0" collapsed="false">
      <c r="A58" s="9" t="s">
        <v>49</v>
      </c>
      <c r="B58" s="10" t="s">
        <v>50</v>
      </c>
    </row>
    <row r="59" customFormat="false" ht="15" hidden="false" customHeight="false" outlineLevel="0" collapsed="false">
      <c r="A59" s="14" t="s">
        <v>45</v>
      </c>
      <c r="B59" s="12" t="s">
        <v>51</v>
      </c>
    </row>
    <row r="60" customFormat="false" ht="26.85" hidden="false" customHeight="false" outlineLevel="0" collapsed="false">
      <c r="A60" s="13" t="s">
        <v>52</v>
      </c>
      <c r="B60" s="10" t="s">
        <v>53</v>
      </c>
    </row>
    <row r="61" customFormat="false" ht="15" hidden="false" customHeight="false" outlineLevel="0" collapsed="false">
      <c r="A61" s="14" t="s">
        <v>54</v>
      </c>
      <c r="B61" s="12" t="s">
        <v>55</v>
      </c>
    </row>
    <row r="62" customFormat="false" ht="26.85" hidden="false" customHeight="false" outlineLevel="0" collapsed="false">
      <c r="A62" s="13" t="s">
        <v>56</v>
      </c>
      <c r="B62" s="10" t="s">
        <v>57</v>
      </c>
    </row>
    <row r="63" customFormat="false" ht="15" hidden="false" customHeight="false" outlineLevel="0" collapsed="false">
      <c r="A63" s="11" t="s">
        <v>58</v>
      </c>
      <c r="B63" s="12" t="s">
        <v>59</v>
      </c>
    </row>
  </sheetData>
  <mergeCells count="7">
    <mergeCell ref="A25:D25"/>
    <mergeCell ref="A26:D26"/>
    <mergeCell ref="A27:D27"/>
    <mergeCell ref="A28:D28"/>
    <mergeCell ref="A29:D29"/>
    <mergeCell ref="A30:D30"/>
    <mergeCell ref="A33:D33"/>
  </mergeCells>
  <hyperlinks>
    <hyperlink ref="A5" r:id="rId1" location="'サマリー'!A1" display="サマリー"/>
    <hyperlink ref="A6" r:id="rId2" location="'良い点・悪い点'!A1" display="良い点・悪い点"/>
    <hyperlink ref="A7" r:id="rId3" location="'今後の方向性'!A1" display="今後の方向性"/>
    <hyperlink ref="A8" r:id="rId4" location="'全記事_修正点'!A1" display="全記事_修正点"/>
    <hyperlink ref="A9" r:id="rId5" location="'重点9記事_詳細'!A1" display="重点9記事_詳細"/>
    <hyperlink ref="A10" r:id="rId6" location="'カニバリ分析'!A1" display="カニバリ分析"/>
    <hyperlink ref="A11" r:id="rId7" location="'URL・技術課題'!A1" display="URL・技術課題"/>
    <hyperlink ref="A12" r:id="rId8" location="'GSC主要発見'!A1" display="GSC主要発見"/>
    <hyperlink ref="A13" r:id="rId9" location="'クエリ機会'!A1" display="クエリ機会"/>
    <hyperlink ref="A14" r:id="rId10" location="'推移・デバイス'!A1" display="推移・デバイス"/>
    <hyperlink ref="A15" r:id="rId11" location="'アフィリエイト実績'!A1" display="アフィリエイト実績"/>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5" min="5" style="0" width="14"/>
    <col collapsed="false" customWidth="true" hidden="false" outlineLevel="0" max="6" min="6" style="0" width="46"/>
    <col collapsed="false" customWidth="true" hidden="false" outlineLevel="0" max="7" min="7" style="0" width="14"/>
  </cols>
  <sheetData>
    <row r="1" customFormat="false" ht="17.35" hidden="false" customHeight="false" outlineLevel="0" collapsed="false">
      <c r="A1" s="1" t="s">
        <v>60</v>
      </c>
    </row>
    <row r="3" customFormat="false" ht="17.15" hidden="false" customHeight="false" outlineLevel="0" collapsed="false">
      <c r="A3" s="3" t="s">
        <v>61</v>
      </c>
    </row>
    <row r="4" customFormat="false" ht="36" hidden="false" customHeight="true" outlineLevel="0" collapsed="false">
      <c r="A4" s="15" t="s">
        <v>62</v>
      </c>
      <c r="B4" s="15"/>
      <c r="C4" s="15"/>
      <c r="D4" s="15"/>
      <c r="E4" s="15"/>
      <c r="F4" s="15"/>
      <c r="G4" s="15"/>
    </row>
    <row r="5" customFormat="false" ht="36" hidden="false" customHeight="true" outlineLevel="0" collapsed="false">
      <c r="A5" s="15" t="s">
        <v>63</v>
      </c>
      <c r="B5" s="15"/>
      <c r="C5" s="15"/>
      <c r="D5" s="15"/>
      <c r="E5" s="15"/>
      <c r="F5" s="15"/>
      <c r="G5" s="15"/>
    </row>
    <row r="6" customFormat="false" ht="36" hidden="false" customHeight="true" outlineLevel="0" collapsed="false">
      <c r="A6" s="15" t="s">
        <v>64</v>
      </c>
      <c r="B6" s="15"/>
      <c r="C6" s="15"/>
      <c r="D6" s="15"/>
      <c r="E6" s="15"/>
      <c r="F6" s="15"/>
      <c r="G6" s="15"/>
    </row>
    <row r="8" customFormat="false" ht="15" hidden="false" customHeight="false" outlineLevel="0" collapsed="false">
      <c r="A8" s="3" t="s">
        <v>65</v>
      </c>
    </row>
    <row r="9" customFormat="false" ht="15" hidden="false" customHeight="false" outlineLevel="0" collapsed="false">
      <c r="A9" s="8" t="s">
        <v>66</v>
      </c>
      <c r="B9" s="8" t="s">
        <v>67</v>
      </c>
      <c r="C9" s="8" t="s">
        <v>68</v>
      </c>
      <c r="D9" s="8" t="s">
        <v>69</v>
      </c>
      <c r="E9" s="18" t="s">
        <v>49</v>
      </c>
      <c r="F9" s="8" t="s">
        <v>70</v>
      </c>
      <c r="G9" s="8" t="s">
        <v>45</v>
      </c>
    </row>
    <row r="10" customFormat="false" ht="15" hidden="false" customHeight="false" outlineLevel="0" collapsed="false">
      <c r="A10" s="13" t="s">
        <v>71</v>
      </c>
      <c r="B10" s="13" t="n">
        <v>92</v>
      </c>
      <c r="C10" s="19" t="n">
        <v>10933</v>
      </c>
      <c r="D10" s="19" t="n">
        <v>227520</v>
      </c>
      <c r="E10" s="20" t="n">
        <f aca="false">C10/D10</f>
        <v>0.0480529184247539</v>
      </c>
      <c r="F10" s="21" t="n">
        <f aca="false">C10/B10</f>
        <v>118.836956521739</v>
      </c>
      <c r="G10" s="22" t="n">
        <v>8.22</v>
      </c>
    </row>
    <row r="11" customFormat="false" ht="15" hidden="false" customHeight="false" outlineLevel="0" collapsed="false">
      <c r="A11" s="14" t="s">
        <v>72</v>
      </c>
      <c r="B11" s="14" t="n">
        <v>28</v>
      </c>
      <c r="C11" s="23" t="n">
        <v>4386</v>
      </c>
      <c r="D11" s="23" t="n">
        <v>86715</v>
      </c>
      <c r="E11" s="24" t="n">
        <f aca="false">C11/D11</f>
        <v>0.0505794845182494</v>
      </c>
      <c r="F11" s="25" t="n">
        <f aca="false">C11/B11</f>
        <v>156.642857142857</v>
      </c>
      <c r="G11" s="26" t="n">
        <v>7.56</v>
      </c>
    </row>
    <row r="12" customFormat="false" ht="15" hidden="false" customHeight="false" outlineLevel="0" collapsed="false">
      <c r="A12" s="13" t="s">
        <v>73</v>
      </c>
      <c r="B12" s="13" t="n">
        <v>7</v>
      </c>
      <c r="C12" s="19" t="n">
        <v>1417</v>
      </c>
      <c r="D12" s="19" t="n">
        <v>27303</v>
      </c>
      <c r="E12" s="20" t="n">
        <f aca="false">C12/D12</f>
        <v>0.0518990587114969</v>
      </c>
      <c r="F12" s="21" t="n">
        <f aca="false">C12/B12</f>
        <v>202.428571428571</v>
      </c>
      <c r="G12" s="22" t="n">
        <v>7.14</v>
      </c>
    </row>
    <row r="14" customFormat="false" ht="15" hidden="false" customHeight="false" outlineLevel="0" collapsed="false">
      <c r="A14" s="3" t="s">
        <v>74</v>
      </c>
    </row>
    <row r="15" customFormat="false" ht="15" hidden="false" customHeight="false" outlineLevel="0" collapsed="false">
      <c r="A15" s="18" t="s">
        <v>75</v>
      </c>
      <c r="B15" s="8" t="s">
        <v>76</v>
      </c>
      <c r="C15" s="8" t="s">
        <v>68</v>
      </c>
      <c r="D15" s="8" t="s">
        <v>77</v>
      </c>
      <c r="E15" s="8" t="s">
        <v>78</v>
      </c>
      <c r="F15" s="8" t="s">
        <v>79</v>
      </c>
    </row>
    <row r="16" customFormat="false" ht="26.85" hidden="false" customHeight="false" outlineLevel="0" collapsed="false">
      <c r="A16" s="13" t="s">
        <v>80</v>
      </c>
      <c r="B16" s="19" t="n">
        <v>646</v>
      </c>
      <c r="C16" s="19" t="n">
        <v>22</v>
      </c>
      <c r="D16" s="13" t="n">
        <v>1</v>
      </c>
      <c r="E16" s="19" t="n">
        <v>330</v>
      </c>
      <c r="F16" s="10" t="s">
        <v>81</v>
      </c>
    </row>
    <row r="17" customFormat="false" ht="15" hidden="false" customHeight="false" outlineLevel="0" collapsed="false">
      <c r="A17" s="11" t="s">
        <v>82</v>
      </c>
      <c r="B17" s="23" t="n">
        <v>51</v>
      </c>
      <c r="C17" s="23" t="n">
        <v>2</v>
      </c>
      <c r="D17" s="14" t="n">
        <v>0</v>
      </c>
      <c r="E17" s="23" t="n">
        <v>0</v>
      </c>
      <c r="F17" s="12" t="s">
        <v>83</v>
      </c>
    </row>
    <row r="18" customFormat="false" ht="15" hidden="false" customHeight="false" outlineLevel="0" collapsed="false">
      <c r="A18" s="13" t="s">
        <v>34</v>
      </c>
      <c r="B18" s="19" t="n">
        <v>90</v>
      </c>
      <c r="C18" s="19" t="n">
        <v>5</v>
      </c>
      <c r="D18" s="13" t="n">
        <v>0</v>
      </c>
      <c r="E18" s="19" t="n">
        <v>0</v>
      </c>
      <c r="F18" s="10" t="s">
        <v>84</v>
      </c>
    </row>
    <row r="19" customFormat="false" ht="15" hidden="false" customHeight="false" outlineLevel="0" collapsed="false">
      <c r="A19" s="14" t="s">
        <v>85</v>
      </c>
      <c r="B19" s="23" t="n">
        <f aca="false">SUM(B16:B18)</f>
        <v>787</v>
      </c>
      <c r="C19" s="23" t="n">
        <f aca="false">SUM(C16:C18)</f>
        <v>29</v>
      </c>
      <c r="D19" s="14" t="n">
        <f aca="false">SUM(D16:D18)</f>
        <v>1</v>
      </c>
      <c r="E19" s="23" t="n">
        <f aca="false">SUM(E16:E18)</f>
        <v>330</v>
      </c>
      <c r="F19" s="12"/>
    </row>
    <row r="20" customFormat="false" ht="15" hidden="false" customHeight="false" outlineLevel="0" collapsed="false">
      <c r="A20" s="5" t="s">
        <v>86</v>
      </c>
      <c r="F20" s="27" t="n">
        <f aca="false">(C16+C17)/(4386/28*30)</f>
        <v>0.00510715914272686</v>
      </c>
    </row>
    <row r="22" customFormat="false" ht="15" hidden="false" customHeight="false" outlineLevel="0" collapsed="false">
      <c r="A22" s="3" t="s">
        <v>87</v>
      </c>
    </row>
    <row r="23" customFormat="false" ht="15" hidden="false" customHeight="true" outlineLevel="0" collapsed="false">
      <c r="A23" s="8" t="s">
        <v>88</v>
      </c>
      <c r="B23" s="8" t="s">
        <v>89</v>
      </c>
      <c r="C23" s="8" t="s">
        <v>90</v>
      </c>
      <c r="D23" s="8"/>
      <c r="E23" s="8"/>
      <c r="F23" s="8"/>
      <c r="G23" s="8"/>
    </row>
    <row r="24" customFormat="false" ht="48" hidden="false" customHeight="true" outlineLevel="0" collapsed="false">
      <c r="A24" s="13" t="s">
        <v>91</v>
      </c>
      <c r="B24" s="13" t="s">
        <v>92</v>
      </c>
      <c r="C24" s="10" t="s">
        <v>93</v>
      </c>
      <c r="D24" s="10"/>
      <c r="E24" s="10"/>
      <c r="F24" s="10"/>
      <c r="G24" s="10"/>
    </row>
    <row r="25" customFormat="false" ht="48" hidden="false" customHeight="true" outlineLevel="0" collapsed="false">
      <c r="A25" s="14" t="s">
        <v>94</v>
      </c>
      <c r="B25" s="14" t="s">
        <v>95</v>
      </c>
      <c r="C25" s="12" t="s">
        <v>96</v>
      </c>
      <c r="D25" s="12"/>
      <c r="E25" s="12"/>
      <c r="F25" s="12"/>
      <c r="G25" s="12"/>
    </row>
    <row r="26" customFormat="false" ht="48" hidden="false" customHeight="true" outlineLevel="0" collapsed="false">
      <c r="A26" s="9" t="s">
        <v>97</v>
      </c>
      <c r="B26" s="13" t="s">
        <v>98</v>
      </c>
      <c r="C26" s="28" t="s">
        <v>99</v>
      </c>
      <c r="D26" s="28"/>
      <c r="E26" s="28"/>
      <c r="F26" s="28"/>
      <c r="G26" s="28"/>
    </row>
    <row r="28" customFormat="false" ht="17.15" hidden="false" customHeight="false" outlineLevel="0" collapsed="false">
      <c r="A28" s="3" t="s">
        <v>100</v>
      </c>
    </row>
    <row r="29" customFormat="false" ht="15" hidden="false" customHeight="false" outlineLevel="0" collapsed="false">
      <c r="A29" s="18" t="s">
        <v>101</v>
      </c>
      <c r="B29" s="8" t="s">
        <v>102</v>
      </c>
      <c r="C29" s="8" t="s">
        <v>27</v>
      </c>
    </row>
    <row r="30" customFormat="false" ht="15" hidden="false" customHeight="true" outlineLevel="0" collapsed="false">
      <c r="A30" s="9" t="s">
        <v>103</v>
      </c>
      <c r="B30" s="13" t="s">
        <v>104</v>
      </c>
      <c r="C30" s="10" t="s">
        <v>105</v>
      </c>
      <c r="D30" s="10"/>
      <c r="E30" s="10"/>
      <c r="F30" s="10"/>
      <c r="G30" s="10"/>
    </row>
    <row r="31" customFormat="false" ht="15" hidden="false" customHeight="true" outlineLevel="0" collapsed="false">
      <c r="A31" s="11" t="s">
        <v>106</v>
      </c>
      <c r="B31" s="14" t="s">
        <v>107</v>
      </c>
      <c r="C31" s="12" t="s">
        <v>108</v>
      </c>
      <c r="D31" s="12"/>
      <c r="E31" s="12"/>
      <c r="F31" s="12"/>
      <c r="G31" s="12"/>
    </row>
    <row r="32" customFormat="false" ht="15" hidden="false" customHeight="true" outlineLevel="0" collapsed="false">
      <c r="A32" s="9" t="s">
        <v>109</v>
      </c>
      <c r="B32" s="9" t="s">
        <v>110</v>
      </c>
      <c r="C32" s="10" t="s">
        <v>111</v>
      </c>
      <c r="D32" s="10"/>
      <c r="E32" s="10"/>
      <c r="F32" s="10"/>
      <c r="G32" s="10"/>
    </row>
    <row r="33" customFormat="false" ht="15" hidden="false" customHeight="true" outlineLevel="0" collapsed="false">
      <c r="A33" s="11" t="s">
        <v>112</v>
      </c>
      <c r="B33" s="14" t="s">
        <v>113</v>
      </c>
      <c r="C33" s="29" t="s">
        <v>114</v>
      </c>
      <c r="D33" s="29"/>
      <c r="E33" s="29"/>
      <c r="F33" s="29"/>
      <c r="G33" s="29"/>
    </row>
    <row r="34" customFormat="false" ht="15" hidden="false" customHeight="true" outlineLevel="0" collapsed="false">
      <c r="A34" s="9" t="s">
        <v>115</v>
      </c>
      <c r="B34" s="13" t="s">
        <v>116</v>
      </c>
      <c r="C34" s="28" t="s">
        <v>117</v>
      </c>
      <c r="D34" s="28"/>
      <c r="E34" s="28"/>
      <c r="F34" s="28"/>
      <c r="G34" s="28"/>
    </row>
    <row r="35" customFormat="false" ht="15" hidden="false" customHeight="true" outlineLevel="0" collapsed="false">
      <c r="A35" s="11" t="s">
        <v>118</v>
      </c>
      <c r="B35" s="14" t="s">
        <v>119</v>
      </c>
      <c r="C35" s="29" t="s">
        <v>120</v>
      </c>
      <c r="D35" s="29"/>
      <c r="E35" s="29"/>
      <c r="F35" s="29"/>
      <c r="G35" s="29"/>
    </row>
    <row r="36" customFormat="false" ht="15" hidden="false" customHeight="true" outlineLevel="0" collapsed="false">
      <c r="A36" s="9" t="s">
        <v>121</v>
      </c>
      <c r="B36" s="13" t="s">
        <v>122</v>
      </c>
      <c r="C36" s="28" t="s">
        <v>123</v>
      </c>
      <c r="D36" s="28"/>
      <c r="E36" s="28"/>
      <c r="F36" s="28"/>
      <c r="G36" s="28"/>
    </row>
    <row r="37" customFormat="false" ht="15" hidden="false" customHeight="true" outlineLevel="0" collapsed="false">
      <c r="A37" s="11" t="s">
        <v>124</v>
      </c>
      <c r="B37" s="14" t="s">
        <v>125</v>
      </c>
      <c r="C37" s="29" t="s">
        <v>126</v>
      </c>
      <c r="D37" s="29"/>
      <c r="E37" s="29"/>
      <c r="F37" s="29"/>
      <c r="G37" s="29"/>
    </row>
    <row r="38" customFormat="false" ht="15" hidden="false" customHeight="true" outlineLevel="0" collapsed="false">
      <c r="A38" s="9" t="s">
        <v>127</v>
      </c>
      <c r="B38" s="13" t="s">
        <v>128</v>
      </c>
      <c r="C38" s="28" t="s">
        <v>129</v>
      </c>
      <c r="D38" s="28"/>
      <c r="E38" s="28"/>
      <c r="F38" s="28"/>
      <c r="G38" s="28"/>
    </row>
    <row r="39" customFormat="false" ht="15" hidden="false" customHeight="true" outlineLevel="0" collapsed="false">
      <c r="A39" s="11" t="s">
        <v>130</v>
      </c>
      <c r="B39" s="14" t="s">
        <v>131</v>
      </c>
      <c r="C39" s="29" t="s">
        <v>132</v>
      </c>
      <c r="D39" s="29"/>
      <c r="E39" s="29"/>
      <c r="F39" s="29"/>
      <c r="G39" s="29"/>
    </row>
    <row r="40" customFormat="false" ht="26.85" hidden="false" customHeight="true" outlineLevel="0" collapsed="false">
      <c r="A40" s="9" t="s">
        <v>133</v>
      </c>
      <c r="B40" s="13" t="s">
        <v>134</v>
      </c>
      <c r="C40" s="28" t="s">
        <v>135</v>
      </c>
      <c r="D40" s="28"/>
      <c r="E40" s="28"/>
      <c r="F40" s="28"/>
      <c r="G40" s="28"/>
    </row>
    <row r="41" customFormat="false" ht="15" hidden="false" customHeight="true" outlineLevel="0" collapsed="false">
      <c r="A41" s="11" t="s">
        <v>136</v>
      </c>
      <c r="B41" s="14" t="s">
        <v>137</v>
      </c>
      <c r="C41" s="29" t="s">
        <v>138</v>
      </c>
      <c r="D41" s="29"/>
      <c r="E41" s="29"/>
      <c r="F41" s="29"/>
      <c r="G41" s="29"/>
    </row>
  </sheetData>
  <mergeCells count="19">
    <mergeCell ref="A4:G4"/>
    <mergeCell ref="A5:G5"/>
    <mergeCell ref="A6:G6"/>
    <mergeCell ref="C23:G23"/>
    <mergeCell ref="C24:G24"/>
    <mergeCell ref="C25:G25"/>
    <mergeCell ref="C26:G26"/>
    <mergeCell ref="C30:G30"/>
    <mergeCell ref="C31:G31"/>
    <mergeCell ref="C32:G32"/>
    <mergeCell ref="C33:G33"/>
    <mergeCell ref="C34:G34"/>
    <mergeCell ref="C35:G35"/>
    <mergeCell ref="C36:G36"/>
    <mergeCell ref="C37:G37"/>
    <mergeCell ref="C38:G38"/>
    <mergeCell ref="C39:G39"/>
    <mergeCell ref="C40:G40"/>
    <mergeCell ref="C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6"/>
    <col collapsed="false" customWidth="true" hidden="false" outlineLevel="0" max="4" min="4" style="0" width="60"/>
    <col collapsed="false" customWidth="true" hidden="false" outlineLevel="0" max="5" min="5" style="0" width="50"/>
  </cols>
  <sheetData>
    <row r="1" customFormat="false" ht="17.35" hidden="false" customHeight="false" outlineLevel="0" collapsed="false">
      <c r="A1" s="1" t="s">
        <v>139</v>
      </c>
    </row>
    <row r="2" customFormat="false" ht="15" hidden="false" customHeight="false" outlineLevel="0" collapsed="false">
      <c r="A2" s="2" t="s">
        <v>140</v>
      </c>
    </row>
    <row r="3" customFormat="false" ht="15" hidden="false" customHeight="false" outlineLevel="0" collapsed="false">
      <c r="A3" s="8" t="s">
        <v>141</v>
      </c>
      <c r="B3" s="8" t="s">
        <v>142</v>
      </c>
      <c r="C3" s="8" t="s">
        <v>27</v>
      </c>
      <c r="D3" s="8" t="s">
        <v>143</v>
      </c>
      <c r="E3" s="8" t="s">
        <v>144</v>
      </c>
    </row>
    <row r="4" customFormat="false" ht="26.85" hidden="false" customHeight="false" outlineLevel="0" collapsed="false">
      <c r="A4" s="30" t="s">
        <v>145</v>
      </c>
      <c r="B4" s="9" t="s">
        <v>146</v>
      </c>
      <c r="C4" s="10" t="s">
        <v>147</v>
      </c>
      <c r="D4" s="10" t="s">
        <v>148</v>
      </c>
      <c r="E4" s="10" t="s">
        <v>149</v>
      </c>
    </row>
    <row r="5" customFormat="false" ht="26.85" hidden="false" customHeight="false" outlineLevel="0" collapsed="false">
      <c r="A5" s="30" t="s">
        <v>145</v>
      </c>
      <c r="B5" s="9" t="s">
        <v>146</v>
      </c>
      <c r="C5" s="10" t="s">
        <v>150</v>
      </c>
      <c r="D5" s="10" t="s">
        <v>151</v>
      </c>
      <c r="E5" s="10" t="s">
        <v>152</v>
      </c>
    </row>
    <row r="6" customFormat="false" ht="26.85" hidden="false" customHeight="false" outlineLevel="0" collapsed="false">
      <c r="A6" s="30" t="s">
        <v>145</v>
      </c>
      <c r="B6" s="13" t="s">
        <v>153</v>
      </c>
      <c r="C6" s="10" t="s">
        <v>154</v>
      </c>
      <c r="D6" s="28" t="s">
        <v>155</v>
      </c>
      <c r="E6" s="10" t="s">
        <v>156</v>
      </c>
    </row>
    <row r="7" customFormat="false" ht="26.85" hidden="false" customHeight="false" outlineLevel="0" collapsed="false">
      <c r="A7" s="30" t="s">
        <v>145</v>
      </c>
      <c r="B7" s="13" t="s">
        <v>153</v>
      </c>
      <c r="C7" s="10" t="s">
        <v>157</v>
      </c>
      <c r="D7" s="28" t="s">
        <v>158</v>
      </c>
      <c r="E7" s="10" t="s">
        <v>159</v>
      </c>
    </row>
    <row r="8" customFormat="false" ht="26.85" hidden="false" customHeight="false" outlineLevel="0" collapsed="false">
      <c r="A8" s="30" t="s">
        <v>145</v>
      </c>
      <c r="B8" s="13" t="s">
        <v>153</v>
      </c>
      <c r="C8" s="10" t="s">
        <v>160</v>
      </c>
      <c r="D8" s="28" t="s">
        <v>161</v>
      </c>
      <c r="E8" s="10" t="s">
        <v>162</v>
      </c>
    </row>
    <row r="9" customFormat="false" ht="26.85" hidden="false" customHeight="false" outlineLevel="0" collapsed="false">
      <c r="A9" s="30" t="s">
        <v>145</v>
      </c>
      <c r="B9" s="13" t="s">
        <v>163</v>
      </c>
      <c r="C9" s="10" t="s">
        <v>164</v>
      </c>
      <c r="D9" s="28" t="s">
        <v>165</v>
      </c>
      <c r="E9" s="28" t="s">
        <v>166</v>
      </c>
    </row>
    <row r="10" customFormat="false" ht="15" hidden="false" customHeight="false" outlineLevel="0" collapsed="false">
      <c r="A10" s="30" t="s">
        <v>145</v>
      </c>
      <c r="B10" s="9" t="s">
        <v>146</v>
      </c>
      <c r="C10" s="10" t="s">
        <v>167</v>
      </c>
      <c r="D10" s="10" t="s">
        <v>168</v>
      </c>
      <c r="E10" s="10" t="s">
        <v>169</v>
      </c>
    </row>
    <row r="11" customFormat="false" ht="39.55" hidden="false" customHeight="false" outlineLevel="0" collapsed="false">
      <c r="A11" s="31" t="s">
        <v>170</v>
      </c>
      <c r="B11" s="13" t="s">
        <v>163</v>
      </c>
      <c r="C11" s="10" t="s">
        <v>171</v>
      </c>
      <c r="D11" s="10" t="s">
        <v>172</v>
      </c>
      <c r="E11" s="10" t="s">
        <v>173</v>
      </c>
    </row>
    <row r="12" customFormat="false" ht="15" hidden="false" customHeight="false" outlineLevel="0" collapsed="false">
      <c r="A12" s="31" t="s">
        <v>170</v>
      </c>
      <c r="B12" s="13" t="s">
        <v>163</v>
      </c>
      <c r="C12" s="10" t="s">
        <v>174</v>
      </c>
      <c r="D12" s="28" t="s">
        <v>175</v>
      </c>
      <c r="E12" s="10" t="s">
        <v>176</v>
      </c>
    </row>
    <row r="13" customFormat="false" ht="26.85" hidden="false" customHeight="false" outlineLevel="0" collapsed="false">
      <c r="A13" s="31" t="s">
        <v>170</v>
      </c>
      <c r="B13" s="13" t="s">
        <v>163</v>
      </c>
      <c r="C13" s="10" t="s">
        <v>177</v>
      </c>
      <c r="D13" s="10" t="s">
        <v>178</v>
      </c>
      <c r="E13" s="10" t="s">
        <v>179</v>
      </c>
    </row>
    <row r="14" customFormat="false" ht="26.85" hidden="false" customHeight="false" outlineLevel="0" collapsed="false">
      <c r="A14" s="31" t="s">
        <v>170</v>
      </c>
      <c r="B14" s="9" t="s">
        <v>146</v>
      </c>
      <c r="C14" s="10" t="s">
        <v>180</v>
      </c>
      <c r="D14" s="10" t="s">
        <v>181</v>
      </c>
      <c r="E14" s="10" t="s">
        <v>182</v>
      </c>
    </row>
    <row r="15" customFormat="false" ht="26.85" hidden="false" customHeight="false" outlineLevel="0" collapsed="false">
      <c r="A15" s="31" t="s">
        <v>170</v>
      </c>
      <c r="B15" s="9" t="s">
        <v>146</v>
      </c>
      <c r="C15" s="10" t="s">
        <v>183</v>
      </c>
      <c r="D15" s="10" t="s">
        <v>184</v>
      </c>
      <c r="E15" s="10" t="s">
        <v>185</v>
      </c>
    </row>
    <row r="16" customFormat="false" ht="26.85" hidden="false" customHeight="false" outlineLevel="0" collapsed="false">
      <c r="A16" s="31" t="s">
        <v>170</v>
      </c>
      <c r="B16" s="9" t="s">
        <v>146</v>
      </c>
      <c r="C16" s="10" t="s">
        <v>186</v>
      </c>
      <c r="D16" s="10" t="s">
        <v>187</v>
      </c>
      <c r="E16" s="10" t="s">
        <v>188</v>
      </c>
    </row>
    <row r="17" customFormat="false" ht="39.55" hidden="false" customHeight="false" outlineLevel="0" collapsed="false">
      <c r="A17" s="31" t="s">
        <v>170</v>
      </c>
      <c r="B17" s="13" t="s">
        <v>189</v>
      </c>
      <c r="C17" s="10" t="s">
        <v>190</v>
      </c>
      <c r="D17" s="28" t="s">
        <v>191</v>
      </c>
      <c r="E17" s="10" t="s">
        <v>192</v>
      </c>
    </row>
    <row r="18" customFormat="false" ht="39.55" hidden="false" customHeight="false" outlineLevel="0" collapsed="false">
      <c r="A18" s="31" t="s">
        <v>170</v>
      </c>
      <c r="B18" s="13" t="s">
        <v>153</v>
      </c>
      <c r="C18" s="10" t="s">
        <v>193</v>
      </c>
      <c r="D18" s="28" t="s">
        <v>194</v>
      </c>
      <c r="E18" s="10" t="s">
        <v>195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5" min="3" style="0" width="16"/>
    <col collapsed="false" customWidth="true" hidden="false" outlineLevel="0" max="6" min="6" style="0" width="60"/>
    <col collapsed="false" customWidth="true" hidden="false" outlineLevel="0" max="7" min="7" style="0" width="40"/>
  </cols>
  <sheetData>
    <row r="1" customFormat="false" ht="17.35" hidden="false" customHeight="false" outlineLevel="0" collapsed="false">
      <c r="A1" s="1" t="s">
        <v>196</v>
      </c>
    </row>
    <row r="2" customFormat="false" ht="15" hidden="false" customHeight="false" outlineLevel="0" collapsed="false">
      <c r="A2" s="2" t="s">
        <v>197</v>
      </c>
    </row>
    <row r="3" customFormat="false" ht="17.15" hidden="false" customHeight="false" outlineLevel="0" collapsed="false">
      <c r="A3" s="32" t="s">
        <v>198</v>
      </c>
    </row>
    <row r="4" customFormat="false" ht="15" hidden="false" customHeight="false" outlineLevel="0" collapsed="false">
      <c r="A4" s="8" t="s">
        <v>199</v>
      </c>
      <c r="B4" s="8" t="s">
        <v>27</v>
      </c>
    </row>
    <row r="5" customFormat="false" ht="36" hidden="false" customHeight="true" outlineLevel="0" collapsed="false">
      <c r="A5" s="13" t="s">
        <v>200</v>
      </c>
      <c r="B5" s="10" t="s">
        <v>201</v>
      </c>
      <c r="C5" s="10"/>
      <c r="D5" s="10"/>
      <c r="E5" s="10"/>
      <c r="F5" s="10"/>
      <c r="G5" s="10"/>
    </row>
    <row r="6" customFormat="false" ht="36" hidden="false" customHeight="true" outlineLevel="0" collapsed="false">
      <c r="A6" s="14" t="s">
        <v>202</v>
      </c>
      <c r="B6" s="29" t="s">
        <v>203</v>
      </c>
      <c r="C6" s="29"/>
      <c r="D6" s="29"/>
      <c r="E6" s="29"/>
      <c r="F6" s="29"/>
      <c r="G6" s="29"/>
    </row>
    <row r="7" customFormat="false" ht="36" hidden="false" customHeight="true" outlineLevel="0" collapsed="false">
      <c r="A7" s="13" t="s">
        <v>204</v>
      </c>
      <c r="B7" s="10" t="s">
        <v>205</v>
      </c>
      <c r="C7" s="10"/>
      <c r="D7" s="10"/>
      <c r="E7" s="10"/>
      <c r="F7" s="10"/>
      <c r="G7" s="10"/>
    </row>
    <row r="8" customFormat="false" ht="36" hidden="false" customHeight="true" outlineLevel="0" collapsed="false">
      <c r="A8" s="14" t="s">
        <v>206</v>
      </c>
      <c r="B8" s="12" t="s">
        <v>207</v>
      </c>
      <c r="C8" s="12"/>
      <c r="D8" s="12"/>
      <c r="E8" s="12"/>
      <c r="F8" s="12"/>
      <c r="G8" s="12"/>
    </row>
    <row r="10" customFormat="false" ht="17.15" hidden="false" customHeight="false" outlineLevel="0" collapsed="false">
      <c r="A10" s="32" t="s">
        <v>208</v>
      </c>
    </row>
    <row r="11" customFormat="false" ht="26.85" hidden="false" customHeight="false" outlineLevel="0" collapsed="false">
      <c r="A11" s="8" t="s">
        <v>209</v>
      </c>
      <c r="B11" s="8" t="s">
        <v>210</v>
      </c>
      <c r="C11" s="8" t="s">
        <v>211</v>
      </c>
      <c r="D11" s="8" t="s">
        <v>212</v>
      </c>
      <c r="E11" s="8" t="s">
        <v>213</v>
      </c>
      <c r="F11" s="8" t="s">
        <v>214</v>
      </c>
      <c r="G11" s="8" t="s">
        <v>215</v>
      </c>
    </row>
    <row r="12" customFormat="false" ht="26.85" hidden="false" customHeight="false" outlineLevel="0" collapsed="false">
      <c r="A12" s="13" t="s">
        <v>216</v>
      </c>
      <c r="B12" s="10" t="s">
        <v>217</v>
      </c>
      <c r="C12" s="13" t="n">
        <v>9</v>
      </c>
      <c r="D12" s="19" t="n">
        <v>1686</v>
      </c>
      <c r="E12" s="33" t="n">
        <f aca="false">IFERROR(56.214/46.844,0)</f>
        <v>1.20002561694134</v>
      </c>
      <c r="F12" s="28" t="s">
        <v>218</v>
      </c>
      <c r="G12" s="10" t="s">
        <v>219</v>
      </c>
    </row>
    <row r="13" customFormat="false" ht="39.55" hidden="false" customHeight="false" outlineLevel="0" collapsed="false">
      <c r="A13" s="11" t="s">
        <v>220</v>
      </c>
      <c r="B13" s="12" t="s">
        <v>221</v>
      </c>
      <c r="C13" s="14" t="n">
        <v>14</v>
      </c>
      <c r="D13" s="23" t="n">
        <v>1115</v>
      </c>
      <c r="E13" s="34" t="n">
        <f aca="false">IFERROR(37.179/11.141,0)</f>
        <v>3.33713311192891</v>
      </c>
      <c r="F13" s="12" t="s">
        <v>222</v>
      </c>
      <c r="G13" s="29" t="s">
        <v>223</v>
      </c>
    </row>
    <row r="14" customFormat="false" ht="39.55" hidden="false" customHeight="false" outlineLevel="0" collapsed="false">
      <c r="A14" s="13" t="s">
        <v>224</v>
      </c>
      <c r="B14" s="10" t="s">
        <v>225</v>
      </c>
      <c r="C14" s="13" t="n">
        <v>22</v>
      </c>
      <c r="D14" s="19" t="n">
        <v>287</v>
      </c>
      <c r="E14" s="33" t="n">
        <f aca="false">IFERROR(9.571/1.766,0)</f>
        <v>5.41959229898075</v>
      </c>
      <c r="F14" s="10" t="s">
        <v>226</v>
      </c>
      <c r="G14" s="10" t="s">
        <v>227</v>
      </c>
    </row>
    <row r="15" customFormat="false" ht="26.85" hidden="false" customHeight="false" outlineLevel="0" collapsed="false">
      <c r="A15" s="14" t="s">
        <v>228</v>
      </c>
      <c r="B15" s="12" t="s">
        <v>229</v>
      </c>
      <c r="C15" s="14" t="n">
        <v>10</v>
      </c>
      <c r="D15" s="23" t="n">
        <v>153</v>
      </c>
      <c r="E15" s="34" t="n">
        <f aca="false">IFERROR(5.107/8.547,0)</f>
        <v>0.597519597519598</v>
      </c>
      <c r="F15" s="12" t="s">
        <v>230</v>
      </c>
      <c r="G15" s="12" t="s">
        <v>231</v>
      </c>
    </row>
    <row r="16" customFormat="false" ht="26.85" hidden="false" customHeight="false" outlineLevel="0" collapsed="false">
      <c r="A16" s="9" t="s">
        <v>232</v>
      </c>
      <c r="B16" s="10" t="s">
        <v>233</v>
      </c>
      <c r="C16" s="13" t="n">
        <v>21</v>
      </c>
      <c r="D16" s="19" t="n">
        <v>1257</v>
      </c>
      <c r="E16" s="33" t="n">
        <f aca="false">IFERROR(41.893/30.516,0)</f>
        <v>1.37282081531</v>
      </c>
      <c r="F16" s="10" t="s">
        <v>234</v>
      </c>
      <c r="G16" s="10" t="s">
        <v>235</v>
      </c>
    </row>
    <row r="17" customFormat="false" ht="26.85" hidden="false" customHeight="false" outlineLevel="0" collapsed="false">
      <c r="A17" s="14" t="s">
        <v>236</v>
      </c>
      <c r="B17" s="12" t="s">
        <v>221</v>
      </c>
      <c r="C17" s="14" t="n">
        <v>32</v>
      </c>
      <c r="D17" s="23" t="n">
        <v>76</v>
      </c>
      <c r="E17" s="34" t="n">
        <f aca="false">IFERROR(2.536/1.594,0)</f>
        <v>1.5909661229611</v>
      </c>
      <c r="F17" s="12" t="s">
        <v>237</v>
      </c>
      <c r="G17" s="12" t="s">
        <v>238</v>
      </c>
    </row>
    <row r="18" customFormat="false" ht="15" hidden="false" customHeight="false" outlineLevel="0" collapsed="false">
      <c r="A18" s="2" t="s">
        <v>239</v>
      </c>
    </row>
    <row r="20" customFormat="false" ht="17.15" hidden="false" customHeight="false" outlineLevel="0" collapsed="false">
      <c r="A20" s="32" t="s">
        <v>240</v>
      </c>
    </row>
    <row r="21" customFormat="false" ht="15" hidden="false" customHeight="false" outlineLevel="0" collapsed="false">
      <c r="A21" s="8" t="s">
        <v>199</v>
      </c>
      <c r="B21" s="8" t="s">
        <v>241</v>
      </c>
    </row>
    <row r="22" customFormat="false" ht="30" hidden="false" customHeight="true" outlineLevel="0" collapsed="false">
      <c r="A22" s="13" t="s">
        <v>242</v>
      </c>
      <c r="B22" s="10" t="s">
        <v>243</v>
      </c>
      <c r="C22" s="10"/>
      <c r="D22" s="10"/>
      <c r="E22" s="10"/>
      <c r="F22" s="10"/>
      <c r="G22" s="10"/>
    </row>
    <row r="23" customFormat="false" ht="30" hidden="false" customHeight="true" outlineLevel="0" collapsed="false">
      <c r="A23" s="14" t="s">
        <v>244</v>
      </c>
      <c r="B23" s="12" t="s">
        <v>245</v>
      </c>
      <c r="C23" s="12"/>
      <c r="D23" s="12"/>
      <c r="E23" s="12"/>
      <c r="F23" s="12"/>
      <c r="G23" s="12"/>
    </row>
    <row r="24" customFormat="false" ht="30" hidden="false" customHeight="true" outlineLevel="0" collapsed="false">
      <c r="A24" s="13" t="s">
        <v>246</v>
      </c>
      <c r="B24" s="28" t="s">
        <v>247</v>
      </c>
      <c r="C24" s="28"/>
      <c r="D24" s="28"/>
      <c r="E24" s="28"/>
      <c r="F24" s="28"/>
      <c r="G24" s="28"/>
    </row>
    <row r="25" customFormat="false" ht="30" hidden="false" customHeight="true" outlineLevel="0" collapsed="false">
      <c r="A25" s="14" t="s">
        <v>248</v>
      </c>
      <c r="B25" s="12" t="s">
        <v>249</v>
      </c>
      <c r="C25" s="12"/>
      <c r="D25" s="12"/>
      <c r="E25" s="12"/>
      <c r="F25" s="12"/>
      <c r="G25" s="12"/>
    </row>
    <row r="27" customFormat="false" ht="17.15" hidden="false" customHeight="false" outlineLevel="0" collapsed="false">
      <c r="A27" s="32" t="s">
        <v>250</v>
      </c>
    </row>
    <row r="28" customFormat="false" ht="15" hidden="false" customHeight="false" outlineLevel="0" collapsed="false">
      <c r="A28" s="8" t="s">
        <v>251</v>
      </c>
      <c r="B28" s="8" t="s">
        <v>252</v>
      </c>
      <c r="C28" s="8" t="s">
        <v>90</v>
      </c>
      <c r="D28" s="8" t="s">
        <v>253</v>
      </c>
    </row>
    <row r="29" customFormat="false" ht="77.6" hidden="false" customHeight="false" outlineLevel="0" collapsed="false">
      <c r="A29" s="28" t="s">
        <v>254</v>
      </c>
      <c r="B29" s="10" t="s">
        <v>255</v>
      </c>
      <c r="C29" s="10" t="s">
        <v>256</v>
      </c>
      <c r="D29" s="28" t="s">
        <v>257</v>
      </c>
    </row>
    <row r="30" customFormat="false" ht="64.9" hidden="false" customHeight="false" outlineLevel="0" collapsed="false">
      <c r="A30" s="29" t="s">
        <v>258</v>
      </c>
      <c r="B30" s="12" t="s">
        <v>259</v>
      </c>
      <c r="C30" s="12" t="s">
        <v>260</v>
      </c>
      <c r="D30" s="29" t="s">
        <v>261</v>
      </c>
    </row>
    <row r="31" customFormat="false" ht="39.55" hidden="false" customHeight="false" outlineLevel="0" collapsed="false">
      <c r="A31" s="28" t="s">
        <v>262</v>
      </c>
      <c r="B31" s="10" t="s">
        <v>263</v>
      </c>
      <c r="C31" s="10" t="s">
        <v>264</v>
      </c>
      <c r="D31" s="28" t="s">
        <v>265</v>
      </c>
    </row>
    <row r="32" customFormat="false" ht="52.2" hidden="false" customHeight="false" outlineLevel="0" collapsed="false">
      <c r="A32" s="12" t="s">
        <v>266</v>
      </c>
      <c r="B32" s="12" t="s">
        <v>267</v>
      </c>
      <c r="C32" s="12" t="s">
        <v>268</v>
      </c>
      <c r="D32" s="29" t="s">
        <v>269</v>
      </c>
    </row>
    <row r="34" customFormat="false" ht="17.15" hidden="false" customHeight="false" outlineLevel="0" collapsed="false">
      <c r="A34" s="32" t="s">
        <v>270</v>
      </c>
    </row>
    <row r="35" customFormat="false" ht="15" hidden="false" customHeight="false" outlineLevel="0" collapsed="false">
      <c r="A35" s="8" t="s">
        <v>66</v>
      </c>
      <c r="B35" s="8" t="s">
        <v>271</v>
      </c>
      <c r="C35" s="8" t="s">
        <v>272</v>
      </c>
    </row>
    <row r="36" customFormat="false" ht="39.55" hidden="false" customHeight="false" outlineLevel="0" collapsed="false">
      <c r="A36" s="13" t="s">
        <v>273</v>
      </c>
      <c r="B36" s="10" t="s">
        <v>274</v>
      </c>
      <c r="C36" s="10" t="s">
        <v>275</v>
      </c>
    </row>
    <row r="37" customFormat="false" ht="52.2" hidden="false" customHeight="false" outlineLevel="0" collapsed="false">
      <c r="A37" s="14" t="s">
        <v>276</v>
      </c>
      <c r="B37" s="12" t="s">
        <v>277</v>
      </c>
      <c r="C37" s="12" t="s">
        <v>278</v>
      </c>
    </row>
    <row r="38" customFormat="false" ht="52.2" hidden="false" customHeight="false" outlineLevel="0" collapsed="false">
      <c r="A38" s="13" t="s">
        <v>279</v>
      </c>
      <c r="B38" s="28" t="s">
        <v>280</v>
      </c>
      <c r="C38" s="10" t="s">
        <v>281</v>
      </c>
    </row>
    <row r="39" customFormat="false" ht="39.55" hidden="false" customHeight="false" outlineLevel="0" collapsed="false">
      <c r="A39" s="14" t="s">
        <v>282</v>
      </c>
      <c r="B39" s="12" t="s">
        <v>283</v>
      </c>
      <c r="C39" s="12" t="s">
        <v>284</v>
      </c>
    </row>
    <row r="40" customFormat="false" ht="64.9" hidden="false" customHeight="false" outlineLevel="0" collapsed="false">
      <c r="A40" s="13" t="s">
        <v>285</v>
      </c>
      <c r="B40" s="10" t="s">
        <v>286</v>
      </c>
      <c r="C40" s="10" t="s">
        <v>287</v>
      </c>
    </row>
    <row r="42" customFormat="false" ht="17.15" hidden="false" customHeight="false" outlineLevel="0" collapsed="false">
      <c r="A42" s="32" t="s">
        <v>288</v>
      </c>
    </row>
    <row r="43" customFormat="false" ht="15" hidden="false" customHeight="false" outlineLevel="0" collapsed="false">
      <c r="A43" s="18" t="s">
        <v>289</v>
      </c>
      <c r="B43" s="8" t="s">
        <v>290</v>
      </c>
      <c r="C43" s="18" t="s">
        <v>291</v>
      </c>
      <c r="D43" s="18" t="s">
        <v>292</v>
      </c>
      <c r="E43" s="8" t="s">
        <v>293</v>
      </c>
    </row>
    <row r="44" customFormat="false" ht="26.85" hidden="false" customHeight="false" outlineLevel="0" collapsed="false">
      <c r="A44" s="10" t="s">
        <v>294</v>
      </c>
      <c r="B44" s="19" t="n">
        <v>25</v>
      </c>
      <c r="C44" s="35" t="n">
        <v>100</v>
      </c>
      <c r="D44" s="35" t="n">
        <v>250</v>
      </c>
      <c r="E44" s="28" t="s">
        <v>295</v>
      </c>
    </row>
    <row r="45" customFormat="false" ht="26.85" hidden="false" customHeight="false" outlineLevel="0" collapsed="false">
      <c r="A45" s="12" t="s">
        <v>296</v>
      </c>
      <c r="B45" s="24" t="n">
        <v>0.005</v>
      </c>
      <c r="C45" s="36" t="n">
        <v>0.02</v>
      </c>
      <c r="D45" s="36" t="n">
        <v>0.04</v>
      </c>
      <c r="E45" s="12" t="s">
        <v>297</v>
      </c>
    </row>
    <row r="46" customFormat="false" ht="15" hidden="false" customHeight="false" outlineLevel="0" collapsed="false">
      <c r="A46" s="10" t="s">
        <v>298</v>
      </c>
      <c r="B46" s="19" t="n">
        <v>1</v>
      </c>
      <c r="C46" s="35" t="n">
        <v>3</v>
      </c>
      <c r="D46" s="35" t="n">
        <v>10</v>
      </c>
      <c r="E46" s="28" t="s">
        <v>299</v>
      </c>
    </row>
    <row r="47" customFormat="false" ht="39.55" hidden="false" customHeight="false" outlineLevel="0" collapsed="false">
      <c r="A47" s="12" t="s">
        <v>300</v>
      </c>
      <c r="B47" s="24" t="n">
        <v>0.019</v>
      </c>
      <c r="C47" s="36" t="n">
        <v>0.04</v>
      </c>
      <c r="D47" s="36" t="n">
        <v>0.06</v>
      </c>
      <c r="E47" s="29" t="s">
        <v>301</v>
      </c>
    </row>
    <row r="48" customFormat="false" ht="26.1" hidden="false" customHeight="false" outlineLevel="0" collapsed="false">
      <c r="A48" s="28" t="s">
        <v>302</v>
      </c>
      <c r="B48" s="20" t="n">
        <v>0.025</v>
      </c>
      <c r="C48" s="37" t="n">
        <v>0.04</v>
      </c>
      <c r="D48" s="37" t="n">
        <v>0.05</v>
      </c>
      <c r="E48" s="28" t="s">
        <v>303</v>
      </c>
    </row>
    <row r="49" customFormat="false" ht="15" hidden="false" customHeight="false" outlineLevel="0" collapsed="false">
      <c r="A49" s="12" t="s">
        <v>304</v>
      </c>
      <c r="B49" s="23" t="n">
        <v>4711</v>
      </c>
      <c r="C49" s="38" t="n">
        <v>6000</v>
      </c>
      <c r="D49" s="38" t="n">
        <v>8000</v>
      </c>
      <c r="E49" s="29" t="s">
        <v>305</v>
      </c>
    </row>
    <row r="50" customFormat="false" ht="15" hidden="false" customHeight="false" outlineLevel="0" collapsed="false">
      <c r="A50" s="2" t="s">
        <v>306</v>
      </c>
    </row>
  </sheetData>
  <mergeCells count="8">
    <mergeCell ref="B5:G5"/>
    <mergeCell ref="B6:G6"/>
    <mergeCell ref="B7:G7"/>
    <mergeCell ref="B8:G8"/>
    <mergeCell ref="B22:G22"/>
    <mergeCell ref="B23:G23"/>
    <mergeCell ref="B24:G24"/>
    <mergeCell ref="B25:G2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AC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14"/>
    <col collapsed="false" customWidth="true" hidden="false" outlineLevel="0" max="4" min="4" style="0" width="40"/>
    <col collapsed="false" customWidth="true" hidden="false" outlineLevel="0" max="6" min="5" style="0" width="16"/>
    <col collapsed="false" customWidth="true" hidden="false" outlineLevel="0" max="8" min="7" style="0" width="10"/>
    <col collapsed="false" customWidth="true" hidden="false" outlineLevel="0" max="11" min="9" style="0" width="9"/>
    <col collapsed="false" customWidth="true" hidden="false" outlineLevel="0" max="13" min="12" style="0" width="10"/>
    <col collapsed="false" customWidth="true" hidden="false" outlineLevel="0" max="14" min="14" style="0" width="9"/>
    <col collapsed="false" customWidth="true" hidden="false" outlineLevel="0" max="16" min="15" style="0" width="10"/>
    <col collapsed="false" customWidth="true" hidden="false" outlineLevel="0" max="18" min="17" style="0" width="9"/>
    <col collapsed="false" customWidth="true" hidden="false" outlineLevel="0" max="19" min="19" style="0" width="12"/>
    <col collapsed="false" customWidth="true" hidden="false" outlineLevel="0" max="21" min="20" style="0" width="60"/>
    <col collapsed="false" customWidth="true" hidden="false" outlineLevel="0" max="22" min="22" style="0" width="9"/>
    <col collapsed="false" customWidth="true" hidden="false" outlineLevel="0" max="23" min="23" style="0" width="40"/>
    <col collapsed="false" customWidth="true" hidden="false" outlineLevel="0" max="25" min="24" style="0" width="60"/>
    <col collapsed="false" customWidth="true" hidden="false" outlineLevel="0" max="26" min="26" style="0" width="70"/>
    <col collapsed="false" customWidth="true" hidden="false" outlineLevel="0" max="27" min="27" style="0" width="26"/>
    <col collapsed="false" customWidth="true" hidden="false" outlineLevel="0" max="28" min="28" style="0" width="6"/>
    <col collapsed="false" customWidth="true" hidden="false" outlineLevel="0" max="29" min="29" style="0" width="9"/>
  </cols>
  <sheetData>
    <row r="1" customFormat="false" ht="17.35" hidden="false" customHeight="false" outlineLevel="0" collapsed="false">
      <c r="A1" s="1" t="s">
        <v>307</v>
      </c>
    </row>
    <row r="2" customFormat="false" ht="15" hidden="false" customHeight="false" outlineLevel="0" collapsed="false">
      <c r="A2" s="2" t="s">
        <v>308</v>
      </c>
    </row>
    <row r="3" customFormat="false" ht="15" hidden="false" customHeight="false" outlineLevel="0" collapsed="false">
      <c r="A3" s="2" t="s">
        <v>309</v>
      </c>
    </row>
    <row r="4" customFormat="false" ht="42" hidden="false" customHeight="true" outlineLevel="0" collapsed="false">
      <c r="A4" s="8" t="s">
        <v>310</v>
      </c>
      <c r="B4" s="8" t="s">
        <v>253</v>
      </c>
      <c r="C4" s="8" t="s">
        <v>311</v>
      </c>
      <c r="D4" s="8" t="s">
        <v>312</v>
      </c>
      <c r="E4" s="8" t="s">
        <v>209</v>
      </c>
      <c r="F4" s="8" t="s">
        <v>313</v>
      </c>
      <c r="G4" s="18" t="s">
        <v>314</v>
      </c>
      <c r="H4" s="18" t="s">
        <v>315</v>
      </c>
      <c r="I4" s="18" t="s">
        <v>316</v>
      </c>
      <c r="J4" s="8" t="s">
        <v>317</v>
      </c>
      <c r="K4" s="8" t="s">
        <v>318</v>
      </c>
      <c r="L4" s="8" t="s">
        <v>319</v>
      </c>
      <c r="M4" s="8" t="s">
        <v>320</v>
      </c>
      <c r="N4" s="8" t="s">
        <v>321</v>
      </c>
      <c r="O4" s="8" t="s">
        <v>322</v>
      </c>
      <c r="P4" s="8" t="s">
        <v>323</v>
      </c>
      <c r="Q4" s="18" t="s">
        <v>324</v>
      </c>
      <c r="R4" s="8" t="s">
        <v>46</v>
      </c>
      <c r="S4" s="8" t="s">
        <v>325</v>
      </c>
      <c r="T4" s="8" t="s">
        <v>326</v>
      </c>
      <c r="U4" s="8" t="s">
        <v>327</v>
      </c>
      <c r="V4" s="8" t="s">
        <v>328</v>
      </c>
      <c r="W4" s="8" t="s">
        <v>329</v>
      </c>
      <c r="X4" s="18" t="s">
        <v>330</v>
      </c>
      <c r="Y4" s="8" t="s">
        <v>331</v>
      </c>
      <c r="Z4" s="8" t="s">
        <v>332</v>
      </c>
      <c r="AA4" s="8" t="s">
        <v>333</v>
      </c>
      <c r="AB4" s="8" t="s">
        <v>334</v>
      </c>
      <c r="AC4" s="8" t="s">
        <v>335</v>
      </c>
    </row>
    <row r="5" customFormat="false" ht="150" hidden="false" customHeight="true" outlineLevel="0" collapsed="false">
      <c r="A5" s="39" t="n">
        <v>1</v>
      </c>
      <c r="B5" s="40" t="s">
        <v>257</v>
      </c>
      <c r="C5" s="41" t="s">
        <v>336</v>
      </c>
      <c r="D5" s="28" t="s">
        <v>337</v>
      </c>
      <c r="E5" s="10" t="s">
        <v>216</v>
      </c>
      <c r="F5" s="10" t="s">
        <v>338</v>
      </c>
      <c r="G5" s="42" t="n">
        <v>15283</v>
      </c>
      <c r="H5" s="42" t="n">
        <v>147</v>
      </c>
      <c r="I5" s="43" t="n">
        <f aca="false">IFERROR(H5/G5,0)</f>
        <v>0.0096185303932474</v>
      </c>
      <c r="J5" s="44" t="n">
        <v>9.7</v>
      </c>
      <c r="K5" s="44" t="n">
        <v>9.5</v>
      </c>
      <c r="L5" s="44" t="n">
        <v>1.48</v>
      </c>
      <c r="M5" s="44" t="n">
        <v>1.86</v>
      </c>
      <c r="N5" s="45" t="s">
        <v>339</v>
      </c>
      <c r="O5" s="42" t="n">
        <f aca="false">M5*30</f>
        <v>55.8</v>
      </c>
      <c r="P5" s="46" t="n">
        <v>174.8</v>
      </c>
      <c r="Q5" s="43" t="n">
        <v>0.0106</v>
      </c>
      <c r="R5" s="43" t="n">
        <f aca="false">IF(K5="",0,INDEX(目次・前提!$B$35:$B$54,MIN(20,MAX(1,ROUND(K5,0)))))</f>
        <v>0.035</v>
      </c>
      <c r="S5" s="42" t="n">
        <f aca="false">MAX(0,P5*30*(R5-Q5))</f>
        <v>127.9536</v>
      </c>
      <c r="T5" s="10" t="s">
        <v>340</v>
      </c>
      <c r="U5" s="28" t="s">
        <v>341</v>
      </c>
      <c r="V5" s="13" t="s">
        <v>342</v>
      </c>
      <c r="W5" s="10" t="s">
        <v>343</v>
      </c>
      <c r="X5" s="10" t="s">
        <v>344</v>
      </c>
      <c r="Y5" s="10" t="s">
        <v>345</v>
      </c>
      <c r="Z5" s="10" t="s">
        <v>346</v>
      </c>
      <c r="AA5" s="10" t="s">
        <v>347</v>
      </c>
      <c r="AB5" s="13" t="s">
        <v>348</v>
      </c>
      <c r="AC5" s="13" t="s">
        <v>349</v>
      </c>
    </row>
    <row r="6" customFormat="false" ht="150" hidden="false" customHeight="true" outlineLevel="0" collapsed="false">
      <c r="A6" s="39" t="n">
        <v>2</v>
      </c>
      <c r="B6" s="40" t="s">
        <v>257</v>
      </c>
      <c r="C6" s="41" t="s">
        <v>336</v>
      </c>
      <c r="D6" s="28" t="s">
        <v>350</v>
      </c>
      <c r="E6" s="10" t="s">
        <v>216</v>
      </c>
      <c r="F6" s="28" t="s">
        <v>351</v>
      </c>
      <c r="G6" s="42" t="n">
        <v>25323</v>
      </c>
      <c r="H6" s="42" t="n">
        <v>1004</v>
      </c>
      <c r="I6" s="43" t="n">
        <f aca="false">IFERROR(H6/G6,0)</f>
        <v>0.0396477510563519</v>
      </c>
      <c r="J6" s="44" t="n">
        <v>6.5</v>
      </c>
      <c r="K6" s="44" t="n">
        <v>6</v>
      </c>
      <c r="L6" s="44" t="n">
        <v>9.81</v>
      </c>
      <c r="M6" s="44" t="n">
        <v>13.43</v>
      </c>
      <c r="N6" s="45" t="s">
        <v>339</v>
      </c>
      <c r="O6" s="42" t="n">
        <f aca="false">M6*30</f>
        <v>402.9</v>
      </c>
      <c r="P6" s="46" t="n">
        <v>237.8</v>
      </c>
      <c r="Q6" s="43" t="n">
        <v>0.0565</v>
      </c>
      <c r="R6" s="43" t="n">
        <f aca="false">IF(K6="",0,INDEX(目次・前提!$B$35:$B$54,MIN(20,MAX(1,ROUND(K6,0)))))</f>
        <v>0.06</v>
      </c>
      <c r="S6" s="42" t="n">
        <f aca="false">MAX(0,P6*30*(R6-Q6))</f>
        <v>24.969</v>
      </c>
      <c r="T6" s="28" t="s">
        <v>352</v>
      </c>
      <c r="U6" s="28" t="s">
        <v>353</v>
      </c>
      <c r="V6" s="13" t="s">
        <v>348</v>
      </c>
      <c r="W6" s="10" t="s">
        <v>354</v>
      </c>
      <c r="X6" s="10" t="s">
        <v>355</v>
      </c>
      <c r="Y6" s="10" t="s">
        <v>356</v>
      </c>
      <c r="Z6" s="10" t="s">
        <v>357</v>
      </c>
      <c r="AA6" s="10" t="s">
        <v>347</v>
      </c>
      <c r="AB6" s="13" t="s">
        <v>348</v>
      </c>
      <c r="AC6" s="13" t="s">
        <v>349</v>
      </c>
    </row>
    <row r="7" customFormat="false" ht="150" hidden="false" customHeight="true" outlineLevel="0" collapsed="false">
      <c r="A7" s="39" t="n">
        <v>3</v>
      </c>
      <c r="B7" s="40" t="s">
        <v>257</v>
      </c>
      <c r="C7" s="41" t="s">
        <v>336</v>
      </c>
      <c r="D7" s="28" t="s">
        <v>358</v>
      </c>
      <c r="E7" s="10" t="s">
        <v>216</v>
      </c>
      <c r="F7" s="28" t="s">
        <v>351</v>
      </c>
      <c r="G7" s="42" t="n">
        <v>15454</v>
      </c>
      <c r="H7" s="42" t="n">
        <v>2754</v>
      </c>
      <c r="I7" s="43" t="n">
        <f aca="false">IFERROR(H7/G7,0)</f>
        <v>0.178206289633752</v>
      </c>
      <c r="J7" s="44" t="n">
        <v>4.5</v>
      </c>
      <c r="K7" s="44" t="n">
        <v>4.4</v>
      </c>
      <c r="L7" s="44" t="n">
        <v>31.09</v>
      </c>
      <c r="M7" s="44" t="n">
        <v>27.29</v>
      </c>
      <c r="N7" s="45" t="s">
        <v>339</v>
      </c>
      <c r="O7" s="42" t="n">
        <f aca="false">M7*30</f>
        <v>818.7</v>
      </c>
      <c r="P7" s="46" t="n">
        <v>146.5</v>
      </c>
      <c r="Q7" s="43" t="n">
        <v>0.1863</v>
      </c>
      <c r="R7" s="43" t="n">
        <f aca="false">IF(K7="",0,INDEX(目次・前提!$B$35:$B$54,MIN(20,MAX(1,ROUND(K7,0)))))</f>
        <v>0.1</v>
      </c>
      <c r="S7" s="42" t="n">
        <f aca="false">MAX(0,P7*30*(R7-Q7))</f>
        <v>0</v>
      </c>
      <c r="T7" s="10" t="s">
        <v>359</v>
      </c>
      <c r="U7" s="10" t="s">
        <v>360</v>
      </c>
      <c r="V7" s="13" t="s">
        <v>348</v>
      </c>
      <c r="W7" s="10" t="s">
        <v>361</v>
      </c>
      <c r="X7" s="10" t="s">
        <v>362</v>
      </c>
      <c r="Y7" s="10" t="s">
        <v>363</v>
      </c>
      <c r="Z7" s="10" t="s">
        <v>364</v>
      </c>
      <c r="AA7" s="10" t="s">
        <v>365</v>
      </c>
      <c r="AB7" s="13" t="s">
        <v>366</v>
      </c>
      <c r="AC7" s="13" t="s">
        <v>349</v>
      </c>
    </row>
    <row r="8" customFormat="false" ht="150" hidden="false" customHeight="true" outlineLevel="0" collapsed="false">
      <c r="A8" s="39" t="n">
        <v>4</v>
      </c>
      <c r="B8" s="40" t="s">
        <v>257</v>
      </c>
      <c r="C8" s="41" t="s">
        <v>336</v>
      </c>
      <c r="D8" s="28" t="s">
        <v>367</v>
      </c>
      <c r="E8" s="28" t="s">
        <v>220</v>
      </c>
      <c r="F8" s="10" t="s">
        <v>368</v>
      </c>
      <c r="G8" s="42" t="n">
        <v>17389</v>
      </c>
      <c r="H8" s="42" t="n">
        <v>906</v>
      </c>
      <c r="I8" s="43" t="n">
        <f aca="false">IFERROR(H8/G8,0)</f>
        <v>0.052101903502214</v>
      </c>
      <c r="J8" s="44" t="n">
        <v>6.8</v>
      </c>
      <c r="K8" s="44" t="n">
        <v>5.8</v>
      </c>
      <c r="L8" s="44" t="n">
        <v>4.2</v>
      </c>
      <c r="M8" s="44" t="n">
        <v>22.75</v>
      </c>
      <c r="N8" s="45" t="s">
        <v>369</v>
      </c>
      <c r="O8" s="42" t="n">
        <f aca="false">M8*30</f>
        <v>682.5</v>
      </c>
      <c r="P8" s="46" t="n">
        <v>316.7</v>
      </c>
      <c r="Q8" s="43" t="n">
        <v>0.0718</v>
      </c>
      <c r="R8" s="43" t="n">
        <f aca="false">IF(K8="",0,INDEX(目次・前提!$B$35:$B$54,MIN(20,MAX(1,ROUND(K8,0)))))</f>
        <v>0.06</v>
      </c>
      <c r="S8" s="42" t="n">
        <f aca="false">MAX(0,P8*30*(R8-Q8))</f>
        <v>0</v>
      </c>
      <c r="T8" s="10" t="s">
        <v>370</v>
      </c>
      <c r="U8" s="10" t="s">
        <v>371</v>
      </c>
      <c r="V8" s="13" t="s">
        <v>372</v>
      </c>
      <c r="W8" s="10" t="s">
        <v>373</v>
      </c>
      <c r="X8" s="10" t="s">
        <v>374</v>
      </c>
      <c r="Y8" s="10" t="s">
        <v>375</v>
      </c>
      <c r="Z8" s="10" t="s">
        <v>376</v>
      </c>
      <c r="AA8" s="28" t="s">
        <v>377</v>
      </c>
      <c r="AB8" s="13" t="s">
        <v>348</v>
      </c>
      <c r="AC8" s="13" t="s">
        <v>349</v>
      </c>
    </row>
    <row r="9" customFormat="false" ht="150" hidden="false" customHeight="true" outlineLevel="0" collapsed="false">
      <c r="A9" s="39" t="n">
        <v>5</v>
      </c>
      <c r="B9" s="40" t="s">
        <v>257</v>
      </c>
      <c r="C9" s="41" t="s">
        <v>336</v>
      </c>
      <c r="D9" s="28" t="s">
        <v>378</v>
      </c>
      <c r="E9" s="10" t="s">
        <v>224</v>
      </c>
      <c r="F9" s="10" t="s">
        <v>379</v>
      </c>
      <c r="G9" s="42" t="n">
        <v>2082</v>
      </c>
      <c r="H9" s="42" t="n">
        <v>203</v>
      </c>
      <c r="I9" s="43" t="n">
        <f aca="false">IFERROR(H9/G9,0)</f>
        <v>0.0975024015369837</v>
      </c>
      <c r="J9" s="44" t="n">
        <v>5.4</v>
      </c>
      <c r="K9" s="44" t="n">
        <v>5.1</v>
      </c>
      <c r="L9" s="44" t="n">
        <v>0.44</v>
      </c>
      <c r="M9" s="44" t="n">
        <v>6.25</v>
      </c>
      <c r="N9" s="45" t="s">
        <v>369</v>
      </c>
      <c r="O9" s="42" t="n">
        <f aca="false">M9*30</f>
        <v>187.5</v>
      </c>
      <c r="P9" s="46" t="n">
        <v>63</v>
      </c>
      <c r="Q9" s="43" t="n">
        <v>0.0992</v>
      </c>
      <c r="R9" s="43" t="n">
        <f aca="false">IF(K9="",0,INDEX(目次・前提!$B$35:$B$54,MIN(20,MAX(1,ROUND(K9,0)))))</f>
        <v>0.08</v>
      </c>
      <c r="S9" s="42" t="n">
        <f aca="false">MAX(0,P9*30*(R9-Q9))</f>
        <v>0</v>
      </c>
      <c r="T9" s="10" t="s">
        <v>380</v>
      </c>
      <c r="U9" s="10" t="s">
        <v>381</v>
      </c>
      <c r="V9" s="13" t="s">
        <v>342</v>
      </c>
      <c r="W9" s="10" t="s">
        <v>382</v>
      </c>
      <c r="X9" s="10" t="s">
        <v>383</v>
      </c>
      <c r="Y9" s="10" t="s">
        <v>384</v>
      </c>
      <c r="Z9" s="10" t="s">
        <v>385</v>
      </c>
      <c r="AA9" s="10" t="s">
        <v>386</v>
      </c>
      <c r="AB9" s="13" t="s">
        <v>348</v>
      </c>
      <c r="AC9" s="13" t="s">
        <v>349</v>
      </c>
    </row>
    <row r="10" customFormat="false" ht="150" hidden="false" customHeight="true" outlineLevel="0" collapsed="false">
      <c r="A10" s="39" t="n">
        <v>6</v>
      </c>
      <c r="B10" s="40" t="s">
        <v>257</v>
      </c>
      <c r="C10" s="41" t="s">
        <v>336</v>
      </c>
      <c r="D10" s="28" t="s">
        <v>387</v>
      </c>
      <c r="E10" s="28" t="s">
        <v>232</v>
      </c>
      <c r="F10" s="28" t="s">
        <v>388</v>
      </c>
      <c r="G10" s="42" t="n">
        <v>19660</v>
      </c>
      <c r="H10" s="42" t="n">
        <v>503</v>
      </c>
      <c r="I10" s="43" t="n">
        <f aca="false">IFERROR(H10/G10,0)</f>
        <v>0.0255849440488301</v>
      </c>
      <c r="J10" s="44" t="n">
        <v>8</v>
      </c>
      <c r="K10" s="44" t="n">
        <v>8.1</v>
      </c>
      <c r="L10" s="44" t="n">
        <v>3.67</v>
      </c>
      <c r="M10" s="44" t="n">
        <v>9.57</v>
      </c>
      <c r="N10" s="45" t="s">
        <v>369</v>
      </c>
      <c r="O10" s="42" t="n">
        <f aca="false">M10*30</f>
        <v>287.1</v>
      </c>
      <c r="P10" s="46" t="n">
        <v>385</v>
      </c>
      <c r="Q10" s="43" t="n">
        <v>0.0249</v>
      </c>
      <c r="R10" s="43" t="n">
        <f aca="false">IF(K10="",0,INDEX(目次・前提!$B$35:$B$54,MIN(20,MAX(1,ROUND(K10,0)))))</f>
        <v>0.045</v>
      </c>
      <c r="S10" s="42" t="n">
        <f aca="false">MAX(0,P10*30*(R10-Q10))</f>
        <v>232.155</v>
      </c>
      <c r="T10" s="10" t="s">
        <v>389</v>
      </c>
      <c r="U10" s="28" t="s">
        <v>390</v>
      </c>
      <c r="V10" s="13" t="s">
        <v>348</v>
      </c>
      <c r="W10" s="10" t="s">
        <v>391</v>
      </c>
      <c r="X10" s="10" t="s">
        <v>392</v>
      </c>
      <c r="Y10" s="10" t="s">
        <v>393</v>
      </c>
      <c r="Z10" s="10" t="s">
        <v>394</v>
      </c>
      <c r="AA10" s="10" t="s">
        <v>395</v>
      </c>
      <c r="AB10" s="13" t="s">
        <v>396</v>
      </c>
      <c r="AC10" s="13" t="s">
        <v>349</v>
      </c>
    </row>
    <row r="11" customFormat="false" ht="150" hidden="false" customHeight="true" outlineLevel="0" collapsed="false">
      <c r="A11" s="39" t="n">
        <v>7</v>
      </c>
      <c r="B11" s="40" t="s">
        <v>257</v>
      </c>
      <c r="C11" s="41" t="s">
        <v>336</v>
      </c>
      <c r="D11" s="28" t="s">
        <v>397</v>
      </c>
      <c r="E11" s="10" t="s">
        <v>236</v>
      </c>
      <c r="F11" s="28" t="s">
        <v>398</v>
      </c>
      <c r="G11" s="42" t="n">
        <v>3319</v>
      </c>
      <c r="H11" s="42" t="n">
        <v>24</v>
      </c>
      <c r="I11" s="43" t="n">
        <f aca="false">IFERROR(H11/G11,0)</f>
        <v>0.00723109370292257</v>
      </c>
      <c r="J11" s="44" t="n">
        <v>7.5</v>
      </c>
      <c r="K11" s="44" t="n">
        <v>8.6</v>
      </c>
      <c r="L11" s="44" t="n">
        <v>0.14</v>
      </c>
      <c r="M11" s="44" t="n">
        <v>0.54</v>
      </c>
      <c r="N11" s="45" t="s">
        <v>339</v>
      </c>
      <c r="O11" s="42" t="n">
        <f aca="false">M11*30</f>
        <v>16.2</v>
      </c>
      <c r="P11" s="46" t="n">
        <v>42.8</v>
      </c>
      <c r="Q11" s="43" t="n">
        <v>0.0125</v>
      </c>
      <c r="R11" s="43" t="n">
        <f aca="false">IF(K11="",0,INDEX(目次・前提!$B$35:$B$54,MIN(20,MAX(1,ROUND(K11,0)))))</f>
        <v>0.04</v>
      </c>
      <c r="S11" s="42" t="n">
        <f aca="false">MAX(0,P11*30*(R11-Q11))</f>
        <v>35.31</v>
      </c>
      <c r="T11" s="10" t="s">
        <v>399</v>
      </c>
      <c r="U11" s="28" t="s">
        <v>400</v>
      </c>
      <c r="V11" s="13" t="s">
        <v>342</v>
      </c>
      <c r="W11" s="10" t="s">
        <v>401</v>
      </c>
      <c r="X11" s="28" t="s">
        <v>402</v>
      </c>
      <c r="Y11" s="10" t="s">
        <v>403</v>
      </c>
      <c r="Z11" s="10" t="s">
        <v>404</v>
      </c>
      <c r="AA11" s="10" t="s">
        <v>386</v>
      </c>
      <c r="AB11" s="13" t="s">
        <v>348</v>
      </c>
      <c r="AC11" s="13" t="s">
        <v>349</v>
      </c>
    </row>
    <row r="12" customFormat="false" ht="150" hidden="false" customHeight="true" outlineLevel="0" collapsed="false">
      <c r="A12" s="39" t="n">
        <v>8</v>
      </c>
      <c r="B12" s="40" t="s">
        <v>257</v>
      </c>
      <c r="C12" s="41" t="s">
        <v>336</v>
      </c>
      <c r="D12" s="28" t="s">
        <v>405</v>
      </c>
      <c r="E12" s="10" t="s">
        <v>228</v>
      </c>
      <c r="F12" s="10" t="s">
        <v>406</v>
      </c>
      <c r="G12" s="42" t="n">
        <v>9968</v>
      </c>
      <c r="H12" s="42" t="n">
        <v>349</v>
      </c>
      <c r="I12" s="43" t="n">
        <f aca="false">IFERROR(H12/G12,0)</f>
        <v>0.0350120385232745</v>
      </c>
      <c r="J12" s="44" t="n">
        <v>6.3</v>
      </c>
      <c r="K12" s="44" t="n">
        <v>6</v>
      </c>
      <c r="L12" s="44" t="n">
        <v>4.55</v>
      </c>
      <c r="M12" s="44" t="n">
        <v>2.07</v>
      </c>
      <c r="N12" s="45" t="s">
        <v>407</v>
      </c>
      <c r="O12" s="42" t="n">
        <f aca="false">M12*30</f>
        <v>62.1</v>
      </c>
      <c r="P12" s="46" t="n">
        <v>89.4</v>
      </c>
      <c r="Q12" s="43" t="n">
        <v>0.0232</v>
      </c>
      <c r="R12" s="43" t="n">
        <f aca="false">IF(K12="",0,INDEX(目次・前提!$B$35:$B$54,MIN(20,MAX(1,ROUND(K12,0)))))</f>
        <v>0.06</v>
      </c>
      <c r="S12" s="42" t="n">
        <f aca="false">MAX(0,P12*30*(R12-Q12))</f>
        <v>98.6976</v>
      </c>
      <c r="T12" s="10" t="s">
        <v>408</v>
      </c>
      <c r="U12" s="10" t="s">
        <v>409</v>
      </c>
      <c r="V12" s="13" t="s">
        <v>366</v>
      </c>
      <c r="W12" s="10" t="s">
        <v>410</v>
      </c>
      <c r="X12" s="10" t="s">
        <v>411</v>
      </c>
      <c r="Y12" s="10" t="s">
        <v>412</v>
      </c>
      <c r="Z12" s="10" t="s">
        <v>413</v>
      </c>
      <c r="AA12" s="10" t="s">
        <v>365</v>
      </c>
      <c r="AB12" s="13" t="s">
        <v>366</v>
      </c>
      <c r="AC12" s="13" t="s">
        <v>349</v>
      </c>
    </row>
    <row r="13" customFormat="false" ht="150" hidden="false" customHeight="true" outlineLevel="0" collapsed="false">
      <c r="A13" s="39" t="n">
        <v>9</v>
      </c>
      <c r="B13" s="40" t="s">
        <v>257</v>
      </c>
      <c r="C13" s="41" t="s">
        <v>336</v>
      </c>
      <c r="D13" s="28" t="s">
        <v>414</v>
      </c>
      <c r="E13" s="10" t="s">
        <v>224</v>
      </c>
      <c r="F13" s="10" t="s">
        <v>415</v>
      </c>
      <c r="G13" s="42" t="n">
        <v>72</v>
      </c>
      <c r="H13" s="42" t="n">
        <v>0</v>
      </c>
      <c r="I13" s="43" t="n">
        <f aca="false">IFERROR(H13/G13,0)</f>
        <v>0</v>
      </c>
      <c r="J13" s="44" t="n">
        <v>11.9</v>
      </c>
      <c r="K13" s="44" t="n">
        <v>10.1</v>
      </c>
      <c r="L13" s="44" t="n">
        <v>0</v>
      </c>
      <c r="M13" s="44" t="n">
        <v>0</v>
      </c>
      <c r="N13" s="45" t="s">
        <v>339</v>
      </c>
      <c r="O13" s="42" t="n">
        <f aca="false">M13*30</f>
        <v>0</v>
      </c>
      <c r="P13" s="46" t="n">
        <v>1.9</v>
      </c>
      <c r="Q13" s="43" t="n">
        <v>0</v>
      </c>
      <c r="R13" s="43" t="n">
        <f aca="false">IF(K13="",0,INDEX(目次・前提!$B$35:$B$54,MIN(20,MAX(1,ROUND(K13,0)))))</f>
        <v>0.035</v>
      </c>
      <c r="S13" s="42" t="n">
        <f aca="false">MAX(0,P13*30*(R13-Q13))</f>
        <v>1.995</v>
      </c>
      <c r="T13" s="10" t="s">
        <v>416</v>
      </c>
      <c r="U13" s="28" t="s">
        <v>417</v>
      </c>
      <c r="V13" s="13" t="s">
        <v>348</v>
      </c>
      <c r="W13" s="10" t="s">
        <v>418</v>
      </c>
      <c r="X13" s="10" t="s">
        <v>419</v>
      </c>
      <c r="Y13" s="10" t="s">
        <v>420</v>
      </c>
      <c r="Z13" s="10" t="s">
        <v>421</v>
      </c>
      <c r="AA13" s="10" t="s">
        <v>422</v>
      </c>
      <c r="AB13" s="13" t="s">
        <v>348</v>
      </c>
      <c r="AC13" s="13" t="s">
        <v>349</v>
      </c>
    </row>
    <row r="14" customFormat="false" ht="150" hidden="false" customHeight="true" outlineLevel="0" collapsed="false">
      <c r="A14" s="47" t="n">
        <v>10</v>
      </c>
      <c r="B14" s="48" t="s">
        <v>261</v>
      </c>
      <c r="C14" s="49" t="s">
        <v>423</v>
      </c>
      <c r="D14" s="28" t="s">
        <v>424</v>
      </c>
      <c r="E14" s="10" t="s">
        <v>216</v>
      </c>
      <c r="F14" s="10" t="s">
        <v>338</v>
      </c>
      <c r="G14" s="42" t="n">
        <v>3716</v>
      </c>
      <c r="H14" s="42" t="n">
        <v>263</v>
      </c>
      <c r="I14" s="43" t="n">
        <f aca="false">IFERROR(H14/G14,0)</f>
        <v>0.0707750269106566</v>
      </c>
      <c r="J14" s="44" t="n">
        <v>4.5</v>
      </c>
      <c r="K14" s="44" t="n">
        <v>4.5</v>
      </c>
      <c r="L14" s="44" t="n">
        <v>1.2</v>
      </c>
      <c r="M14" s="44" t="n">
        <v>6.64</v>
      </c>
      <c r="N14" s="45" t="s">
        <v>369</v>
      </c>
      <c r="O14" s="42" t="n">
        <f aca="false">M14*30</f>
        <v>199.2</v>
      </c>
      <c r="P14" s="46" t="n">
        <v>86</v>
      </c>
      <c r="Q14" s="43" t="n">
        <v>0.0772</v>
      </c>
      <c r="R14" s="43" t="n">
        <f aca="false">IF(K14="",0,INDEX(目次・前提!$B$35:$B$54,MIN(20,MAX(1,ROUND(K14,0)))))</f>
        <v>0.08</v>
      </c>
      <c r="S14" s="42" t="n">
        <f aca="false">MAX(0,P14*30*(R14-Q14))</f>
        <v>7.22399999999999</v>
      </c>
      <c r="T14" s="10" t="s">
        <v>425</v>
      </c>
      <c r="U14" s="28" t="s">
        <v>426</v>
      </c>
      <c r="V14" s="13" t="s">
        <v>342</v>
      </c>
      <c r="W14" s="10" t="s">
        <v>427</v>
      </c>
      <c r="X14" s="10" t="s">
        <v>428</v>
      </c>
      <c r="Y14" s="10" t="s">
        <v>429</v>
      </c>
      <c r="Z14" s="10" t="s">
        <v>430</v>
      </c>
      <c r="AA14" s="10" t="s">
        <v>347</v>
      </c>
      <c r="AB14" s="13" t="s">
        <v>366</v>
      </c>
      <c r="AC14" s="13" t="s">
        <v>349</v>
      </c>
    </row>
    <row r="15" customFormat="false" ht="150" hidden="false" customHeight="true" outlineLevel="0" collapsed="false">
      <c r="A15" s="47" t="n">
        <v>11</v>
      </c>
      <c r="B15" s="48" t="s">
        <v>261</v>
      </c>
      <c r="C15" s="49" t="s">
        <v>423</v>
      </c>
      <c r="D15" s="28" t="s">
        <v>431</v>
      </c>
      <c r="E15" s="10" t="s">
        <v>216</v>
      </c>
      <c r="F15" s="28" t="s">
        <v>351</v>
      </c>
      <c r="G15" s="42" t="n">
        <v>2844</v>
      </c>
      <c r="H15" s="42" t="n">
        <v>94</v>
      </c>
      <c r="I15" s="43" t="n">
        <f aca="false">IFERROR(H15/G15,0)</f>
        <v>0.0330520393811533</v>
      </c>
      <c r="J15" s="44" t="n">
        <v>5.8</v>
      </c>
      <c r="K15" s="44" t="n">
        <v>5.8</v>
      </c>
      <c r="L15" s="44" t="n">
        <v>0.05</v>
      </c>
      <c r="M15" s="44" t="n">
        <v>3.25</v>
      </c>
      <c r="N15" s="45" t="s">
        <v>432</v>
      </c>
      <c r="O15" s="42" t="n">
        <f aca="false">M15*30</f>
        <v>97.5</v>
      </c>
      <c r="P15" s="46" t="n">
        <v>99.7</v>
      </c>
      <c r="Q15" s="43" t="n">
        <v>0.0326</v>
      </c>
      <c r="R15" s="43" t="n">
        <f aca="false">IF(K15="",0,INDEX(目次・前提!$B$35:$B$54,MIN(20,MAX(1,ROUND(K15,0)))))</f>
        <v>0.06</v>
      </c>
      <c r="S15" s="42" t="n">
        <f aca="false">MAX(0,P15*30*(R15-Q15))</f>
        <v>81.9534</v>
      </c>
      <c r="T15" s="10" t="s">
        <v>433</v>
      </c>
      <c r="U15" s="10" t="s">
        <v>434</v>
      </c>
      <c r="V15" s="13" t="s">
        <v>348</v>
      </c>
      <c r="W15" s="10" t="s">
        <v>435</v>
      </c>
      <c r="X15" s="10" t="s">
        <v>436</v>
      </c>
      <c r="Y15" s="10" t="s">
        <v>437</v>
      </c>
      <c r="Z15" s="10" t="s">
        <v>438</v>
      </c>
      <c r="AA15" s="10" t="s">
        <v>347</v>
      </c>
      <c r="AB15" s="13" t="s">
        <v>366</v>
      </c>
      <c r="AC15" s="13" t="s">
        <v>349</v>
      </c>
    </row>
    <row r="16" customFormat="false" ht="150" hidden="false" customHeight="true" outlineLevel="0" collapsed="false">
      <c r="A16" s="47" t="n">
        <v>12</v>
      </c>
      <c r="B16" s="48" t="s">
        <v>261</v>
      </c>
      <c r="C16" s="49" t="s">
        <v>423</v>
      </c>
      <c r="D16" s="28" t="s">
        <v>439</v>
      </c>
      <c r="E16" s="28" t="s">
        <v>220</v>
      </c>
      <c r="F16" s="28" t="s">
        <v>440</v>
      </c>
      <c r="G16" s="42" t="n">
        <v>5236</v>
      </c>
      <c r="H16" s="42" t="n">
        <v>267</v>
      </c>
      <c r="I16" s="43" t="n">
        <f aca="false">IFERROR(H16/G16,0)</f>
        <v>0.0509931245225363</v>
      </c>
      <c r="J16" s="44" t="n">
        <v>5.8</v>
      </c>
      <c r="K16" s="44" t="n">
        <v>4.4</v>
      </c>
      <c r="L16" s="44" t="n">
        <v>2.14</v>
      </c>
      <c r="M16" s="44" t="n">
        <v>4.64</v>
      </c>
      <c r="N16" s="45" t="s">
        <v>369</v>
      </c>
      <c r="O16" s="42" t="n">
        <f aca="false">M16*30</f>
        <v>139.2</v>
      </c>
      <c r="P16" s="46" t="n">
        <v>59.1</v>
      </c>
      <c r="Q16" s="43" t="n">
        <v>0.0786</v>
      </c>
      <c r="R16" s="43" t="n">
        <f aca="false">IF(K16="",0,INDEX(目次・前提!$B$35:$B$54,MIN(20,MAX(1,ROUND(K16,0)))))</f>
        <v>0.1</v>
      </c>
      <c r="S16" s="42" t="n">
        <f aca="false">MAX(0,P16*30*(R16-Q16))</f>
        <v>37.9422</v>
      </c>
      <c r="T16" s="28" t="s">
        <v>441</v>
      </c>
      <c r="U16" s="28" t="s">
        <v>442</v>
      </c>
      <c r="V16" s="13" t="s">
        <v>372</v>
      </c>
      <c r="W16" s="10" t="s">
        <v>373</v>
      </c>
      <c r="X16" s="10" t="s">
        <v>443</v>
      </c>
      <c r="Y16" s="10" t="s">
        <v>444</v>
      </c>
      <c r="Z16" s="10" t="s">
        <v>445</v>
      </c>
      <c r="AA16" s="28" t="s">
        <v>446</v>
      </c>
      <c r="AB16" s="13" t="s">
        <v>348</v>
      </c>
      <c r="AC16" s="13" t="s">
        <v>349</v>
      </c>
    </row>
    <row r="17" customFormat="false" ht="150" hidden="false" customHeight="true" outlineLevel="0" collapsed="false">
      <c r="A17" s="47" t="n">
        <v>13</v>
      </c>
      <c r="B17" s="48" t="s">
        <v>261</v>
      </c>
      <c r="C17" s="49" t="s">
        <v>423</v>
      </c>
      <c r="D17" s="28" t="s">
        <v>447</v>
      </c>
      <c r="E17" s="10" t="s">
        <v>216</v>
      </c>
      <c r="F17" s="10" t="s">
        <v>338</v>
      </c>
      <c r="G17" s="42" t="n">
        <v>8555</v>
      </c>
      <c r="H17" s="42" t="n">
        <v>89</v>
      </c>
      <c r="I17" s="43" t="n">
        <f aca="false">IFERROR(H17/G17,0)</f>
        <v>0.0104032729398013</v>
      </c>
      <c r="J17" s="44" t="n">
        <v>7.9</v>
      </c>
      <c r="K17" s="44" t="n">
        <v>7.5</v>
      </c>
      <c r="L17" s="44" t="n">
        <v>0.88</v>
      </c>
      <c r="M17" s="44" t="n">
        <v>1.18</v>
      </c>
      <c r="N17" s="45" t="s">
        <v>339</v>
      </c>
      <c r="O17" s="42" t="n">
        <f aca="false">M17*30</f>
        <v>35.4</v>
      </c>
      <c r="P17" s="46" t="n">
        <v>62.8</v>
      </c>
      <c r="Q17" s="43" t="n">
        <v>0.0188</v>
      </c>
      <c r="R17" s="43" t="n">
        <f aca="false">IF(K17="",0,INDEX(目次・前提!$B$35:$B$54,MIN(20,MAX(1,ROUND(K17,0)))))</f>
        <v>0.045</v>
      </c>
      <c r="S17" s="42" t="n">
        <f aca="false">MAX(0,P17*30*(R17-Q17))</f>
        <v>49.3608</v>
      </c>
      <c r="T17" s="28" t="s">
        <v>448</v>
      </c>
      <c r="U17" s="28" t="s">
        <v>449</v>
      </c>
      <c r="V17" s="13" t="s">
        <v>342</v>
      </c>
      <c r="W17" s="10" t="s">
        <v>450</v>
      </c>
      <c r="X17" s="10" t="s">
        <v>451</v>
      </c>
      <c r="Y17" s="10" t="s">
        <v>452</v>
      </c>
      <c r="Z17" s="10" t="s">
        <v>453</v>
      </c>
      <c r="AA17" s="10" t="s">
        <v>347</v>
      </c>
      <c r="AB17" s="13" t="s">
        <v>366</v>
      </c>
      <c r="AC17" s="13" t="s">
        <v>349</v>
      </c>
    </row>
    <row r="18" customFormat="false" ht="150" hidden="false" customHeight="true" outlineLevel="0" collapsed="false">
      <c r="A18" s="47" t="n">
        <v>14</v>
      </c>
      <c r="B18" s="48" t="s">
        <v>261</v>
      </c>
      <c r="C18" s="49" t="s">
        <v>423</v>
      </c>
      <c r="D18" s="28" t="s">
        <v>454</v>
      </c>
      <c r="E18" s="28" t="s">
        <v>220</v>
      </c>
      <c r="F18" s="28" t="s">
        <v>455</v>
      </c>
      <c r="G18" s="42" t="n">
        <v>6787</v>
      </c>
      <c r="H18" s="42" t="n">
        <v>274</v>
      </c>
      <c r="I18" s="43" t="n">
        <f aca="false">IFERROR(H18/G18,0)</f>
        <v>0.0403712980698394</v>
      </c>
      <c r="J18" s="44" t="n">
        <v>8.9</v>
      </c>
      <c r="K18" s="44" t="n">
        <v>8.2</v>
      </c>
      <c r="L18" s="44" t="n">
        <v>2.75</v>
      </c>
      <c r="M18" s="44" t="n">
        <v>3.5</v>
      </c>
      <c r="N18" s="45" t="s">
        <v>339</v>
      </c>
      <c r="O18" s="42" t="n">
        <f aca="false">M18*30</f>
        <v>105</v>
      </c>
      <c r="P18" s="46" t="n">
        <v>84.4</v>
      </c>
      <c r="Q18" s="43" t="n">
        <v>0.0415</v>
      </c>
      <c r="R18" s="43" t="n">
        <f aca="false">IF(K18="",0,INDEX(目次・前提!$B$35:$B$54,MIN(20,MAX(1,ROUND(K18,0)))))</f>
        <v>0.045</v>
      </c>
      <c r="S18" s="42" t="n">
        <f aca="false">MAX(0,P18*30*(R18-Q18))</f>
        <v>8.86199999999999</v>
      </c>
      <c r="T18" s="28" t="s">
        <v>456</v>
      </c>
      <c r="U18" s="28" t="s">
        <v>457</v>
      </c>
      <c r="V18" s="13" t="s">
        <v>372</v>
      </c>
      <c r="W18" s="10" t="s">
        <v>373</v>
      </c>
      <c r="X18" s="10" t="s">
        <v>458</v>
      </c>
      <c r="Y18" s="10" t="s">
        <v>459</v>
      </c>
      <c r="Z18" s="10" t="s">
        <v>460</v>
      </c>
      <c r="AA18" s="28" t="s">
        <v>446</v>
      </c>
      <c r="AB18" s="13" t="s">
        <v>348</v>
      </c>
      <c r="AC18" s="13" t="s">
        <v>349</v>
      </c>
    </row>
    <row r="19" customFormat="false" ht="150" hidden="false" customHeight="true" outlineLevel="0" collapsed="false">
      <c r="A19" s="47" t="n">
        <v>15</v>
      </c>
      <c r="B19" s="48" t="s">
        <v>261</v>
      </c>
      <c r="C19" s="49" t="s">
        <v>423</v>
      </c>
      <c r="D19" s="28" t="s">
        <v>461</v>
      </c>
      <c r="E19" s="10" t="s">
        <v>216</v>
      </c>
      <c r="F19" s="10" t="s">
        <v>338</v>
      </c>
      <c r="G19" s="42" t="n">
        <v>1007</v>
      </c>
      <c r="H19" s="42" t="n">
        <v>13</v>
      </c>
      <c r="I19" s="43" t="n">
        <f aca="false">IFERROR(H19/G19,0)</f>
        <v>0.012909632571996</v>
      </c>
      <c r="J19" s="44" t="n">
        <v>6</v>
      </c>
      <c r="K19" s="44" t="n">
        <v>6</v>
      </c>
      <c r="L19" s="44" t="n">
        <v>0</v>
      </c>
      <c r="M19" s="44" t="n">
        <v>0.46</v>
      </c>
      <c r="N19" s="45" t="s">
        <v>432</v>
      </c>
      <c r="O19" s="42" t="n">
        <f aca="false">M19*30</f>
        <v>13.8</v>
      </c>
      <c r="P19" s="46" t="n">
        <v>36</v>
      </c>
      <c r="Q19" s="43" t="n">
        <v>0.0129</v>
      </c>
      <c r="R19" s="43" t="n">
        <f aca="false">IF(K19="",0,INDEX(目次・前提!$B$35:$B$54,MIN(20,MAX(1,ROUND(K19,0)))))</f>
        <v>0.06</v>
      </c>
      <c r="S19" s="42" t="n">
        <f aca="false">MAX(0,P19*30*(R19-Q19))</f>
        <v>50.868</v>
      </c>
      <c r="T19" s="10" t="s">
        <v>462</v>
      </c>
      <c r="U19" s="10" t="s">
        <v>463</v>
      </c>
      <c r="V19" s="13" t="s">
        <v>342</v>
      </c>
      <c r="W19" s="10" t="s">
        <v>464</v>
      </c>
      <c r="X19" s="10" t="s">
        <v>465</v>
      </c>
      <c r="Y19" s="10" t="s">
        <v>466</v>
      </c>
      <c r="Z19" s="10" t="s">
        <v>467</v>
      </c>
      <c r="AA19" s="10" t="s">
        <v>347</v>
      </c>
      <c r="AB19" s="13" t="s">
        <v>366</v>
      </c>
      <c r="AC19" s="13" t="s">
        <v>349</v>
      </c>
    </row>
    <row r="20" customFormat="false" ht="150" hidden="false" customHeight="true" outlineLevel="0" collapsed="false">
      <c r="A20" s="47" t="n">
        <v>16</v>
      </c>
      <c r="B20" s="48" t="s">
        <v>261</v>
      </c>
      <c r="C20" s="49" t="s">
        <v>423</v>
      </c>
      <c r="D20" s="28" t="s">
        <v>468</v>
      </c>
      <c r="E20" s="10" t="s">
        <v>224</v>
      </c>
      <c r="F20" s="10" t="s">
        <v>379</v>
      </c>
      <c r="G20" s="42" t="n">
        <v>809</v>
      </c>
      <c r="H20" s="42" t="n">
        <v>20</v>
      </c>
      <c r="I20" s="43" t="n">
        <f aca="false">IFERROR(H20/G20,0)</f>
        <v>0.0247218788627936</v>
      </c>
      <c r="J20" s="44" t="n">
        <v>6.2</v>
      </c>
      <c r="K20" s="44" t="n">
        <v>6.2</v>
      </c>
      <c r="L20" s="44" t="n">
        <v>0</v>
      </c>
      <c r="M20" s="44" t="n">
        <v>0.71</v>
      </c>
      <c r="N20" s="45" t="s">
        <v>432</v>
      </c>
      <c r="O20" s="42" t="n">
        <f aca="false">M20*30</f>
        <v>21.3</v>
      </c>
      <c r="P20" s="46" t="n">
        <v>28.9</v>
      </c>
      <c r="Q20" s="43" t="n">
        <v>0.0247</v>
      </c>
      <c r="R20" s="43" t="n">
        <f aca="false">IF(K20="",0,INDEX(目次・前提!$B$35:$B$54,MIN(20,MAX(1,ROUND(K20,0)))))</f>
        <v>0.06</v>
      </c>
      <c r="S20" s="42" t="n">
        <f aca="false">MAX(0,P20*30*(R20-Q20))</f>
        <v>30.6051</v>
      </c>
      <c r="T20" s="10" t="s">
        <v>469</v>
      </c>
      <c r="U20" s="10" t="s">
        <v>470</v>
      </c>
      <c r="V20" s="13" t="s">
        <v>342</v>
      </c>
      <c r="W20" s="10" t="s">
        <v>471</v>
      </c>
      <c r="X20" s="10" t="s">
        <v>472</v>
      </c>
      <c r="Y20" s="10" t="s">
        <v>473</v>
      </c>
      <c r="Z20" s="10" t="s">
        <v>474</v>
      </c>
      <c r="AA20" s="10" t="s">
        <v>386</v>
      </c>
      <c r="AB20" s="13" t="s">
        <v>366</v>
      </c>
      <c r="AC20" s="13" t="s">
        <v>349</v>
      </c>
    </row>
    <row r="21" customFormat="false" ht="150" hidden="false" customHeight="true" outlineLevel="0" collapsed="false">
      <c r="A21" s="47" t="n">
        <v>17</v>
      </c>
      <c r="B21" s="48" t="s">
        <v>261</v>
      </c>
      <c r="C21" s="49" t="s">
        <v>423</v>
      </c>
      <c r="D21" s="28" t="s">
        <v>475</v>
      </c>
      <c r="E21" s="28" t="s">
        <v>220</v>
      </c>
      <c r="F21" s="28" t="s">
        <v>440</v>
      </c>
      <c r="G21" s="42" t="n">
        <v>3968</v>
      </c>
      <c r="H21" s="42" t="n">
        <v>72</v>
      </c>
      <c r="I21" s="43" t="n">
        <f aca="false">IFERROR(H21/G21,0)</f>
        <v>0.0181451612903226</v>
      </c>
      <c r="J21" s="44" t="n">
        <v>8.9</v>
      </c>
      <c r="K21" s="44" t="n">
        <v>8.8</v>
      </c>
      <c r="L21" s="44" t="n">
        <v>0.41</v>
      </c>
      <c r="M21" s="44" t="n">
        <v>1.64</v>
      </c>
      <c r="N21" s="45" t="s">
        <v>369</v>
      </c>
      <c r="O21" s="42" t="n">
        <f aca="false">M21*30</f>
        <v>49.2</v>
      </c>
      <c r="P21" s="46" t="n">
        <v>83.1</v>
      </c>
      <c r="Q21" s="43" t="n">
        <v>0.0198</v>
      </c>
      <c r="R21" s="43" t="n">
        <f aca="false">IF(K21="",0,INDEX(目次・前提!$B$35:$B$54,MIN(20,MAX(1,ROUND(K21,0)))))</f>
        <v>0.04</v>
      </c>
      <c r="S21" s="42" t="n">
        <f aca="false">MAX(0,P21*30*(R21-Q21))</f>
        <v>50.3586</v>
      </c>
      <c r="T21" s="28" t="s">
        <v>476</v>
      </c>
      <c r="U21" s="28" t="s">
        <v>477</v>
      </c>
      <c r="V21" s="13" t="s">
        <v>372</v>
      </c>
      <c r="W21" s="10" t="s">
        <v>373</v>
      </c>
      <c r="X21" s="10" t="s">
        <v>478</v>
      </c>
      <c r="Y21" s="10" t="s">
        <v>479</v>
      </c>
      <c r="Z21" s="10" t="s">
        <v>480</v>
      </c>
      <c r="AA21" s="10" t="s">
        <v>395</v>
      </c>
      <c r="AB21" s="13" t="s">
        <v>366</v>
      </c>
      <c r="AC21" s="13" t="s">
        <v>349</v>
      </c>
    </row>
    <row r="22" customFormat="false" ht="150" hidden="false" customHeight="true" outlineLevel="0" collapsed="false">
      <c r="A22" s="47" t="n">
        <v>18</v>
      </c>
      <c r="B22" s="48" t="s">
        <v>261</v>
      </c>
      <c r="C22" s="49" t="s">
        <v>423</v>
      </c>
      <c r="D22" s="28" t="s">
        <v>481</v>
      </c>
      <c r="E22" s="28" t="s">
        <v>220</v>
      </c>
      <c r="F22" s="10" t="s">
        <v>482</v>
      </c>
      <c r="G22" s="42" t="n">
        <v>5258</v>
      </c>
      <c r="H22" s="42" t="n">
        <v>164</v>
      </c>
      <c r="I22" s="43" t="n">
        <f aca="false">IFERROR(H22/G22,0)</f>
        <v>0.0311905667554203</v>
      </c>
      <c r="J22" s="44" t="n">
        <v>9.6</v>
      </c>
      <c r="K22" s="44" t="n">
        <v>8.5</v>
      </c>
      <c r="L22" s="44" t="n">
        <v>1.16</v>
      </c>
      <c r="M22" s="44" t="n">
        <v>3.21</v>
      </c>
      <c r="N22" s="45" t="s">
        <v>369</v>
      </c>
      <c r="O22" s="42" t="n">
        <f aca="false">M22*30</f>
        <v>96.3</v>
      </c>
      <c r="P22" s="46" t="n">
        <v>83</v>
      </c>
      <c r="Q22" s="43" t="n">
        <v>0.0387</v>
      </c>
      <c r="R22" s="43" t="n">
        <f aca="false">IF(K22="",0,INDEX(目次・前提!$B$35:$B$54,MIN(20,MAX(1,ROUND(K22,0)))))</f>
        <v>0.04</v>
      </c>
      <c r="S22" s="42" t="n">
        <f aca="false">MAX(0,P22*30*(R22-Q22))</f>
        <v>3.23700000000001</v>
      </c>
      <c r="T22" s="10" t="s">
        <v>483</v>
      </c>
      <c r="U22" s="28" t="s">
        <v>484</v>
      </c>
      <c r="V22" s="13" t="s">
        <v>372</v>
      </c>
      <c r="W22" s="10" t="s">
        <v>373</v>
      </c>
      <c r="X22" s="10" t="s">
        <v>485</v>
      </c>
      <c r="Y22" s="10" t="s">
        <v>486</v>
      </c>
      <c r="Z22" s="10" t="s">
        <v>487</v>
      </c>
      <c r="AA22" s="28" t="s">
        <v>446</v>
      </c>
      <c r="AB22" s="13" t="s">
        <v>348</v>
      </c>
      <c r="AC22" s="13" t="s">
        <v>349</v>
      </c>
    </row>
    <row r="23" customFormat="false" ht="150" hidden="false" customHeight="true" outlineLevel="0" collapsed="false">
      <c r="A23" s="47" t="n">
        <v>19</v>
      </c>
      <c r="B23" s="48" t="s">
        <v>261</v>
      </c>
      <c r="C23" s="49" t="s">
        <v>423</v>
      </c>
      <c r="D23" s="28" t="s">
        <v>488</v>
      </c>
      <c r="E23" s="10" t="s">
        <v>236</v>
      </c>
      <c r="F23" s="10" t="s">
        <v>489</v>
      </c>
      <c r="G23" s="42" t="n">
        <v>1357</v>
      </c>
      <c r="H23" s="42" t="n">
        <v>32</v>
      </c>
      <c r="I23" s="43" t="n">
        <f aca="false">IFERROR(H23/G23,0)</f>
        <v>0.023581429624171</v>
      </c>
      <c r="J23" s="44" t="n">
        <v>8.6</v>
      </c>
      <c r="K23" s="44" t="n">
        <v>8.5</v>
      </c>
      <c r="L23" s="44" t="n">
        <v>0.28</v>
      </c>
      <c r="M23" s="44" t="n">
        <v>0.5</v>
      </c>
      <c r="N23" s="45" t="s">
        <v>490</v>
      </c>
      <c r="O23" s="42" t="n">
        <f aca="false">M23*30</f>
        <v>15</v>
      </c>
      <c r="P23" s="46" t="n">
        <v>24.9</v>
      </c>
      <c r="Q23" s="43" t="n">
        <v>0.0201</v>
      </c>
      <c r="R23" s="43" t="n">
        <f aca="false">IF(K23="",0,INDEX(目次・前提!$B$35:$B$54,MIN(20,MAX(1,ROUND(K23,0)))))</f>
        <v>0.04</v>
      </c>
      <c r="S23" s="42" t="n">
        <f aca="false">MAX(0,P23*30*(R23-Q23))</f>
        <v>14.8653</v>
      </c>
      <c r="T23" s="10" t="s">
        <v>491</v>
      </c>
      <c r="U23" s="10" t="s">
        <v>492</v>
      </c>
      <c r="V23" s="13" t="s">
        <v>342</v>
      </c>
      <c r="W23" s="10" t="s">
        <v>493</v>
      </c>
      <c r="X23" s="10" t="s">
        <v>494</v>
      </c>
      <c r="Y23" s="10" t="s">
        <v>495</v>
      </c>
      <c r="Z23" s="10" t="s">
        <v>496</v>
      </c>
      <c r="AA23" s="10" t="s">
        <v>386</v>
      </c>
      <c r="AB23" s="13" t="s">
        <v>396</v>
      </c>
      <c r="AC23" s="13" t="s">
        <v>349</v>
      </c>
    </row>
    <row r="24" customFormat="false" ht="150" hidden="false" customHeight="true" outlineLevel="0" collapsed="false">
      <c r="A24" s="47" t="n">
        <v>20</v>
      </c>
      <c r="B24" s="48" t="s">
        <v>261</v>
      </c>
      <c r="C24" s="49" t="s">
        <v>423</v>
      </c>
      <c r="D24" s="28" t="s">
        <v>497</v>
      </c>
      <c r="E24" s="10" t="s">
        <v>216</v>
      </c>
      <c r="F24" s="28" t="s">
        <v>351</v>
      </c>
      <c r="G24" s="42" t="n">
        <v>3150</v>
      </c>
      <c r="H24" s="42" t="n">
        <v>147</v>
      </c>
      <c r="I24" s="43" t="n">
        <f aca="false">IFERROR(H24/G24,0)</f>
        <v>0.0466666666666667</v>
      </c>
      <c r="J24" s="44" t="n">
        <v>7.4</v>
      </c>
      <c r="K24" s="44" t="n">
        <v>7.3</v>
      </c>
      <c r="L24" s="44" t="n">
        <v>1.5</v>
      </c>
      <c r="M24" s="44" t="n">
        <v>1.82</v>
      </c>
      <c r="N24" s="45" t="s">
        <v>339</v>
      </c>
      <c r="O24" s="42" t="n">
        <f aca="false">M24*30</f>
        <v>54.6</v>
      </c>
      <c r="P24" s="46" t="n">
        <v>31</v>
      </c>
      <c r="Q24" s="43" t="n">
        <v>0.0588</v>
      </c>
      <c r="R24" s="43" t="n">
        <f aca="false">IF(K24="",0,INDEX(目次・前提!$B$35:$B$54,MIN(20,MAX(1,ROUND(K24,0)))))</f>
        <v>0.05</v>
      </c>
      <c r="S24" s="42" t="n">
        <f aca="false">MAX(0,P24*30*(R24-Q24))</f>
        <v>0</v>
      </c>
      <c r="T24" s="10" t="s">
        <v>498</v>
      </c>
      <c r="U24" s="28" t="s">
        <v>499</v>
      </c>
      <c r="V24" s="13" t="s">
        <v>348</v>
      </c>
      <c r="W24" s="10" t="s">
        <v>500</v>
      </c>
      <c r="X24" s="28" t="s">
        <v>501</v>
      </c>
      <c r="Y24" s="10" t="s">
        <v>502</v>
      </c>
      <c r="Z24" s="10" t="s">
        <v>503</v>
      </c>
      <c r="AA24" s="10" t="s">
        <v>347</v>
      </c>
      <c r="AB24" s="13" t="s">
        <v>366</v>
      </c>
      <c r="AC24" s="13" t="s">
        <v>349</v>
      </c>
    </row>
    <row r="25" customFormat="false" ht="150" hidden="false" customHeight="true" outlineLevel="0" collapsed="false">
      <c r="A25" s="47" t="n">
        <v>21</v>
      </c>
      <c r="B25" s="48" t="s">
        <v>261</v>
      </c>
      <c r="C25" s="49" t="s">
        <v>423</v>
      </c>
      <c r="D25" s="28" t="s">
        <v>504</v>
      </c>
      <c r="E25" s="28" t="s">
        <v>232</v>
      </c>
      <c r="F25" s="10" t="s">
        <v>505</v>
      </c>
      <c r="G25" s="42" t="n">
        <v>3394</v>
      </c>
      <c r="H25" s="42" t="n">
        <v>542</v>
      </c>
      <c r="I25" s="43" t="n">
        <f aca="false">IFERROR(H25/G25,0)</f>
        <v>0.159693576900413</v>
      </c>
      <c r="J25" s="44" t="n">
        <v>8.9</v>
      </c>
      <c r="K25" s="44" t="n">
        <v>9.8</v>
      </c>
      <c r="L25" s="44" t="n">
        <v>5.91</v>
      </c>
      <c r="M25" s="44" t="n">
        <v>5.86</v>
      </c>
      <c r="N25" s="45" t="s">
        <v>339</v>
      </c>
      <c r="O25" s="42" t="n">
        <f aca="false">M25*30</f>
        <v>175.8</v>
      </c>
      <c r="P25" s="46" t="n">
        <v>36</v>
      </c>
      <c r="Q25" s="43" t="n">
        <v>0.1625</v>
      </c>
      <c r="R25" s="43" t="n">
        <f aca="false">IF(K25="",0,INDEX(目次・前提!$B$35:$B$54,MIN(20,MAX(1,ROUND(K25,0)))))</f>
        <v>0.035</v>
      </c>
      <c r="S25" s="42" t="n">
        <f aca="false">MAX(0,P25*30*(R25-Q25))</f>
        <v>0</v>
      </c>
      <c r="T25" s="10" t="s">
        <v>506</v>
      </c>
      <c r="U25" s="28" t="s">
        <v>507</v>
      </c>
      <c r="V25" s="13" t="s">
        <v>372</v>
      </c>
      <c r="W25" s="10" t="s">
        <v>508</v>
      </c>
      <c r="X25" s="10" t="s">
        <v>509</v>
      </c>
      <c r="Y25" s="10" t="s">
        <v>510</v>
      </c>
      <c r="Z25" s="10" t="s">
        <v>511</v>
      </c>
      <c r="AA25" s="10" t="s">
        <v>395</v>
      </c>
      <c r="AB25" s="13" t="s">
        <v>366</v>
      </c>
      <c r="AC25" s="13" t="s">
        <v>349</v>
      </c>
    </row>
    <row r="26" customFormat="false" ht="150" hidden="false" customHeight="true" outlineLevel="0" collapsed="false">
      <c r="A26" s="47" t="n">
        <v>22</v>
      </c>
      <c r="B26" s="48" t="s">
        <v>261</v>
      </c>
      <c r="C26" s="49" t="s">
        <v>423</v>
      </c>
      <c r="D26" s="28" t="s">
        <v>512</v>
      </c>
      <c r="E26" s="28" t="s">
        <v>232</v>
      </c>
      <c r="F26" s="10" t="s">
        <v>505</v>
      </c>
      <c r="G26" s="42" t="n">
        <v>2856</v>
      </c>
      <c r="H26" s="42" t="n">
        <v>544</v>
      </c>
      <c r="I26" s="43" t="n">
        <f aca="false">IFERROR(H26/G26,0)</f>
        <v>0.19047619047619</v>
      </c>
      <c r="J26" s="44" t="n">
        <v>5.2</v>
      </c>
      <c r="K26" s="44" t="n">
        <v>4.7</v>
      </c>
      <c r="L26" s="44" t="n">
        <v>6</v>
      </c>
      <c r="M26" s="44" t="n">
        <v>5.71</v>
      </c>
      <c r="N26" s="45" t="s">
        <v>339</v>
      </c>
      <c r="O26" s="42" t="n">
        <f aca="false">M26*30</f>
        <v>171.3</v>
      </c>
      <c r="P26" s="46" t="n">
        <v>35</v>
      </c>
      <c r="Q26" s="43" t="n">
        <v>0.1633</v>
      </c>
      <c r="R26" s="43" t="n">
        <f aca="false">IF(K26="",0,INDEX(目次・前提!$B$35:$B$54,MIN(20,MAX(1,ROUND(K26,0)))))</f>
        <v>0.08</v>
      </c>
      <c r="S26" s="42" t="n">
        <f aca="false">MAX(0,P26*30*(R26-Q26))</f>
        <v>0</v>
      </c>
      <c r="T26" s="28" t="s">
        <v>513</v>
      </c>
      <c r="U26" s="28" t="s">
        <v>514</v>
      </c>
      <c r="V26" s="13" t="s">
        <v>372</v>
      </c>
      <c r="W26" s="10" t="s">
        <v>508</v>
      </c>
      <c r="X26" s="10" t="s">
        <v>515</v>
      </c>
      <c r="Y26" s="10" t="s">
        <v>516</v>
      </c>
      <c r="Z26" s="10" t="s">
        <v>517</v>
      </c>
      <c r="AA26" s="10" t="s">
        <v>395</v>
      </c>
      <c r="AB26" s="13" t="s">
        <v>366</v>
      </c>
      <c r="AC26" s="13" t="s">
        <v>349</v>
      </c>
    </row>
    <row r="27" customFormat="false" ht="150" hidden="false" customHeight="true" outlineLevel="0" collapsed="false">
      <c r="A27" s="47" t="n">
        <v>23</v>
      </c>
      <c r="B27" s="48" t="s">
        <v>261</v>
      </c>
      <c r="C27" s="49" t="s">
        <v>423</v>
      </c>
      <c r="D27" s="28" t="s">
        <v>518</v>
      </c>
      <c r="E27" s="28" t="s">
        <v>232</v>
      </c>
      <c r="F27" s="28" t="s">
        <v>519</v>
      </c>
      <c r="G27" s="42" t="n">
        <v>5584</v>
      </c>
      <c r="H27" s="42" t="n">
        <v>214</v>
      </c>
      <c r="I27" s="43" t="n">
        <f aca="false">IFERROR(H27/G27,0)</f>
        <v>0.038323782234957</v>
      </c>
      <c r="J27" s="44" t="n">
        <v>7.3</v>
      </c>
      <c r="K27" s="44" t="n">
        <v>5.7</v>
      </c>
      <c r="L27" s="44" t="n">
        <v>2</v>
      </c>
      <c r="M27" s="44" t="n">
        <v>3.07</v>
      </c>
      <c r="N27" s="45" t="s">
        <v>369</v>
      </c>
      <c r="O27" s="42" t="n">
        <f aca="false">M27*30</f>
        <v>92.1</v>
      </c>
      <c r="P27" s="46" t="n">
        <v>77.3</v>
      </c>
      <c r="Q27" s="43" t="n">
        <v>0.0397</v>
      </c>
      <c r="R27" s="43" t="n">
        <f aca="false">IF(K27="",0,INDEX(目次・前提!$B$35:$B$54,MIN(20,MAX(1,ROUND(K27,0)))))</f>
        <v>0.06</v>
      </c>
      <c r="S27" s="42" t="n">
        <f aca="false">MAX(0,P27*30*(R27-Q27))</f>
        <v>47.0757</v>
      </c>
      <c r="T27" s="28" t="s">
        <v>520</v>
      </c>
      <c r="U27" s="28" t="s">
        <v>521</v>
      </c>
      <c r="V27" s="13" t="s">
        <v>366</v>
      </c>
      <c r="W27" s="10" t="s">
        <v>522</v>
      </c>
      <c r="X27" s="10" t="s">
        <v>523</v>
      </c>
      <c r="Y27" s="10" t="s">
        <v>524</v>
      </c>
      <c r="Z27" s="10" t="s">
        <v>525</v>
      </c>
      <c r="AA27" s="10" t="s">
        <v>395</v>
      </c>
      <c r="AB27" s="13" t="s">
        <v>366</v>
      </c>
      <c r="AC27" s="13" t="s">
        <v>349</v>
      </c>
    </row>
    <row r="28" customFormat="false" ht="150" hidden="false" customHeight="true" outlineLevel="0" collapsed="false">
      <c r="A28" s="47" t="n">
        <v>24</v>
      </c>
      <c r="B28" s="48" t="s">
        <v>261</v>
      </c>
      <c r="C28" s="49" t="s">
        <v>423</v>
      </c>
      <c r="D28" s="28" t="s">
        <v>526</v>
      </c>
      <c r="E28" s="10" t="s">
        <v>527</v>
      </c>
      <c r="F28" s="10" t="s">
        <v>528</v>
      </c>
      <c r="G28" s="42" t="n">
        <v>4372</v>
      </c>
      <c r="H28" s="42" t="n">
        <v>156</v>
      </c>
      <c r="I28" s="43" t="n">
        <f aca="false">IFERROR(H28/G28,0)</f>
        <v>0.0356816102470265</v>
      </c>
      <c r="J28" s="44" t="n">
        <v>4.7</v>
      </c>
      <c r="K28" s="44" t="n">
        <v>4.7</v>
      </c>
      <c r="L28" s="44" t="n">
        <v>1.77</v>
      </c>
      <c r="M28" s="44" t="n">
        <v>1.54</v>
      </c>
      <c r="N28" s="45" t="s">
        <v>339</v>
      </c>
      <c r="O28" s="42" t="n">
        <f aca="false">M28*30</f>
        <v>46.2</v>
      </c>
      <c r="P28" s="46" t="n">
        <v>46.6</v>
      </c>
      <c r="Q28" s="43" t="n">
        <v>0.0329</v>
      </c>
      <c r="R28" s="43" t="n">
        <f aca="false">IF(K28="",0,INDEX(目次・前提!$B$35:$B$54,MIN(20,MAX(1,ROUND(K28,0)))))</f>
        <v>0.08</v>
      </c>
      <c r="S28" s="42" t="n">
        <f aca="false">MAX(0,P28*30*(R28-Q28))</f>
        <v>65.8458</v>
      </c>
      <c r="T28" s="10" t="s">
        <v>529</v>
      </c>
      <c r="U28" s="28" t="s">
        <v>530</v>
      </c>
      <c r="V28" s="13" t="s">
        <v>372</v>
      </c>
      <c r="W28" s="10" t="s">
        <v>373</v>
      </c>
      <c r="X28" s="10" t="s">
        <v>531</v>
      </c>
      <c r="Y28" s="10" t="s">
        <v>532</v>
      </c>
      <c r="Z28" s="10" t="s">
        <v>533</v>
      </c>
      <c r="AA28" s="10" t="s">
        <v>347</v>
      </c>
      <c r="AB28" s="13" t="s">
        <v>366</v>
      </c>
      <c r="AC28" s="13" t="s">
        <v>349</v>
      </c>
    </row>
    <row r="29" customFormat="false" ht="150" hidden="false" customHeight="true" outlineLevel="0" collapsed="false">
      <c r="A29" s="47" t="n">
        <v>25</v>
      </c>
      <c r="B29" s="48" t="s">
        <v>261</v>
      </c>
      <c r="C29" s="49" t="s">
        <v>423</v>
      </c>
      <c r="D29" s="28" t="s">
        <v>534</v>
      </c>
      <c r="E29" s="28" t="s">
        <v>535</v>
      </c>
      <c r="F29" s="10" t="s">
        <v>536</v>
      </c>
      <c r="G29" s="42" t="n">
        <v>393</v>
      </c>
      <c r="H29" s="42" t="n">
        <v>27</v>
      </c>
      <c r="I29" s="43" t="n">
        <f aca="false">IFERROR(H29/G29,0)</f>
        <v>0.0687022900763359</v>
      </c>
      <c r="J29" s="44" t="n">
        <v>7.5</v>
      </c>
      <c r="K29" s="44" t="n">
        <v>7.5</v>
      </c>
      <c r="L29" s="44" t="n">
        <v>0</v>
      </c>
      <c r="M29" s="44" t="n">
        <v>0.96</v>
      </c>
      <c r="N29" s="45" t="s">
        <v>432</v>
      </c>
      <c r="O29" s="42" t="n">
        <f aca="false">M29*30</f>
        <v>28.8</v>
      </c>
      <c r="P29" s="46" t="n">
        <v>14</v>
      </c>
      <c r="Q29" s="43" t="n">
        <v>0.0687</v>
      </c>
      <c r="R29" s="43" t="n">
        <f aca="false">IF(K29="",0,INDEX(目次・前提!$B$35:$B$54,MIN(20,MAX(1,ROUND(K29,0)))))</f>
        <v>0.045</v>
      </c>
      <c r="S29" s="42" t="n">
        <f aca="false">MAX(0,P29*30*(R29-Q29))</f>
        <v>0</v>
      </c>
      <c r="T29" s="10" t="s">
        <v>537</v>
      </c>
      <c r="U29" s="10" t="s">
        <v>538</v>
      </c>
      <c r="V29" s="13" t="s">
        <v>342</v>
      </c>
      <c r="W29" s="10" t="s">
        <v>539</v>
      </c>
      <c r="X29" s="28" t="s">
        <v>540</v>
      </c>
      <c r="Y29" s="10" t="s">
        <v>541</v>
      </c>
      <c r="Z29" s="10" t="s">
        <v>542</v>
      </c>
      <c r="AA29" s="10" t="s">
        <v>395</v>
      </c>
      <c r="AB29" s="13" t="s">
        <v>366</v>
      </c>
      <c r="AC29" s="13" t="s">
        <v>349</v>
      </c>
    </row>
    <row r="30" customFormat="false" ht="150" hidden="false" customHeight="true" outlineLevel="0" collapsed="false">
      <c r="A30" s="47" t="n">
        <v>26</v>
      </c>
      <c r="B30" s="48" t="s">
        <v>261</v>
      </c>
      <c r="C30" s="49" t="s">
        <v>423</v>
      </c>
      <c r="D30" s="28" t="s">
        <v>543</v>
      </c>
      <c r="E30" s="10" t="s">
        <v>224</v>
      </c>
      <c r="F30" s="28" t="s">
        <v>544</v>
      </c>
      <c r="G30" s="42" t="n">
        <v>684</v>
      </c>
      <c r="H30" s="42" t="n">
        <v>23</v>
      </c>
      <c r="I30" s="43" t="n">
        <f aca="false">IFERROR(H30/G30,0)</f>
        <v>0.033625730994152</v>
      </c>
      <c r="J30" s="44" t="n">
        <v>14.7</v>
      </c>
      <c r="K30" s="44" t="n">
        <v>13.1</v>
      </c>
      <c r="L30" s="44" t="n">
        <v>0.09</v>
      </c>
      <c r="M30" s="44" t="n">
        <v>0.61</v>
      </c>
      <c r="N30" s="45" t="s">
        <v>490</v>
      </c>
      <c r="O30" s="42" t="n">
        <f aca="false">M30*30</f>
        <v>18.3</v>
      </c>
      <c r="P30" s="46" t="n">
        <v>15.1</v>
      </c>
      <c r="Q30" s="43" t="n">
        <v>0.0402</v>
      </c>
      <c r="R30" s="43" t="n">
        <f aca="false">IF(K30="",0,INDEX(目次・前提!$B$35:$B$54,MIN(20,MAX(1,ROUND(K30,0)))))</f>
        <v>0.025</v>
      </c>
      <c r="S30" s="42" t="n">
        <f aca="false">MAX(0,P30*30*(R30-Q30))</f>
        <v>0</v>
      </c>
      <c r="T30" s="28" t="s">
        <v>545</v>
      </c>
      <c r="U30" s="28" t="s">
        <v>546</v>
      </c>
      <c r="V30" s="13" t="s">
        <v>372</v>
      </c>
      <c r="W30" s="10" t="s">
        <v>373</v>
      </c>
      <c r="X30" s="10" t="s">
        <v>547</v>
      </c>
      <c r="Y30" s="10" t="s">
        <v>548</v>
      </c>
      <c r="Z30" s="10" t="s">
        <v>549</v>
      </c>
      <c r="AA30" s="28" t="s">
        <v>550</v>
      </c>
      <c r="AB30" s="13" t="s">
        <v>348</v>
      </c>
      <c r="AC30" s="13" t="s">
        <v>349</v>
      </c>
    </row>
    <row r="31" customFormat="false" ht="150" hidden="false" customHeight="true" outlineLevel="0" collapsed="false">
      <c r="A31" s="47" t="n">
        <v>27</v>
      </c>
      <c r="B31" s="48" t="s">
        <v>261</v>
      </c>
      <c r="C31" s="49" t="s">
        <v>423</v>
      </c>
      <c r="D31" s="28" t="s">
        <v>551</v>
      </c>
      <c r="E31" s="28" t="s">
        <v>232</v>
      </c>
      <c r="F31" s="10" t="s">
        <v>505</v>
      </c>
      <c r="G31" s="42" t="n">
        <v>7718</v>
      </c>
      <c r="H31" s="42" t="n">
        <v>300</v>
      </c>
      <c r="I31" s="43" t="n">
        <f aca="false">IFERROR(H31/G31,0)</f>
        <v>0.0388701736201088</v>
      </c>
      <c r="J31" s="44" t="n">
        <v>7.4</v>
      </c>
      <c r="K31" s="44" t="n">
        <v>7.5</v>
      </c>
      <c r="L31" s="44" t="n">
        <v>3.17</v>
      </c>
      <c r="M31" s="44" t="n">
        <v>3.46</v>
      </c>
      <c r="N31" s="45" t="s">
        <v>339</v>
      </c>
      <c r="O31" s="42" t="n">
        <f aca="false">M31*30</f>
        <v>103.8</v>
      </c>
      <c r="P31" s="46" t="n">
        <v>90</v>
      </c>
      <c r="Q31" s="43" t="n">
        <v>0.0385</v>
      </c>
      <c r="R31" s="43" t="n">
        <f aca="false">IF(K31="",0,INDEX(目次・前提!$B$35:$B$54,MIN(20,MAX(1,ROUND(K31,0)))))</f>
        <v>0.045</v>
      </c>
      <c r="S31" s="42" t="n">
        <f aca="false">MAX(0,P31*30*(R31-Q31))</f>
        <v>17.55</v>
      </c>
      <c r="T31" s="10" t="s">
        <v>552</v>
      </c>
      <c r="U31" s="28" t="s">
        <v>553</v>
      </c>
      <c r="V31" s="13" t="s">
        <v>372</v>
      </c>
      <c r="W31" s="10" t="s">
        <v>508</v>
      </c>
      <c r="X31" s="10" t="s">
        <v>554</v>
      </c>
      <c r="Y31" s="10" t="s">
        <v>555</v>
      </c>
      <c r="Z31" s="10" t="s">
        <v>556</v>
      </c>
      <c r="AA31" s="10" t="s">
        <v>395</v>
      </c>
      <c r="AB31" s="13" t="s">
        <v>366</v>
      </c>
      <c r="AC31" s="13" t="s">
        <v>349</v>
      </c>
    </row>
    <row r="32" customFormat="false" ht="150" hidden="false" customHeight="true" outlineLevel="0" collapsed="false">
      <c r="A32" s="47" t="n">
        <v>28</v>
      </c>
      <c r="B32" s="48" t="s">
        <v>261</v>
      </c>
      <c r="C32" s="49" t="s">
        <v>423</v>
      </c>
      <c r="D32" s="28" t="s">
        <v>557</v>
      </c>
      <c r="E32" s="28" t="s">
        <v>232</v>
      </c>
      <c r="F32" s="28" t="s">
        <v>388</v>
      </c>
      <c r="G32" s="42" t="n">
        <v>3251</v>
      </c>
      <c r="H32" s="42" t="n">
        <v>201</v>
      </c>
      <c r="I32" s="43" t="n">
        <f aca="false">IFERROR(H32/G32,0)</f>
        <v>0.0618271301138111</v>
      </c>
      <c r="J32" s="44" t="n">
        <v>7.1</v>
      </c>
      <c r="K32" s="44" t="n">
        <v>6.6</v>
      </c>
      <c r="L32" s="44" t="n">
        <v>1.94</v>
      </c>
      <c r="M32" s="44" t="n">
        <v>2.75</v>
      </c>
      <c r="N32" s="45" t="s">
        <v>339</v>
      </c>
      <c r="O32" s="42" t="n">
        <f aca="false">M32*30</f>
        <v>82.5</v>
      </c>
      <c r="P32" s="46" t="n">
        <v>47.4</v>
      </c>
      <c r="Q32" s="43" t="n">
        <v>0.0581</v>
      </c>
      <c r="R32" s="43" t="n">
        <f aca="false">IF(K32="",0,INDEX(目次・前提!$B$35:$B$54,MIN(20,MAX(1,ROUND(K32,0)))))</f>
        <v>0.05</v>
      </c>
      <c r="S32" s="42" t="n">
        <f aca="false">MAX(0,P32*30*(R32-Q32))</f>
        <v>0</v>
      </c>
      <c r="T32" s="10" t="s">
        <v>558</v>
      </c>
      <c r="U32" s="28" t="s">
        <v>559</v>
      </c>
      <c r="V32" s="13" t="s">
        <v>348</v>
      </c>
      <c r="W32" s="10" t="s">
        <v>560</v>
      </c>
      <c r="X32" s="10" t="s">
        <v>561</v>
      </c>
      <c r="Y32" s="10" t="s">
        <v>562</v>
      </c>
      <c r="Z32" s="10" t="s">
        <v>563</v>
      </c>
      <c r="AA32" s="10" t="s">
        <v>395</v>
      </c>
      <c r="AB32" s="13" t="s">
        <v>366</v>
      </c>
      <c r="AC32" s="13" t="s">
        <v>349</v>
      </c>
    </row>
    <row r="33" customFormat="false" ht="150" hidden="false" customHeight="true" outlineLevel="0" collapsed="false">
      <c r="A33" s="47" t="n">
        <v>29</v>
      </c>
      <c r="B33" s="48" t="s">
        <v>261</v>
      </c>
      <c r="C33" s="49" t="s">
        <v>423</v>
      </c>
      <c r="D33" s="28" t="s">
        <v>564</v>
      </c>
      <c r="E33" s="10" t="s">
        <v>228</v>
      </c>
      <c r="F33" s="10" t="s">
        <v>565</v>
      </c>
      <c r="G33" s="42" t="n">
        <v>3721</v>
      </c>
      <c r="H33" s="42" t="n">
        <v>96</v>
      </c>
      <c r="I33" s="43" t="n">
        <f aca="false">IFERROR(H33/G33,0)</f>
        <v>0.0257995162590701</v>
      </c>
      <c r="J33" s="44" t="n">
        <v>6.6</v>
      </c>
      <c r="K33" s="44" t="n">
        <v>6.7</v>
      </c>
      <c r="L33" s="44" t="n">
        <v>1.19</v>
      </c>
      <c r="M33" s="44" t="n">
        <v>0.71</v>
      </c>
      <c r="N33" s="45" t="s">
        <v>407</v>
      </c>
      <c r="O33" s="42" t="n">
        <f aca="false">M33*30</f>
        <v>21.3</v>
      </c>
      <c r="P33" s="46" t="n">
        <v>40.3</v>
      </c>
      <c r="Q33" s="43" t="n">
        <v>0.0177</v>
      </c>
      <c r="R33" s="43" t="n">
        <f aca="false">IF(K33="",0,INDEX(目次・前提!$B$35:$B$54,MIN(20,MAX(1,ROUND(K33,0)))))</f>
        <v>0.05</v>
      </c>
      <c r="S33" s="42" t="n">
        <f aca="false">MAX(0,P33*30*(R33-Q33))</f>
        <v>39.0507</v>
      </c>
      <c r="T33" s="10" t="s">
        <v>566</v>
      </c>
      <c r="U33" s="28" t="s">
        <v>567</v>
      </c>
      <c r="V33" s="13" t="s">
        <v>366</v>
      </c>
      <c r="W33" s="10" t="s">
        <v>568</v>
      </c>
      <c r="X33" s="10" t="s">
        <v>569</v>
      </c>
      <c r="Y33" s="10" t="s">
        <v>570</v>
      </c>
      <c r="Z33" s="10" t="s">
        <v>571</v>
      </c>
      <c r="AA33" s="10" t="s">
        <v>347</v>
      </c>
      <c r="AB33" s="13" t="s">
        <v>366</v>
      </c>
      <c r="AC33" s="13" t="s">
        <v>349</v>
      </c>
    </row>
    <row r="34" customFormat="false" ht="150" hidden="false" customHeight="true" outlineLevel="0" collapsed="false">
      <c r="A34" s="47" t="n">
        <v>30</v>
      </c>
      <c r="B34" s="48" t="s">
        <v>261</v>
      </c>
      <c r="C34" s="49" t="s">
        <v>423</v>
      </c>
      <c r="D34" s="28" t="s">
        <v>572</v>
      </c>
      <c r="E34" s="10" t="s">
        <v>224</v>
      </c>
      <c r="F34" s="10" t="s">
        <v>573</v>
      </c>
      <c r="G34" s="42" t="n">
        <v>999</v>
      </c>
      <c r="H34" s="42" t="n">
        <v>2</v>
      </c>
      <c r="I34" s="43" t="n">
        <f aca="false">IFERROR(H34/G34,0)</f>
        <v>0.002002002002002</v>
      </c>
      <c r="J34" s="44" t="n">
        <v>38.9</v>
      </c>
      <c r="K34" s="44" t="n">
        <v>32.6</v>
      </c>
      <c r="L34" s="44" t="n">
        <v>0.02</v>
      </c>
      <c r="M34" s="44" t="n">
        <v>0.04</v>
      </c>
      <c r="N34" s="45" t="s">
        <v>339</v>
      </c>
      <c r="O34" s="42" t="n">
        <f aca="false">M34*30</f>
        <v>1.2</v>
      </c>
      <c r="P34" s="46" t="n">
        <v>9</v>
      </c>
      <c r="Q34" s="43" t="n">
        <v>0.004</v>
      </c>
      <c r="R34" s="43" t="n">
        <f aca="false">IF(K34="",0,INDEX(目次・前提!$B$35:$B$54,MIN(20,MAX(1,ROUND(K34,0)))))</f>
        <v>0.012</v>
      </c>
      <c r="S34" s="42" t="n">
        <f aca="false">MAX(0,P34*30*(R34-Q34))</f>
        <v>2.16</v>
      </c>
      <c r="T34" s="10" t="s">
        <v>574</v>
      </c>
      <c r="U34" s="28" t="s">
        <v>575</v>
      </c>
      <c r="V34" s="13" t="s">
        <v>342</v>
      </c>
      <c r="W34" s="10" t="s">
        <v>576</v>
      </c>
      <c r="X34" s="10" t="s">
        <v>577</v>
      </c>
      <c r="Y34" s="10" t="s">
        <v>578</v>
      </c>
      <c r="Z34" s="10" t="s">
        <v>579</v>
      </c>
      <c r="AA34" s="10" t="s">
        <v>580</v>
      </c>
      <c r="AB34" s="13" t="s">
        <v>366</v>
      </c>
      <c r="AC34" s="13" t="s">
        <v>349</v>
      </c>
    </row>
    <row r="35" customFormat="false" ht="90" hidden="false" customHeight="true" outlineLevel="0" collapsed="false">
      <c r="A35" s="50" t="n">
        <v>31</v>
      </c>
      <c r="B35" s="51" t="s">
        <v>265</v>
      </c>
      <c r="C35" s="52" t="s">
        <v>581</v>
      </c>
      <c r="D35" s="28" t="s">
        <v>582</v>
      </c>
      <c r="E35" s="10" t="s">
        <v>236</v>
      </c>
      <c r="F35" s="28" t="s">
        <v>398</v>
      </c>
      <c r="G35" s="42" t="n">
        <v>529</v>
      </c>
      <c r="H35" s="42" t="n">
        <v>11</v>
      </c>
      <c r="I35" s="43" t="n">
        <f aca="false">IFERROR(H35/G35,0)</f>
        <v>0.0207939508506616</v>
      </c>
      <c r="J35" s="44" t="n">
        <v>13.4</v>
      </c>
      <c r="K35" s="44" t="n">
        <v>11.3</v>
      </c>
      <c r="L35" s="44" t="n">
        <v>0.09</v>
      </c>
      <c r="M35" s="44" t="n">
        <v>0.18</v>
      </c>
      <c r="N35" s="45" t="s">
        <v>339</v>
      </c>
      <c r="O35" s="42" t="n">
        <f aca="false">M35*30</f>
        <v>5.4</v>
      </c>
      <c r="P35" s="46" t="n">
        <v>7.1</v>
      </c>
      <c r="Q35" s="43" t="n">
        <v>0.025</v>
      </c>
      <c r="R35" s="43" t="n">
        <f aca="false">IF(K35="",0,INDEX(目次・前提!$B$35:$B$54,MIN(20,MAX(1,ROUND(K35,0)))))</f>
        <v>0.025</v>
      </c>
      <c r="S35" s="42" t="n">
        <f aca="false">MAX(0,P35*30*(R35-Q35))</f>
        <v>0</v>
      </c>
      <c r="T35" s="10" t="s">
        <v>416</v>
      </c>
      <c r="U35" s="10" t="s">
        <v>583</v>
      </c>
      <c r="V35" s="13" t="s">
        <v>342</v>
      </c>
      <c r="W35" s="10" t="s">
        <v>584</v>
      </c>
      <c r="X35" s="10" t="s">
        <v>585</v>
      </c>
      <c r="Y35" s="10" t="s">
        <v>586</v>
      </c>
      <c r="Z35" s="10" t="s">
        <v>587</v>
      </c>
      <c r="AA35" s="10" t="s">
        <v>386</v>
      </c>
      <c r="AB35" s="13" t="s">
        <v>348</v>
      </c>
      <c r="AC35" s="13" t="s">
        <v>588</v>
      </c>
    </row>
    <row r="36" customFormat="false" ht="90" hidden="false" customHeight="true" outlineLevel="0" collapsed="false">
      <c r="A36" s="50" t="n">
        <v>32</v>
      </c>
      <c r="B36" s="51" t="s">
        <v>265</v>
      </c>
      <c r="C36" s="52" t="s">
        <v>581</v>
      </c>
      <c r="D36" s="28" t="s">
        <v>589</v>
      </c>
      <c r="E36" s="10" t="s">
        <v>236</v>
      </c>
      <c r="F36" s="28" t="s">
        <v>398</v>
      </c>
      <c r="G36" s="42" t="n">
        <v>128</v>
      </c>
      <c r="H36" s="42" t="n">
        <v>4</v>
      </c>
      <c r="I36" s="43" t="n">
        <f aca="false">IFERROR(H36/G36,0)</f>
        <v>0.03125</v>
      </c>
      <c r="J36" s="44" t="n">
        <v>8.1</v>
      </c>
      <c r="K36" s="44" t="n">
        <v>8.7</v>
      </c>
      <c r="L36" s="44" t="n">
        <v>0.05</v>
      </c>
      <c r="M36" s="44" t="n">
        <v>0.04</v>
      </c>
      <c r="N36" s="45" t="s">
        <v>339</v>
      </c>
      <c r="O36" s="42" t="n">
        <f aca="false">M36*30</f>
        <v>1.2</v>
      </c>
      <c r="P36" s="46" t="n">
        <v>2.9</v>
      </c>
      <c r="Q36" s="43" t="n">
        <v>0.0122</v>
      </c>
      <c r="R36" s="43" t="n">
        <f aca="false">IF(K36="",0,INDEX(目次・前提!$B$35:$B$54,MIN(20,MAX(1,ROUND(K36,0)))))</f>
        <v>0.04</v>
      </c>
      <c r="S36" s="42" t="n">
        <f aca="false">MAX(0,P36*30*(R36-Q36))</f>
        <v>2.4186</v>
      </c>
      <c r="T36" s="10" t="s">
        <v>416</v>
      </c>
      <c r="U36" s="28" t="s">
        <v>590</v>
      </c>
      <c r="V36" s="13" t="s">
        <v>342</v>
      </c>
      <c r="W36" s="10" t="s">
        <v>591</v>
      </c>
      <c r="X36" s="10" t="s">
        <v>592</v>
      </c>
      <c r="Y36" s="10" t="s">
        <v>593</v>
      </c>
      <c r="Z36" s="10" t="s">
        <v>587</v>
      </c>
      <c r="AA36" s="10" t="s">
        <v>386</v>
      </c>
      <c r="AB36" s="13" t="s">
        <v>366</v>
      </c>
      <c r="AC36" s="13" t="s">
        <v>588</v>
      </c>
    </row>
    <row r="37" customFormat="false" ht="90" hidden="false" customHeight="true" outlineLevel="0" collapsed="false">
      <c r="A37" s="50" t="n">
        <v>33</v>
      </c>
      <c r="B37" s="51" t="s">
        <v>265</v>
      </c>
      <c r="C37" s="52" t="s">
        <v>581</v>
      </c>
      <c r="D37" s="28" t="s">
        <v>594</v>
      </c>
      <c r="E37" s="10" t="s">
        <v>236</v>
      </c>
      <c r="F37" s="10" t="s">
        <v>595</v>
      </c>
      <c r="G37" s="42" t="n">
        <v>171</v>
      </c>
      <c r="H37" s="42" t="n">
        <v>5</v>
      </c>
      <c r="I37" s="43" t="n">
        <f aca="false">IFERROR(H37/G37,0)</f>
        <v>0.0292397660818713</v>
      </c>
      <c r="J37" s="44" t="n">
        <v>11.7</v>
      </c>
      <c r="K37" s="44" t="n">
        <v>9.5</v>
      </c>
      <c r="L37" s="44" t="n">
        <v>0.03</v>
      </c>
      <c r="M37" s="44" t="n">
        <v>0.11</v>
      </c>
      <c r="N37" s="45" t="s">
        <v>339</v>
      </c>
      <c r="O37" s="42" t="n">
        <f aca="false">M37*30</f>
        <v>3.3</v>
      </c>
      <c r="P37" s="46" t="n">
        <v>1.8</v>
      </c>
      <c r="Q37" s="43" t="n">
        <v>0.0612</v>
      </c>
      <c r="R37" s="43" t="n">
        <f aca="false">IF(K37="",0,INDEX(目次・前提!$B$35:$B$54,MIN(20,MAX(1,ROUND(K37,0)))))</f>
        <v>0.035</v>
      </c>
      <c r="S37" s="42" t="n">
        <f aca="false">MAX(0,P37*30*(R37-Q37))</f>
        <v>0</v>
      </c>
      <c r="T37" s="10" t="s">
        <v>416</v>
      </c>
      <c r="U37" s="10" t="s">
        <v>596</v>
      </c>
      <c r="V37" s="13" t="s">
        <v>342</v>
      </c>
      <c r="W37" s="10" t="s">
        <v>597</v>
      </c>
      <c r="X37" s="10" t="s">
        <v>598</v>
      </c>
      <c r="Y37" s="10" t="s">
        <v>586</v>
      </c>
      <c r="Z37" s="10" t="s">
        <v>599</v>
      </c>
      <c r="AA37" s="10" t="s">
        <v>347</v>
      </c>
      <c r="AB37" s="13" t="s">
        <v>366</v>
      </c>
      <c r="AC37" s="13" t="s">
        <v>588</v>
      </c>
    </row>
    <row r="38" customFormat="false" ht="150" hidden="false" customHeight="true" outlineLevel="0" collapsed="false">
      <c r="A38" s="50" t="n">
        <v>34</v>
      </c>
      <c r="B38" s="51" t="s">
        <v>265</v>
      </c>
      <c r="C38" s="52" t="s">
        <v>581</v>
      </c>
      <c r="D38" s="28" t="s">
        <v>600</v>
      </c>
      <c r="E38" s="10" t="s">
        <v>224</v>
      </c>
      <c r="F38" s="10" t="s">
        <v>573</v>
      </c>
      <c r="G38" s="42" t="n">
        <v>85</v>
      </c>
      <c r="H38" s="42" t="n">
        <v>2</v>
      </c>
      <c r="I38" s="43" t="n">
        <f aca="false">IFERROR(H38/G38,0)</f>
        <v>0.0235294117647059</v>
      </c>
      <c r="J38" s="44" t="n">
        <v>8.8</v>
      </c>
      <c r="K38" s="44" t="n">
        <v>8.3</v>
      </c>
      <c r="L38" s="44" t="n">
        <v>0.02</v>
      </c>
      <c r="M38" s="44" t="n">
        <v>0.04</v>
      </c>
      <c r="N38" s="45" t="s">
        <v>339</v>
      </c>
      <c r="O38" s="42" t="n">
        <f aca="false">M38*30</f>
        <v>1.2</v>
      </c>
      <c r="P38" s="46" t="n">
        <v>1.1</v>
      </c>
      <c r="Q38" s="43" t="n">
        <v>0.0333</v>
      </c>
      <c r="R38" s="43" t="n">
        <f aca="false">IF(K38="",0,INDEX(目次・前提!$B$35:$B$54,MIN(20,MAX(1,ROUND(K38,0)))))</f>
        <v>0.045</v>
      </c>
      <c r="S38" s="42" t="n">
        <f aca="false">MAX(0,P38*30*(R38-Q38))</f>
        <v>0.3861</v>
      </c>
      <c r="T38" s="10" t="s">
        <v>601</v>
      </c>
      <c r="U38" s="28" t="s">
        <v>602</v>
      </c>
      <c r="V38" s="13" t="s">
        <v>342</v>
      </c>
      <c r="W38" s="10" t="s">
        <v>603</v>
      </c>
      <c r="X38" s="10" t="s">
        <v>604</v>
      </c>
      <c r="Y38" s="10" t="s">
        <v>605</v>
      </c>
      <c r="Z38" s="10" t="s">
        <v>606</v>
      </c>
      <c r="AA38" s="10" t="s">
        <v>580</v>
      </c>
      <c r="AB38" s="13" t="s">
        <v>348</v>
      </c>
      <c r="AC38" s="13" t="s">
        <v>349</v>
      </c>
    </row>
    <row r="39" customFormat="false" ht="90" hidden="false" customHeight="true" outlineLevel="0" collapsed="false">
      <c r="A39" s="50" t="n">
        <v>35</v>
      </c>
      <c r="B39" s="51" t="s">
        <v>265</v>
      </c>
      <c r="C39" s="52" t="s">
        <v>581</v>
      </c>
      <c r="D39" s="28" t="s">
        <v>607</v>
      </c>
      <c r="E39" s="10" t="s">
        <v>236</v>
      </c>
      <c r="F39" s="10" t="s">
        <v>489</v>
      </c>
      <c r="G39" s="42" t="n">
        <v>979</v>
      </c>
      <c r="H39" s="42" t="n">
        <v>10</v>
      </c>
      <c r="I39" s="43" t="n">
        <f aca="false">IFERROR(H39/G39,0)</f>
        <v>0.0102145045965271</v>
      </c>
      <c r="J39" s="44" t="n">
        <v>23.4</v>
      </c>
      <c r="K39" s="44" t="n">
        <v>14.8</v>
      </c>
      <c r="L39" s="44" t="n">
        <v>0.14</v>
      </c>
      <c r="M39" s="44" t="n">
        <v>0.04</v>
      </c>
      <c r="N39" s="45" t="s">
        <v>339</v>
      </c>
      <c r="O39" s="42" t="n">
        <f aca="false">M39*30</f>
        <v>1.2</v>
      </c>
      <c r="P39" s="46" t="n">
        <v>2.9</v>
      </c>
      <c r="Q39" s="43" t="n">
        <v>0.0122</v>
      </c>
      <c r="R39" s="43" t="n">
        <f aca="false">IF(K39="",0,INDEX(目次・前提!$B$35:$B$54,MIN(20,MAX(1,ROUND(K39,0)))))</f>
        <v>0.025</v>
      </c>
      <c r="S39" s="42" t="n">
        <f aca="false">MAX(0,P39*30*(R39-Q39))</f>
        <v>1.1136</v>
      </c>
      <c r="T39" s="10" t="s">
        <v>416</v>
      </c>
      <c r="U39" s="10" t="s">
        <v>608</v>
      </c>
      <c r="V39" s="13" t="s">
        <v>342</v>
      </c>
      <c r="W39" s="10" t="s">
        <v>609</v>
      </c>
      <c r="X39" s="10" t="s">
        <v>610</v>
      </c>
      <c r="Y39" s="10" t="s">
        <v>586</v>
      </c>
      <c r="Z39" s="10" t="s">
        <v>587</v>
      </c>
      <c r="AA39" s="10" t="s">
        <v>386</v>
      </c>
      <c r="AB39" s="13" t="s">
        <v>348</v>
      </c>
      <c r="AC39" s="13" t="s">
        <v>588</v>
      </c>
    </row>
    <row r="40" customFormat="false" ht="90" hidden="false" customHeight="true" outlineLevel="0" collapsed="false">
      <c r="A40" s="50" t="n">
        <v>36</v>
      </c>
      <c r="B40" s="51" t="s">
        <v>265</v>
      </c>
      <c r="C40" s="52" t="s">
        <v>581</v>
      </c>
      <c r="D40" s="28" t="s">
        <v>611</v>
      </c>
      <c r="E40" s="28" t="s">
        <v>535</v>
      </c>
      <c r="F40" s="10" t="s">
        <v>536</v>
      </c>
      <c r="G40" s="42" t="n">
        <v>547</v>
      </c>
      <c r="H40" s="42" t="n">
        <v>7</v>
      </c>
      <c r="I40" s="43" t="n">
        <f aca="false">IFERROR(H40/G40,0)</f>
        <v>0.0127970749542962</v>
      </c>
      <c r="J40" s="44" t="n">
        <v>20.2</v>
      </c>
      <c r="K40" s="44" t="n">
        <v>16.7</v>
      </c>
      <c r="L40" s="44" t="n">
        <v>0.08</v>
      </c>
      <c r="M40" s="44" t="n">
        <v>0.07</v>
      </c>
      <c r="N40" s="45" t="s">
        <v>339</v>
      </c>
      <c r="O40" s="42" t="n">
        <f aca="false">M40*30</f>
        <v>2.1</v>
      </c>
      <c r="P40" s="46" t="n">
        <v>5.5</v>
      </c>
      <c r="Q40" s="43" t="n">
        <v>0.0129</v>
      </c>
      <c r="R40" s="43" t="n">
        <f aca="false">IF(K40="",0,INDEX(目次・前提!$B$35:$B$54,MIN(20,MAX(1,ROUND(K40,0)))))</f>
        <v>0.012</v>
      </c>
      <c r="S40" s="42" t="n">
        <f aca="false">MAX(0,P40*30*(R40-Q40))</f>
        <v>0</v>
      </c>
      <c r="T40" s="10" t="s">
        <v>612</v>
      </c>
      <c r="U40" s="10" t="s">
        <v>613</v>
      </c>
      <c r="V40" s="13" t="s">
        <v>342</v>
      </c>
      <c r="W40" s="10" t="s">
        <v>614</v>
      </c>
      <c r="X40" s="10" t="s">
        <v>615</v>
      </c>
      <c r="Y40" s="28" t="s">
        <v>616</v>
      </c>
      <c r="Z40" s="10" t="s">
        <v>579</v>
      </c>
      <c r="AA40" s="10" t="s">
        <v>395</v>
      </c>
      <c r="AB40" s="13" t="s">
        <v>366</v>
      </c>
      <c r="AC40" s="13" t="s">
        <v>588</v>
      </c>
    </row>
    <row r="41" customFormat="false" ht="150" hidden="false" customHeight="true" outlineLevel="0" collapsed="false">
      <c r="A41" s="50" t="n">
        <v>37</v>
      </c>
      <c r="B41" s="51" t="s">
        <v>265</v>
      </c>
      <c r="C41" s="52" t="s">
        <v>581</v>
      </c>
      <c r="D41" s="28" t="s">
        <v>617</v>
      </c>
      <c r="E41" s="10" t="s">
        <v>228</v>
      </c>
      <c r="F41" s="10" t="s">
        <v>565</v>
      </c>
      <c r="G41" s="42" t="n">
        <v>2682</v>
      </c>
      <c r="H41" s="42" t="n">
        <v>74</v>
      </c>
      <c r="I41" s="43" t="n">
        <f aca="false">IFERROR(H41/G41,0)</f>
        <v>0.0275913497390007</v>
      </c>
      <c r="J41" s="44" t="n">
        <v>9.4</v>
      </c>
      <c r="K41" s="44" t="n">
        <v>7.1</v>
      </c>
      <c r="L41" s="44" t="n">
        <v>0.75</v>
      </c>
      <c r="M41" s="44" t="n">
        <v>0.93</v>
      </c>
      <c r="N41" s="45" t="s">
        <v>339</v>
      </c>
      <c r="O41" s="42" t="n">
        <f aca="false">M41*30</f>
        <v>27.9</v>
      </c>
      <c r="P41" s="46" t="n">
        <v>34.2</v>
      </c>
      <c r="Q41" s="43" t="n">
        <v>0.0271</v>
      </c>
      <c r="R41" s="43" t="n">
        <f aca="false">IF(K41="",0,INDEX(目次・前提!$B$35:$B$54,MIN(20,MAX(1,ROUND(K41,0)))))</f>
        <v>0.05</v>
      </c>
      <c r="S41" s="42" t="n">
        <f aca="false">MAX(0,P41*30*(R41-Q41))</f>
        <v>23.4954</v>
      </c>
      <c r="T41" s="10" t="s">
        <v>618</v>
      </c>
      <c r="U41" s="28" t="s">
        <v>619</v>
      </c>
      <c r="V41" s="13" t="s">
        <v>366</v>
      </c>
      <c r="W41" s="10" t="s">
        <v>620</v>
      </c>
      <c r="X41" s="10" t="s">
        <v>621</v>
      </c>
      <c r="Y41" s="10" t="s">
        <v>622</v>
      </c>
      <c r="Z41" s="10" t="s">
        <v>623</v>
      </c>
      <c r="AA41" s="10" t="s">
        <v>347</v>
      </c>
      <c r="AB41" s="13" t="s">
        <v>366</v>
      </c>
      <c r="AC41" s="13" t="s">
        <v>349</v>
      </c>
    </row>
    <row r="42" customFormat="false" ht="90" hidden="false" customHeight="true" outlineLevel="0" collapsed="false">
      <c r="A42" s="50" t="n">
        <v>38</v>
      </c>
      <c r="B42" s="51" t="s">
        <v>265</v>
      </c>
      <c r="C42" s="52" t="s">
        <v>581</v>
      </c>
      <c r="D42" s="28" t="s">
        <v>624</v>
      </c>
      <c r="E42" s="28" t="s">
        <v>232</v>
      </c>
      <c r="F42" s="28" t="s">
        <v>625</v>
      </c>
      <c r="G42" s="42" t="n">
        <v>1857</v>
      </c>
      <c r="H42" s="42" t="n">
        <v>95</v>
      </c>
      <c r="I42" s="43" t="n">
        <f aca="false">IFERROR(H42/G42,0)</f>
        <v>0.0511577813677975</v>
      </c>
      <c r="J42" s="44" t="n">
        <v>7</v>
      </c>
      <c r="K42" s="44" t="n">
        <v>6.8</v>
      </c>
      <c r="L42" s="44" t="n">
        <v>0.62</v>
      </c>
      <c r="M42" s="44" t="n">
        <v>1.96</v>
      </c>
      <c r="N42" s="45" t="s">
        <v>369</v>
      </c>
      <c r="O42" s="42" t="n">
        <f aca="false">M42*30</f>
        <v>58.8</v>
      </c>
      <c r="P42" s="46" t="n">
        <v>36.3</v>
      </c>
      <c r="Q42" s="43" t="n">
        <v>0.0541</v>
      </c>
      <c r="R42" s="43" t="n">
        <f aca="false">IF(K42="",0,INDEX(目次・前提!$B$35:$B$54,MIN(20,MAX(1,ROUND(K42,0)))))</f>
        <v>0.05</v>
      </c>
      <c r="S42" s="42" t="n">
        <f aca="false">MAX(0,P42*30*(R42-Q42))</f>
        <v>0</v>
      </c>
      <c r="T42" s="10" t="s">
        <v>626</v>
      </c>
      <c r="U42" s="28" t="s">
        <v>627</v>
      </c>
      <c r="V42" s="13" t="s">
        <v>348</v>
      </c>
      <c r="W42" s="10" t="s">
        <v>628</v>
      </c>
      <c r="X42" s="10" t="s">
        <v>629</v>
      </c>
      <c r="Y42" s="10" t="s">
        <v>630</v>
      </c>
      <c r="Z42" s="10" t="s">
        <v>631</v>
      </c>
      <c r="AA42" s="10" t="s">
        <v>632</v>
      </c>
      <c r="AB42" s="13" t="s">
        <v>348</v>
      </c>
      <c r="AC42" s="13" t="s">
        <v>588</v>
      </c>
    </row>
    <row r="43" customFormat="false" ht="90" hidden="false" customHeight="true" outlineLevel="0" collapsed="false">
      <c r="A43" s="50" t="n">
        <v>39</v>
      </c>
      <c r="B43" s="51" t="s">
        <v>265</v>
      </c>
      <c r="C43" s="52" t="s">
        <v>581</v>
      </c>
      <c r="D43" s="28" t="s">
        <v>633</v>
      </c>
      <c r="E43" s="10" t="s">
        <v>236</v>
      </c>
      <c r="F43" s="10" t="s">
        <v>489</v>
      </c>
      <c r="G43" s="42" t="n">
        <v>641</v>
      </c>
      <c r="H43" s="42" t="n">
        <v>9</v>
      </c>
      <c r="I43" s="43" t="n">
        <f aca="false">IFERROR(H43/G43,0)</f>
        <v>0.0140405616224649</v>
      </c>
      <c r="J43" s="44" t="n">
        <v>19.4</v>
      </c>
      <c r="K43" s="44"/>
      <c r="L43" s="44" t="n">
        <v>0.14</v>
      </c>
      <c r="M43" s="44" t="n">
        <v>0</v>
      </c>
      <c r="N43" s="45" t="s">
        <v>634</v>
      </c>
      <c r="O43" s="42" t="n">
        <f aca="false">M43*30</f>
        <v>0</v>
      </c>
      <c r="P43" s="46" t="n">
        <v>0</v>
      </c>
      <c r="Q43" s="43" t="n">
        <v>0</v>
      </c>
      <c r="R43" s="43" t="n">
        <f aca="false">IF(K43="",0,INDEX(目次・前提!$B$35:$B$54,MIN(20,MAX(1,ROUND(K43,0)))))</f>
        <v>0</v>
      </c>
      <c r="S43" s="42" t="n">
        <f aca="false">MAX(0,P43*30*(R43-Q43))</f>
        <v>0</v>
      </c>
      <c r="T43" s="10" t="s">
        <v>635</v>
      </c>
      <c r="U43" s="10" t="s">
        <v>636</v>
      </c>
      <c r="V43" s="13" t="s">
        <v>342</v>
      </c>
      <c r="W43" s="10" t="s">
        <v>637</v>
      </c>
      <c r="X43" s="10" t="s">
        <v>638</v>
      </c>
      <c r="Y43" s="28" t="s">
        <v>616</v>
      </c>
      <c r="Z43" s="10" t="s">
        <v>579</v>
      </c>
      <c r="AA43" s="10" t="s">
        <v>386</v>
      </c>
      <c r="AB43" s="13" t="s">
        <v>366</v>
      </c>
      <c r="AC43" s="13" t="s">
        <v>588</v>
      </c>
    </row>
    <row r="44" customFormat="false" ht="150" hidden="false" customHeight="true" outlineLevel="0" collapsed="false">
      <c r="A44" s="50" t="n">
        <v>40</v>
      </c>
      <c r="B44" s="51" t="s">
        <v>265</v>
      </c>
      <c r="C44" s="52" t="s">
        <v>581</v>
      </c>
      <c r="D44" s="28" t="s">
        <v>639</v>
      </c>
      <c r="E44" s="10" t="s">
        <v>224</v>
      </c>
      <c r="F44" s="28" t="s">
        <v>640</v>
      </c>
      <c r="G44" s="42" t="n">
        <v>567</v>
      </c>
      <c r="H44" s="42" t="n">
        <v>7</v>
      </c>
      <c r="I44" s="43" t="n">
        <f aca="false">IFERROR(H44/G44,0)</f>
        <v>0.0123456790123457</v>
      </c>
      <c r="J44" s="44" t="n">
        <v>17</v>
      </c>
      <c r="K44" s="44" t="n">
        <v>16.8</v>
      </c>
      <c r="L44" s="44" t="n">
        <v>0.09</v>
      </c>
      <c r="M44" s="44" t="n">
        <v>0.04</v>
      </c>
      <c r="N44" s="45" t="s">
        <v>490</v>
      </c>
      <c r="O44" s="42" t="n">
        <f aca="false">M44*30</f>
        <v>1.2</v>
      </c>
      <c r="P44" s="46" t="n">
        <v>9.5</v>
      </c>
      <c r="Q44" s="43" t="n">
        <v>0.0038</v>
      </c>
      <c r="R44" s="43" t="n">
        <f aca="false">IF(K44="",0,INDEX(目次・前提!$B$35:$B$54,MIN(20,MAX(1,ROUND(K44,0)))))</f>
        <v>0.012</v>
      </c>
      <c r="S44" s="42" t="n">
        <f aca="false">MAX(0,P44*30*(R44-Q44))</f>
        <v>2.337</v>
      </c>
      <c r="T44" s="10" t="s">
        <v>641</v>
      </c>
      <c r="U44" s="28" t="s">
        <v>642</v>
      </c>
      <c r="V44" s="13" t="s">
        <v>372</v>
      </c>
      <c r="W44" s="10" t="s">
        <v>373</v>
      </c>
      <c r="X44" s="10" t="s">
        <v>643</v>
      </c>
      <c r="Y44" s="10" t="s">
        <v>644</v>
      </c>
      <c r="Z44" s="10" t="s">
        <v>645</v>
      </c>
      <c r="AA44" s="28" t="s">
        <v>646</v>
      </c>
      <c r="AB44" s="13" t="s">
        <v>366</v>
      </c>
      <c r="AC44" s="13" t="s">
        <v>349</v>
      </c>
    </row>
    <row r="45" customFormat="false" ht="90" hidden="false" customHeight="true" outlineLevel="0" collapsed="false">
      <c r="A45" s="50" t="n">
        <v>41</v>
      </c>
      <c r="B45" s="51" t="s">
        <v>265</v>
      </c>
      <c r="C45" s="52" t="s">
        <v>581</v>
      </c>
      <c r="D45" s="28" t="s">
        <v>647</v>
      </c>
      <c r="E45" s="28" t="s">
        <v>232</v>
      </c>
      <c r="F45" s="10" t="s">
        <v>505</v>
      </c>
      <c r="G45" s="42" t="n">
        <v>1171</v>
      </c>
      <c r="H45" s="42" t="n">
        <v>166</v>
      </c>
      <c r="I45" s="43" t="n">
        <f aca="false">IFERROR(H45/G45,0)</f>
        <v>0.141759180187874</v>
      </c>
      <c r="J45" s="44" t="n">
        <v>5.7</v>
      </c>
      <c r="K45" s="44" t="n">
        <v>5.2</v>
      </c>
      <c r="L45" s="44" t="n">
        <v>1.42</v>
      </c>
      <c r="M45" s="44" t="n">
        <v>2.68</v>
      </c>
      <c r="N45" s="45" t="s">
        <v>369</v>
      </c>
      <c r="O45" s="42" t="n">
        <f aca="false">M45*30</f>
        <v>80.4</v>
      </c>
      <c r="P45" s="46" t="n">
        <v>20.6</v>
      </c>
      <c r="Q45" s="43" t="n">
        <v>0.1302</v>
      </c>
      <c r="R45" s="43" t="n">
        <f aca="false">IF(K45="",0,INDEX(目次・前提!$B$35:$B$54,MIN(20,MAX(1,ROUND(K45,0)))))</f>
        <v>0.08</v>
      </c>
      <c r="S45" s="42" t="n">
        <f aca="false">MAX(0,P45*30*(R45-Q45))</f>
        <v>0</v>
      </c>
      <c r="T45" s="10" t="s">
        <v>648</v>
      </c>
      <c r="U45" s="28" t="s">
        <v>649</v>
      </c>
      <c r="V45" s="13" t="s">
        <v>372</v>
      </c>
      <c r="W45" s="10" t="s">
        <v>508</v>
      </c>
      <c r="X45" s="10" t="s">
        <v>650</v>
      </c>
      <c r="Y45" s="10" t="s">
        <v>651</v>
      </c>
      <c r="Z45" s="10" t="s">
        <v>652</v>
      </c>
      <c r="AA45" s="10" t="s">
        <v>395</v>
      </c>
      <c r="AB45" s="13" t="s">
        <v>348</v>
      </c>
      <c r="AC45" s="13" t="s">
        <v>588</v>
      </c>
    </row>
    <row r="46" customFormat="false" ht="150" hidden="false" customHeight="true" outlineLevel="0" collapsed="false">
      <c r="A46" s="50" t="n">
        <v>42</v>
      </c>
      <c r="B46" s="51" t="s">
        <v>265</v>
      </c>
      <c r="C46" s="52" t="s">
        <v>581</v>
      </c>
      <c r="D46" s="28" t="s">
        <v>653</v>
      </c>
      <c r="E46" s="10" t="s">
        <v>228</v>
      </c>
      <c r="F46" s="10" t="s">
        <v>565</v>
      </c>
      <c r="G46" s="42" t="n">
        <v>5278</v>
      </c>
      <c r="H46" s="42" t="n">
        <v>54</v>
      </c>
      <c r="I46" s="43" t="n">
        <f aca="false">IFERROR(H46/G46,0)</f>
        <v>0.0102311481621826</v>
      </c>
      <c r="J46" s="44" t="n">
        <v>8.2</v>
      </c>
      <c r="K46" s="44" t="n">
        <v>8.7</v>
      </c>
      <c r="L46" s="44" t="n">
        <v>0.7</v>
      </c>
      <c r="M46" s="44" t="n">
        <v>0.32</v>
      </c>
      <c r="N46" s="45" t="s">
        <v>407</v>
      </c>
      <c r="O46" s="42" t="n">
        <f aca="false">M46*30</f>
        <v>9.6</v>
      </c>
      <c r="P46" s="46" t="n">
        <v>34.7</v>
      </c>
      <c r="Q46" s="43" t="n">
        <v>0.0093</v>
      </c>
      <c r="R46" s="43" t="n">
        <f aca="false">IF(K46="",0,INDEX(目次・前提!$B$35:$B$54,MIN(20,MAX(1,ROUND(K46,0)))))</f>
        <v>0.04</v>
      </c>
      <c r="S46" s="42" t="n">
        <f aca="false">MAX(0,P46*30*(R46-Q46))</f>
        <v>31.9587</v>
      </c>
      <c r="T46" s="10" t="s">
        <v>654</v>
      </c>
      <c r="U46" s="28" t="s">
        <v>655</v>
      </c>
      <c r="V46" s="13" t="s">
        <v>366</v>
      </c>
      <c r="W46" s="10" t="s">
        <v>656</v>
      </c>
      <c r="X46" s="10" t="s">
        <v>657</v>
      </c>
      <c r="Y46" s="10" t="s">
        <v>658</v>
      </c>
      <c r="Z46" s="10" t="s">
        <v>659</v>
      </c>
      <c r="AA46" s="10" t="s">
        <v>347</v>
      </c>
      <c r="AB46" s="13" t="s">
        <v>366</v>
      </c>
      <c r="AC46" s="13" t="s">
        <v>349</v>
      </c>
    </row>
    <row r="47" customFormat="false" ht="150" hidden="false" customHeight="true" outlineLevel="0" collapsed="false">
      <c r="A47" s="50" t="n">
        <v>43</v>
      </c>
      <c r="B47" s="51" t="s">
        <v>265</v>
      </c>
      <c r="C47" s="52" t="s">
        <v>581</v>
      </c>
      <c r="D47" s="28" t="s">
        <v>660</v>
      </c>
      <c r="E47" s="28" t="s">
        <v>232</v>
      </c>
      <c r="F47" s="10" t="s">
        <v>505</v>
      </c>
      <c r="G47" s="42" t="n">
        <v>2264</v>
      </c>
      <c r="H47" s="42" t="n">
        <v>186</v>
      </c>
      <c r="I47" s="43" t="n">
        <f aca="false">IFERROR(H47/G47,0)</f>
        <v>0.0821554770318021</v>
      </c>
      <c r="J47" s="44" t="n">
        <v>7.6</v>
      </c>
      <c r="K47" s="44" t="n">
        <v>7.5</v>
      </c>
      <c r="L47" s="44" t="n">
        <v>1.92</v>
      </c>
      <c r="M47" s="44" t="n">
        <v>2.25</v>
      </c>
      <c r="N47" s="45" t="s">
        <v>339</v>
      </c>
      <c r="O47" s="42" t="n">
        <f aca="false">M47*30</f>
        <v>67.5</v>
      </c>
      <c r="P47" s="46" t="n">
        <v>26</v>
      </c>
      <c r="Q47" s="43" t="n">
        <v>0.0867</v>
      </c>
      <c r="R47" s="43" t="n">
        <f aca="false">IF(K47="",0,INDEX(目次・前提!$B$35:$B$54,MIN(20,MAX(1,ROUND(K47,0)))))</f>
        <v>0.045</v>
      </c>
      <c r="S47" s="42" t="n">
        <f aca="false">MAX(0,P47*30*(R47-Q47))</f>
        <v>0</v>
      </c>
      <c r="T47" s="10" t="s">
        <v>661</v>
      </c>
      <c r="U47" s="28" t="s">
        <v>662</v>
      </c>
      <c r="V47" s="13" t="s">
        <v>372</v>
      </c>
      <c r="W47" s="10" t="s">
        <v>508</v>
      </c>
      <c r="X47" s="10" t="s">
        <v>663</v>
      </c>
      <c r="Y47" s="10" t="s">
        <v>664</v>
      </c>
      <c r="Z47" s="10" t="s">
        <v>665</v>
      </c>
      <c r="AA47" s="10" t="s">
        <v>395</v>
      </c>
      <c r="AB47" s="13" t="s">
        <v>366</v>
      </c>
      <c r="AC47" s="13" t="s">
        <v>349</v>
      </c>
    </row>
    <row r="48" customFormat="false" ht="90" hidden="false" customHeight="true" outlineLevel="0" collapsed="false">
      <c r="A48" s="50" t="n">
        <v>44</v>
      </c>
      <c r="B48" s="51" t="s">
        <v>265</v>
      </c>
      <c r="C48" s="52" t="s">
        <v>581</v>
      </c>
      <c r="D48" s="28" t="s">
        <v>666</v>
      </c>
      <c r="E48" s="10" t="s">
        <v>216</v>
      </c>
      <c r="F48" s="28" t="s">
        <v>351</v>
      </c>
      <c r="G48" s="42" t="n">
        <v>1141</v>
      </c>
      <c r="H48" s="42" t="n">
        <v>61</v>
      </c>
      <c r="I48" s="43" t="n">
        <f aca="false">IFERROR(H48/G48,0)</f>
        <v>0.0534618755477651</v>
      </c>
      <c r="J48" s="44" t="n">
        <v>7.7</v>
      </c>
      <c r="K48" s="44" t="n">
        <v>7.1</v>
      </c>
      <c r="L48" s="44" t="n">
        <v>0.83</v>
      </c>
      <c r="M48" s="44" t="n">
        <v>0.29</v>
      </c>
      <c r="N48" s="45" t="s">
        <v>407</v>
      </c>
      <c r="O48" s="42" t="n">
        <f aca="false">M48*30</f>
        <v>8.7</v>
      </c>
      <c r="P48" s="46" t="n">
        <v>8.6</v>
      </c>
      <c r="Q48" s="43" t="n">
        <v>0.0333</v>
      </c>
      <c r="R48" s="43" t="n">
        <f aca="false">IF(K48="",0,INDEX(目次・前提!$B$35:$B$54,MIN(20,MAX(1,ROUND(K48,0)))))</f>
        <v>0.05</v>
      </c>
      <c r="S48" s="42" t="n">
        <f aca="false">MAX(0,P48*30*(R48-Q48))</f>
        <v>4.3086</v>
      </c>
      <c r="T48" s="28" t="s">
        <v>667</v>
      </c>
      <c r="U48" s="28" t="s">
        <v>668</v>
      </c>
      <c r="V48" s="13" t="s">
        <v>348</v>
      </c>
      <c r="W48" s="10" t="s">
        <v>669</v>
      </c>
      <c r="X48" s="10" t="s">
        <v>670</v>
      </c>
      <c r="Y48" s="10" t="s">
        <v>671</v>
      </c>
      <c r="Z48" s="10" t="s">
        <v>672</v>
      </c>
      <c r="AA48" s="10" t="s">
        <v>347</v>
      </c>
      <c r="AB48" s="13" t="s">
        <v>348</v>
      </c>
      <c r="AC48" s="13" t="s">
        <v>588</v>
      </c>
    </row>
    <row r="49" customFormat="false" ht="150" hidden="false" customHeight="true" outlineLevel="0" collapsed="false">
      <c r="A49" s="50" t="n">
        <v>45</v>
      </c>
      <c r="B49" s="51" t="s">
        <v>265</v>
      </c>
      <c r="C49" s="52" t="s">
        <v>581</v>
      </c>
      <c r="D49" s="28" t="s">
        <v>673</v>
      </c>
      <c r="E49" s="28" t="s">
        <v>232</v>
      </c>
      <c r="F49" s="28" t="s">
        <v>519</v>
      </c>
      <c r="G49" s="42" t="n">
        <v>3040</v>
      </c>
      <c r="H49" s="42" t="n">
        <v>83</v>
      </c>
      <c r="I49" s="43" t="n">
        <f aca="false">IFERROR(H49/G49,0)</f>
        <v>0.0273026315789474</v>
      </c>
      <c r="J49" s="44" t="n">
        <v>9.9</v>
      </c>
      <c r="K49" s="44" t="n">
        <v>8</v>
      </c>
      <c r="L49" s="44" t="n">
        <v>0.62</v>
      </c>
      <c r="M49" s="44" t="n">
        <v>1.54</v>
      </c>
      <c r="N49" s="45" t="s">
        <v>369</v>
      </c>
      <c r="O49" s="42" t="n">
        <f aca="false">M49*30</f>
        <v>46.2</v>
      </c>
      <c r="P49" s="46" t="n">
        <v>41.5</v>
      </c>
      <c r="Q49" s="43" t="n">
        <v>0.037</v>
      </c>
      <c r="R49" s="43" t="n">
        <f aca="false">IF(K49="",0,INDEX(目次・前提!$B$35:$B$54,MIN(20,MAX(1,ROUND(K49,0)))))</f>
        <v>0.045</v>
      </c>
      <c r="S49" s="42" t="n">
        <f aca="false">MAX(0,P49*30*(R49-Q49))</f>
        <v>9.96</v>
      </c>
      <c r="T49" s="28" t="s">
        <v>674</v>
      </c>
      <c r="U49" s="28" t="s">
        <v>675</v>
      </c>
      <c r="V49" s="13" t="s">
        <v>366</v>
      </c>
      <c r="W49" s="10" t="s">
        <v>676</v>
      </c>
      <c r="X49" s="10" t="s">
        <v>677</v>
      </c>
      <c r="Y49" s="10" t="s">
        <v>678</v>
      </c>
      <c r="Z49" s="10" t="s">
        <v>679</v>
      </c>
      <c r="AA49" s="10" t="s">
        <v>395</v>
      </c>
      <c r="AB49" s="13" t="s">
        <v>366</v>
      </c>
      <c r="AC49" s="13" t="s">
        <v>349</v>
      </c>
    </row>
    <row r="50" customFormat="false" ht="90" hidden="false" customHeight="true" outlineLevel="0" collapsed="false">
      <c r="A50" s="50" t="n">
        <v>46</v>
      </c>
      <c r="B50" s="51" t="s">
        <v>265</v>
      </c>
      <c r="C50" s="52" t="s">
        <v>581</v>
      </c>
      <c r="D50" s="28" t="s">
        <v>680</v>
      </c>
      <c r="E50" s="28" t="s">
        <v>535</v>
      </c>
      <c r="F50" s="10" t="s">
        <v>681</v>
      </c>
      <c r="G50" s="42" t="n">
        <v>280</v>
      </c>
      <c r="H50" s="42" t="n">
        <v>16</v>
      </c>
      <c r="I50" s="43" t="n">
        <f aca="false">IFERROR(H50/G50,0)</f>
        <v>0.0571428571428571</v>
      </c>
      <c r="J50" s="44" t="n">
        <v>10.3</v>
      </c>
      <c r="K50" s="44" t="n">
        <v>10.3</v>
      </c>
      <c r="L50" s="44" t="n">
        <v>0</v>
      </c>
      <c r="M50" s="44" t="n">
        <v>0.57</v>
      </c>
      <c r="N50" s="45" t="s">
        <v>432</v>
      </c>
      <c r="O50" s="42" t="n">
        <f aca="false">M50*30</f>
        <v>17.1</v>
      </c>
      <c r="P50" s="46" t="n">
        <v>10</v>
      </c>
      <c r="Q50" s="43" t="n">
        <v>0.0571</v>
      </c>
      <c r="R50" s="43" t="n">
        <f aca="false">IF(K50="",0,INDEX(目次・前提!$B$35:$B$54,MIN(20,MAX(1,ROUND(K50,0)))))</f>
        <v>0.035</v>
      </c>
      <c r="S50" s="42" t="n">
        <f aca="false">MAX(0,P50*30*(R50-Q50))</f>
        <v>0</v>
      </c>
      <c r="T50" s="10" t="s">
        <v>416</v>
      </c>
      <c r="U50" s="10" t="s">
        <v>682</v>
      </c>
      <c r="V50" s="13" t="s">
        <v>348</v>
      </c>
      <c r="W50" s="10" t="s">
        <v>683</v>
      </c>
      <c r="X50" s="10" t="s">
        <v>684</v>
      </c>
      <c r="Y50" s="10" t="s">
        <v>586</v>
      </c>
      <c r="Z50" s="10" t="s">
        <v>685</v>
      </c>
      <c r="AA50" s="10" t="s">
        <v>395</v>
      </c>
      <c r="AB50" s="13" t="s">
        <v>366</v>
      </c>
      <c r="AC50" s="13" t="s">
        <v>588</v>
      </c>
    </row>
    <row r="51" customFormat="false" ht="150" hidden="false" customHeight="true" outlineLevel="0" collapsed="false">
      <c r="A51" s="50" t="n">
        <v>47</v>
      </c>
      <c r="B51" s="51" t="s">
        <v>265</v>
      </c>
      <c r="C51" s="52" t="s">
        <v>581</v>
      </c>
      <c r="D51" s="28" t="s">
        <v>686</v>
      </c>
      <c r="E51" s="10" t="s">
        <v>224</v>
      </c>
      <c r="F51" s="10" t="s">
        <v>687</v>
      </c>
      <c r="G51" s="42" t="n">
        <v>3192</v>
      </c>
      <c r="H51" s="42" t="n">
        <v>89</v>
      </c>
      <c r="I51" s="43" t="n">
        <f aca="false">IFERROR(H51/G51,0)</f>
        <v>0.0278822055137845</v>
      </c>
      <c r="J51" s="44" t="n">
        <v>9.9</v>
      </c>
      <c r="K51" s="44" t="n">
        <v>11.3</v>
      </c>
      <c r="L51" s="44" t="n">
        <v>0.89</v>
      </c>
      <c r="M51" s="44" t="n">
        <v>1.14</v>
      </c>
      <c r="N51" s="45" t="s">
        <v>339</v>
      </c>
      <c r="O51" s="42" t="n">
        <f aca="false">M51*30</f>
        <v>34.2</v>
      </c>
      <c r="P51" s="46" t="n">
        <v>43.5</v>
      </c>
      <c r="Q51" s="43" t="n">
        <v>0.0263</v>
      </c>
      <c r="R51" s="43" t="n">
        <f aca="false">IF(K51="",0,INDEX(目次・前提!$B$35:$B$54,MIN(20,MAX(1,ROUND(K51,0)))))</f>
        <v>0.025</v>
      </c>
      <c r="S51" s="42" t="n">
        <f aca="false">MAX(0,P51*30*(R51-Q51))</f>
        <v>0</v>
      </c>
      <c r="T51" s="10" t="s">
        <v>688</v>
      </c>
      <c r="U51" s="28" t="s">
        <v>689</v>
      </c>
      <c r="V51" s="13" t="s">
        <v>372</v>
      </c>
      <c r="W51" s="10" t="s">
        <v>373</v>
      </c>
      <c r="X51" s="10" t="s">
        <v>690</v>
      </c>
      <c r="Y51" s="10" t="s">
        <v>691</v>
      </c>
      <c r="Z51" s="10" t="s">
        <v>692</v>
      </c>
      <c r="AA51" s="10" t="s">
        <v>693</v>
      </c>
      <c r="AB51" s="13" t="s">
        <v>348</v>
      </c>
      <c r="AC51" s="13" t="s">
        <v>349</v>
      </c>
    </row>
    <row r="52" customFormat="false" ht="90" hidden="false" customHeight="true" outlineLevel="0" collapsed="false">
      <c r="A52" s="50" t="n">
        <v>48</v>
      </c>
      <c r="B52" s="51" t="s">
        <v>265</v>
      </c>
      <c r="C52" s="52" t="s">
        <v>581</v>
      </c>
      <c r="D52" s="28" t="s">
        <v>694</v>
      </c>
      <c r="E52" s="28" t="s">
        <v>232</v>
      </c>
      <c r="F52" s="28" t="s">
        <v>388</v>
      </c>
      <c r="G52" s="42" t="n">
        <v>916</v>
      </c>
      <c r="H52" s="42" t="n">
        <v>70</v>
      </c>
      <c r="I52" s="43" t="n">
        <f aca="false">IFERROR(H52/G52,0)</f>
        <v>0.0764192139737991</v>
      </c>
      <c r="J52" s="44" t="n">
        <v>8.9</v>
      </c>
      <c r="K52" s="44" t="n">
        <v>9.2</v>
      </c>
      <c r="L52" s="44" t="n">
        <v>0.84</v>
      </c>
      <c r="M52" s="44" t="n">
        <v>0.57</v>
      </c>
      <c r="N52" s="45" t="s">
        <v>407</v>
      </c>
      <c r="O52" s="42" t="n">
        <f aca="false">M52*30</f>
        <v>17.1</v>
      </c>
      <c r="P52" s="46" t="n">
        <v>9.8</v>
      </c>
      <c r="Q52" s="43" t="n">
        <v>0.0582</v>
      </c>
      <c r="R52" s="43" t="n">
        <f aca="false">IF(K52="",0,INDEX(目次・前提!$B$35:$B$54,MIN(20,MAX(1,ROUND(K52,0)))))</f>
        <v>0.04</v>
      </c>
      <c r="S52" s="42" t="n">
        <f aca="false">MAX(0,P52*30*(R52-Q52))</f>
        <v>0</v>
      </c>
      <c r="T52" s="10" t="s">
        <v>416</v>
      </c>
      <c r="U52" s="28" t="s">
        <v>695</v>
      </c>
      <c r="V52" s="13" t="s">
        <v>348</v>
      </c>
      <c r="W52" s="10" t="s">
        <v>696</v>
      </c>
      <c r="X52" s="10" t="s">
        <v>697</v>
      </c>
      <c r="Y52" s="10" t="s">
        <v>593</v>
      </c>
      <c r="Z52" s="10" t="s">
        <v>652</v>
      </c>
      <c r="AA52" s="10" t="s">
        <v>395</v>
      </c>
      <c r="AB52" s="13" t="s">
        <v>348</v>
      </c>
      <c r="AC52" s="13" t="s">
        <v>588</v>
      </c>
    </row>
    <row r="53" customFormat="false" ht="90" hidden="false" customHeight="true" outlineLevel="0" collapsed="false">
      <c r="A53" s="50" t="n">
        <v>49</v>
      </c>
      <c r="B53" s="51" t="s">
        <v>265</v>
      </c>
      <c r="C53" s="52" t="s">
        <v>581</v>
      </c>
      <c r="D53" s="28" t="s">
        <v>698</v>
      </c>
      <c r="E53" s="28" t="s">
        <v>220</v>
      </c>
      <c r="F53" s="10" t="s">
        <v>699</v>
      </c>
      <c r="G53" s="42" t="n">
        <v>389</v>
      </c>
      <c r="H53" s="42" t="n">
        <v>14</v>
      </c>
      <c r="I53" s="43" t="n">
        <f aca="false">IFERROR(H53/G53,0)</f>
        <v>0.0359897172236504</v>
      </c>
      <c r="J53" s="44" t="n">
        <v>8.5</v>
      </c>
      <c r="K53" s="44" t="n">
        <v>8.5</v>
      </c>
      <c r="L53" s="44" t="n">
        <v>0</v>
      </c>
      <c r="M53" s="44" t="n">
        <v>0.5</v>
      </c>
      <c r="N53" s="45" t="s">
        <v>432</v>
      </c>
      <c r="O53" s="42" t="n">
        <f aca="false">M53*30</f>
        <v>15</v>
      </c>
      <c r="P53" s="46" t="n">
        <v>13.9</v>
      </c>
      <c r="Q53" s="43" t="n">
        <v>0.036</v>
      </c>
      <c r="R53" s="43" t="n">
        <f aca="false">IF(K53="",0,INDEX(目次・前提!$B$35:$B$54,MIN(20,MAX(1,ROUND(K53,0)))))</f>
        <v>0.04</v>
      </c>
      <c r="S53" s="42" t="n">
        <f aca="false">MAX(0,P53*30*(R53-Q53))</f>
        <v>1.668</v>
      </c>
      <c r="T53" s="28" t="s">
        <v>700</v>
      </c>
      <c r="U53" s="28" t="s">
        <v>701</v>
      </c>
      <c r="V53" s="13" t="s">
        <v>372</v>
      </c>
      <c r="W53" s="10" t="s">
        <v>373</v>
      </c>
      <c r="X53" s="10" t="s">
        <v>702</v>
      </c>
      <c r="Y53" s="10" t="s">
        <v>703</v>
      </c>
      <c r="Z53" s="10" t="s">
        <v>704</v>
      </c>
      <c r="AA53" s="10" t="s">
        <v>386</v>
      </c>
      <c r="AB53" s="13" t="s">
        <v>348</v>
      </c>
      <c r="AC53" s="13" t="s">
        <v>588</v>
      </c>
    </row>
    <row r="54" customFormat="false" ht="90" hidden="false" customHeight="true" outlineLevel="0" collapsed="false">
      <c r="A54" s="50" t="n">
        <v>50</v>
      </c>
      <c r="B54" s="51" t="s">
        <v>265</v>
      </c>
      <c r="C54" s="52" t="s">
        <v>581</v>
      </c>
      <c r="D54" s="28" t="s">
        <v>705</v>
      </c>
      <c r="E54" s="10" t="s">
        <v>228</v>
      </c>
      <c r="F54" s="10" t="s">
        <v>706</v>
      </c>
      <c r="G54" s="42" t="n">
        <v>575</v>
      </c>
      <c r="H54" s="42" t="n">
        <v>11</v>
      </c>
      <c r="I54" s="43" t="n">
        <f aca="false">IFERROR(H54/G54,0)</f>
        <v>0.0191304347826087</v>
      </c>
      <c r="J54" s="44" t="n">
        <v>13</v>
      </c>
      <c r="K54" s="44" t="n">
        <v>9.6</v>
      </c>
      <c r="L54" s="44" t="n">
        <v>0.12</v>
      </c>
      <c r="M54" s="44" t="n">
        <v>0.11</v>
      </c>
      <c r="N54" s="45" t="s">
        <v>339</v>
      </c>
      <c r="O54" s="42" t="n">
        <f aca="false">M54*30</f>
        <v>3.3</v>
      </c>
      <c r="P54" s="46" t="n">
        <v>6.7</v>
      </c>
      <c r="Q54" s="43" t="n">
        <v>0.016</v>
      </c>
      <c r="R54" s="43" t="n">
        <f aca="false">IF(K54="",0,INDEX(目次・前提!$B$35:$B$54,MIN(20,MAX(1,ROUND(K54,0)))))</f>
        <v>0.035</v>
      </c>
      <c r="S54" s="42" t="n">
        <f aca="false">MAX(0,P54*30*(R54-Q54))</f>
        <v>3.819</v>
      </c>
      <c r="T54" s="10" t="s">
        <v>707</v>
      </c>
      <c r="U54" s="10" t="s">
        <v>708</v>
      </c>
      <c r="V54" s="13" t="s">
        <v>348</v>
      </c>
      <c r="W54" s="10" t="s">
        <v>709</v>
      </c>
      <c r="X54" s="10" t="s">
        <v>710</v>
      </c>
      <c r="Y54" s="10" t="s">
        <v>711</v>
      </c>
      <c r="Z54" s="10" t="s">
        <v>712</v>
      </c>
      <c r="AA54" s="10" t="s">
        <v>347</v>
      </c>
      <c r="AB54" s="13" t="s">
        <v>348</v>
      </c>
      <c r="AC54" s="13" t="s">
        <v>588</v>
      </c>
    </row>
    <row r="55" customFormat="false" ht="90" hidden="false" customHeight="true" outlineLevel="0" collapsed="false">
      <c r="A55" s="50" t="n">
        <v>51</v>
      </c>
      <c r="B55" s="51" t="s">
        <v>265</v>
      </c>
      <c r="C55" s="52" t="s">
        <v>581</v>
      </c>
      <c r="D55" s="28" t="s">
        <v>713</v>
      </c>
      <c r="E55" s="28" t="s">
        <v>535</v>
      </c>
      <c r="F55" s="28" t="s">
        <v>714</v>
      </c>
      <c r="G55" s="42" t="n">
        <v>817</v>
      </c>
      <c r="H55" s="42" t="n">
        <v>11</v>
      </c>
      <c r="I55" s="43" t="n">
        <f aca="false">IFERROR(H55/G55,0)</f>
        <v>0.0134638922888617</v>
      </c>
      <c r="J55" s="44" t="n">
        <v>9.9</v>
      </c>
      <c r="K55" s="44" t="n">
        <v>10.9</v>
      </c>
      <c r="L55" s="44" t="n">
        <v>0.14</v>
      </c>
      <c r="M55" s="44" t="n">
        <v>0.07</v>
      </c>
      <c r="N55" s="45" t="s">
        <v>339</v>
      </c>
      <c r="O55" s="42" t="n">
        <f aca="false">M55*30</f>
        <v>2.1</v>
      </c>
      <c r="P55" s="46" t="n">
        <v>11.2</v>
      </c>
      <c r="Q55" s="43" t="n">
        <v>0.0064</v>
      </c>
      <c r="R55" s="43" t="n">
        <f aca="false">IF(K55="",0,INDEX(目次・前提!$B$35:$B$54,MIN(20,MAX(1,ROUND(K55,0)))))</f>
        <v>0.025</v>
      </c>
      <c r="S55" s="42" t="n">
        <f aca="false">MAX(0,P55*30*(R55-Q55))</f>
        <v>6.2496</v>
      </c>
      <c r="T55" s="28" t="s">
        <v>715</v>
      </c>
      <c r="U55" s="28" t="s">
        <v>716</v>
      </c>
      <c r="V55" s="13" t="s">
        <v>348</v>
      </c>
      <c r="W55" s="10" t="s">
        <v>717</v>
      </c>
      <c r="X55" s="10" t="s">
        <v>718</v>
      </c>
      <c r="Y55" s="28" t="s">
        <v>719</v>
      </c>
      <c r="Z55" s="10" t="s">
        <v>685</v>
      </c>
      <c r="AA55" s="10" t="s">
        <v>395</v>
      </c>
      <c r="AB55" s="13" t="s">
        <v>348</v>
      </c>
      <c r="AC55" s="13" t="s">
        <v>588</v>
      </c>
    </row>
    <row r="56" customFormat="false" ht="90" hidden="false" customHeight="true" outlineLevel="0" collapsed="false">
      <c r="A56" s="50" t="n">
        <v>52</v>
      </c>
      <c r="B56" s="51" t="s">
        <v>265</v>
      </c>
      <c r="C56" s="52" t="s">
        <v>581</v>
      </c>
      <c r="D56" s="28" t="s">
        <v>720</v>
      </c>
      <c r="E56" s="28" t="s">
        <v>535</v>
      </c>
      <c r="F56" s="10" t="s">
        <v>721</v>
      </c>
      <c r="G56" s="42" t="n">
        <v>136</v>
      </c>
      <c r="H56" s="42" t="n">
        <v>7</v>
      </c>
      <c r="I56" s="43" t="n">
        <f aca="false">IFERROR(H56/G56,0)</f>
        <v>0.0514705882352941</v>
      </c>
      <c r="J56" s="44" t="n">
        <v>9.2</v>
      </c>
      <c r="K56" s="44" t="n">
        <v>9.2</v>
      </c>
      <c r="L56" s="44" t="n">
        <v>0</v>
      </c>
      <c r="M56" s="44" t="n">
        <v>0.25</v>
      </c>
      <c r="N56" s="45" t="s">
        <v>339</v>
      </c>
      <c r="O56" s="42" t="n">
        <f aca="false">M56*30</f>
        <v>7.5</v>
      </c>
      <c r="P56" s="46" t="n">
        <v>4.9</v>
      </c>
      <c r="Q56" s="43" t="n">
        <v>0.0515</v>
      </c>
      <c r="R56" s="43" t="n">
        <f aca="false">IF(K56="",0,INDEX(目次・前提!$B$35:$B$54,MIN(20,MAX(1,ROUND(K56,0)))))</f>
        <v>0.04</v>
      </c>
      <c r="S56" s="42" t="n">
        <f aca="false">MAX(0,P56*30*(R56-Q56))</f>
        <v>0</v>
      </c>
      <c r="T56" s="10" t="s">
        <v>722</v>
      </c>
      <c r="U56" s="28" t="s">
        <v>723</v>
      </c>
      <c r="V56" s="13" t="s">
        <v>348</v>
      </c>
      <c r="W56" s="10" t="s">
        <v>724</v>
      </c>
      <c r="X56" s="10" t="s">
        <v>725</v>
      </c>
      <c r="Y56" s="10" t="s">
        <v>726</v>
      </c>
      <c r="Z56" s="10" t="s">
        <v>685</v>
      </c>
      <c r="AA56" s="10" t="s">
        <v>395</v>
      </c>
      <c r="AB56" s="13" t="s">
        <v>366</v>
      </c>
      <c r="AC56" s="13" t="s">
        <v>588</v>
      </c>
    </row>
    <row r="57" customFormat="false" ht="90" hidden="false" customHeight="true" outlineLevel="0" collapsed="false">
      <c r="A57" s="50" t="n">
        <v>53</v>
      </c>
      <c r="B57" s="51" t="s">
        <v>265</v>
      </c>
      <c r="C57" s="52" t="s">
        <v>581</v>
      </c>
      <c r="D57" s="28" t="s">
        <v>727</v>
      </c>
      <c r="E57" s="28" t="s">
        <v>232</v>
      </c>
      <c r="F57" s="28" t="s">
        <v>728</v>
      </c>
      <c r="G57" s="42" t="n">
        <v>1194</v>
      </c>
      <c r="H57" s="42" t="n">
        <v>48</v>
      </c>
      <c r="I57" s="43" t="n">
        <f aca="false">IFERROR(H57/G57,0)</f>
        <v>0.0402010050251256</v>
      </c>
      <c r="J57" s="44" t="n">
        <v>9.1</v>
      </c>
      <c r="K57" s="44" t="n">
        <v>11.2</v>
      </c>
      <c r="L57" s="44" t="n">
        <v>0.59</v>
      </c>
      <c r="M57" s="44" t="n">
        <v>0.36</v>
      </c>
      <c r="N57" s="45" t="s">
        <v>407</v>
      </c>
      <c r="O57" s="42" t="n">
        <f aca="false">M57*30</f>
        <v>10.8</v>
      </c>
      <c r="P57" s="46" t="n">
        <v>11.2</v>
      </c>
      <c r="Q57" s="43" t="n">
        <v>0.0317</v>
      </c>
      <c r="R57" s="43" t="n">
        <f aca="false">IF(K57="",0,INDEX(目次・前提!$B$35:$B$54,MIN(20,MAX(1,ROUND(K57,0)))))</f>
        <v>0.025</v>
      </c>
      <c r="S57" s="42" t="n">
        <f aca="false">MAX(0,P57*30*(R57-Q57))</f>
        <v>0</v>
      </c>
      <c r="T57" s="28" t="s">
        <v>729</v>
      </c>
      <c r="U57" s="28" t="s">
        <v>730</v>
      </c>
      <c r="V57" s="13" t="s">
        <v>348</v>
      </c>
      <c r="W57" s="10" t="s">
        <v>731</v>
      </c>
      <c r="X57" s="10" t="s">
        <v>732</v>
      </c>
      <c r="Y57" s="10" t="s">
        <v>733</v>
      </c>
      <c r="Z57" s="10" t="s">
        <v>652</v>
      </c>
      <c r="AA57" s="10" t="s">
        <v>395</v>
      </c>
      <c r="AB57" s="13" t="s">
        <v>348</v>
      </c>
      <c r="AC57" s="13" t="s">
        <v>588</v>
      </c>
    </row>
    <row r="58" customFormat="false" ht="90" hidden="false" customHeight="true" outlineLevel="0" collapsed="false">
      <c r="A58" s="50" t="n">
        <v>54</v>
      </c>
      <c r="B58" s="51" t="s">
        <v>265</v>
      </c>
      <c r="C58" s="52" t="s">
        <v>581</v>
      </c>
      <c r="D58" s="28" t="s">
        <v>734</v>
      </c>
      <c r="E58" s="10" t="s">
        <v>527</v>
      </c>
      <c r="F58" s="28" t="s">
        <v>735</v>
      </c>
      <c r="G58" s="42" t="n">
        <v>331</v>
      </c>
      <c r="H58" s="42" t="n">
        <v>7</v>
      </c>
      <c r="I58" s="43" t="n">
        <f aca="false">IFERROR(H58/G58,0)</f>
        <v>0.0211480362537764</v>
      </c>
      <c r="J58" s="44" t="n">
        <v>11.4</v>
      </c>
      <c r="K58" s="44" t="n">
        <v>10.4</v>
      </c>
      <c r="L58" s="44" t="n">
        <v>0.02</v>
      </c>
      <c r="M58" s="44" t="n">
        <v>0.21</v>
      </c>
      <c r="N58" s="45" t="s">
        <v>339</v>
      </c>
      <c r="O58" s="42" t="n">
        <f aca="false">M58*30</f>
        <v>6.3</v>
      </c>
      <c r="P58" s="46" t="n">
        <v>8.2</v>
      </c>
      <c r="Q58" s="43" t="n">
        <v>0.0261</v>
      </c>
      <c r="R58" s="43" t="n">
        <f aca="false">IF(K58="",0,INDEX(目次・前提!$B$35:$B$54,MIN(20,MAX(1,ROUND(K58,0)))))</f>
        <v>0.035</v>
      </c>
      <c r="S58" s="42" t="n">
        <f aca="false">MAX(0,P58*30*(R58-Q58))</f>
        <v>2.1894</v>
      </c>
      <c r="T58" s="10" t="s">
        <v>736</v>
      </c>
      <c r="U58" s="10" t="s">
        <v>737</v>
      </c>
      <c r="V58" s="13" t="s">
        <v>348</v>
      </c>
      <c r="W58" s="10" t="s">
        <v>738</v>
      </c>
      <c r="X58" s="10" t="s">
        <v>739</v>
      </c>
      <c r="Y58" s="10" t="s">
        <v>740</v>
      </c>
      <c r="Z58" s="10" t="s">
        <v>741</v>
      </c>
      <c r="AA58" s="10" t="s">
        <v>395</v>
      </c>
      <c r="AB58" s="13" t="s">
        <v>348</v>
      </c>
      <c r="AC58" s="13" t="s">
        <v>588</v>
      </c>
    </row>
    <row r="59" customFormat="false" ht="90" hidden="false" customHeight="true" outlineLevel="0" collapsed="false">
      <c r="A59" s="50" t="n">
        <v>55</v>
      </c>
      <c r="B59" s="51" t="s">
        <v>265</v>
      </c>
      <c r="C59" s="52" t="s">
        <v>581</v>
      </c>
      <c r="D59" s="28" t="s">
        <v>742</v>
      </c>
      <c r="E59" s="28" t="s">
        <v>232</v>
      </c>
      <c r="F59" s="10" t="s">
        <v>505</v>
      </c>
      <c r="G59" s="42" t="n">
        <v>961</v>
      </c>
      <c r="H59" s="42" t="n">
        <v>91</v>
      </c>
      <c r="I59" s="43" t="n">
        <f aca="false">IFERROR(H59/G59,0)</f>
        <v>0.0946930280957336</v>
      </c>
      <c r="J59" s="44" t="n">
        <v>12.7</v>
      </c>
      <c r="K59" s="44" t="n">
        <v>10.2</v>
      </c>
      <c r="L59" s="44" t="n">
        <v>0.88</v>
      </c>
      <c r="M59" s="44" t="n">
        <v>1.25</v>
      </c>
      <c r="N59" s="45" t="s">
        <v>339</v>
      </c>
      <c r="O59" s="42" t="n">
        <f aca="false">M59*30</f>
        <v>37.5</v>
      </c>
      <c r="P59" s="46" t="n">
        <v>13.7</v>
      </c>
      <c r="Q59" s="43" t="n">
        <v>0.0914</v>
      </c>
      <c r="R59" s="43" t="n">
        <f aca="false">IF(K59="",0,INDEX(目次・前提!$B$35:$B$54,MIN(20,MAX(1,ROUND(K59,0)))))</f>
        <v>0.035</v>
      </c>
      <c r="S59" s="42" t="n">
        <f aca="false">MAX(0,P59*30*(R59-Q59))</f>
        <v>0</v>
      </c>
      <c r="T59" s="10" t="s">
        <v>743</v>
      </c>
      <c r="U59" s="10" t="s">
        <v>744</v>
      </c>
      <c r="V59" s="13" t="s">
        <v>372</v>
      </c>
      <c r="W59" s="10" t="s">
        <v>508</v>
      </c>
      <c r="X59" s="28" t="s">
        <v>745</v>
      </c>
      <c r="Y59" s="10" t="s">
        <v>746</v>
      </c>
      <c r="Z59" s="10" t="s">
        <v>652</v>
      </c>
      <c r="AA59" s="10" t="s">
        <v>395</v>
      </c>
      <c r="AB59" s="13" t="s">
        <v>348</v>
      </c>
      <c r="AC59" s="13" t="s">
        <v>588</v>
      </c>
    </row>
    <row r="60" customFormat="false" ht="150" hidden="false" customHeight="true" outlineLevel="0" collapsed="false">
      <c r="A60" s="50" t="n">
        <v>56</v>
      </c>
      <c r="B60" s="51" t="s">
        <v>265</v>
      </c>
      <c r="C60" s="52" t="s">
        <v>581</v>
      </c>
      <c r="D60" s="28" t="s">
        <v>747</v>
      </c>
      <c r="E60" s="10" t="s">
        <v>224</v>
      </c>
      <c r="F60" s="10" t="s">
        <v>748</v>
      </c>
      <c r="G60" s="42" t="n">
        <v>898</v>
      </c>
      <c r="H60" s="42" t="n">
        <v>14</v>
      </c>
      <c r="I60" s="43" t="n">
        <f aca="false">IFERROR(H60/G60,0)</f>
        <v>0.0155902004454343</v>
      </c>
      <c r="J60" s="44" t="n">
        <v>13.2</v>
      </c>
      <c r="K60" s="44" t="n">
        <v>10.7</v>
      </c>
      <c r="L60" s="44" t="n">
        <v>0.09</v>
      </c>
      <c r="M60" s="44" t="n">
        <v>0.29</v>
      </c>
      <c r="N60" s="45" t="s">
        <v>490</v>
      </c>
      <c r="O60" s="42" t="n">
        <f aca="false">M60*30</f>
        <v>8.7</v>
      </c>
      <c r="P60" s="46" t="n">
        <v>17.3</v>
      </c>
      <c r="Q60" s="43" t="n">
        <v>0.0165</v>
      </c>
      <c r="R60" s="43" t="n">
        <f aca="false">IF(K60="",0,INDEX(目次・前提!$B$35:$B$54,MIN(20,MAX(1,ROUND(K60,0)))))</f>
        <v>0.025</v>
      </c>
      <c r="S60" s="42" t="n">
        <f aca="false">MAX(0,P60*30*(R60-Q60))</f>
        <v>4.4115</v>
      </c>
      <c r="T60" s="10" t="s">
        <v>749</v>
      </c>
      <c r="U60" s="28" t="s">
        <v>750</v>
      </c>
      <c r="V60" s="13" t="s">
        <v>366</v>
      </c>
      <c r="W60" s="10" t="s">
        <v>751</v>
      </c>
      <c r="X60" s="10" t="s">
        <v>752</v>
      </c>
      <c r="Y60" s="10" t="s">
        <v>753</v>
      </c>
      <c r="Z60" s="10" t="s">
        <v>754</v>
      </c>
      <c r="AA60" s="10" t="s">
        <v>386</v>
      </c>
      <c r="AB60" s="13" t="s">
        <v>366</v>
      </c>
      <c r="AC60" s="13" t="s">
        <v>349</v>
      </c>
    </row>
    <row r="61" customFormat="false" ht="90" hidden="false" customHeight="true" outlineLevel="0" collapsed="false">
      <c r="A61" s="50" t="n">
        <v>57</v>
      </c>
      <c r="B61" s="51" t="s">
        <v>265</v>
      </c>
      <c r="C61" s="52" t="s">
        <v>581</v>
      </c>
      <c r="D61" s="28" t="s">
        <v>755</v>
      </c>
      <c r="E61" s="28" t="s">
        <v>220</v>
      </c>
      <c r="F61" s="10" t="s">
        <v>699</v>
      </c>
      <c r="G61" s="42" t="n">
        <v>597</v>
      </c>
      <c r="H61" s="42" t="n">
        <v>20</v>
      </c>
      <c r="I61" s="43" t="n">
        <f aca="false">IFERROR(H61/G61,0)</f>
        <v>0.033500837520938</v>
      </c>
      <c r="J61" s="44" t="n">
        <v>9.6</v>
      </c>
      <c r="K61" s="44" t="n">
        <v>9.6</v>
      </c>
      <c r="L61" s="44" t="n">
        <v>0.08</v>
      </c>
      <c r="M61" s="44" t="n">
        <v>0.54</v>
      </c>
      <c r="N61" s="45" t="s">
        <v>490</v>
      </c>
      <c r="O61" s="42" t="n">
        <f aca="false">M61*30</f>
        <v>16.2</v>
      </c>
      <c r="P61" s="46" t="n">
        <v>9.8</v>
      </c>
      <c r="Q61" s="43" t="n">
        <v>0.0549</v>
      </c>
      <c r="R61" s="43" t="n">
        <f aca="false">IF(K61="",0,INDEX(目次・前提!$B$35:$B$54,MIN(20,MAX(1,ROUND(K61,0)))))</f>
        <v>0.035</v>
      </c>
      <c r="S61" s="42" t="n">
        <f aca="false">MAX(0,P61*30*(R61-Q61))</f>
        <v>0</v>
      </c>
      <c r="T61" s="28" t="s">
        <v>756</v>
      </c>
      <c r="U61" s="28" t="s">
        <v>757</v>
      </c>
      <c r="V61" s="13" t="s">
        <v>372</v>
      </c>
      <c r="W61" s="10" t="s">
        <v>373</v>
      </c>
      <c r="X61" s="10" t="s">
        <v>758</v>
      </c>
      <c r="Y61" s="10" t="s">
        <v>759</v>
      </c>
      <c r="Z61" s="10" t="s">
        <v>704</v>
      </c>
      <c r="AA61" s="10" t="s">
        <v>386</v>
      </c>
      <c r="AB61" s="13" t="s">
        <v>348</v>
      </c>
      <c r="AC61" s="13" t="s">
        <v>588</v>
      </c>
    </row>
    <row r="62" customFormat="false" ht="90" hidden="false" customHeight="true" outlineLevel="0" collapsed="false">
      <c r="A62" s="50" t="n">
        <v>58</v>
      </c>
      <c r="B62" s="51" t="s">
        <v>265</v>
      </c>
      <c r="C62" s="52" t="s">
        <v>581</v>
      </c>
      <c r="D62" s="28" t="s">
        <v>760</v>
      </c>
      <c r="E62" s="28" t="s">
        <v>232</v>
      </c>
      <c r="F62" s="28" t="s">
        <v>625</v>
      </c>
      <c r="G62" s="42" t="n">
        <v>887</v>
      </c>
      <c r="H62" s="42" t="n">
        <v>5</v>
      </c>
      <c r="I62" s="43" t="n">
        <f aca="false">IFERROR(H62/G62,0)</f>
        <v>0.0056369785794814</v>
      </c>
      <c r="J62" s="44" t="n">
        <v>18.4</v>
      </c>
      <c r="K62" s="44" t="n">
        <v>11.9</v>
      </c>
      <c r="L62" s="44" t="n">
        <v>0.06</v>
      </c>
      <c r="M62" s="44" t="n">
        <v>0.04</v>
      </c>
      <c r="N62" s="45" t="s">
        <v>339</v>
      </c>
      <c r="O62" s="42" t="n">
        <f aca="false">M62*30</f>
        <v>1.2</v>
      </c>
      <c r="P62" s="46" t="n">
        <v>9</v>
      </c>
      <c r="Q62" s="43" t="n">
        <v>0.004</v>
      </c>
      <c r="R62" s="43" t="n">
        <f aca="false">IF(K62="",0,INDEX(目次・前提!$B$35:$B$54,MIN(20,MAX(1,ROUND(K62,0)))))</f>
        <v>0.025</v>
      </c>
      <c r="S62" s="42" t="n">
        <f aca="false">MAX(0,P62*30*(R62-Q62))</f>
        <v>5.67</v>
      </c>
      <c r="T62" s="28" t="s">
        <v>761</v>
      </c>
      <c r="U62" s="10" t="s">
        <v>762</v>
      </c>
      <c r="V62" s="13" t="s">
        <v>348</v>
      </c>
      <c r="W62" s="10" t="s">
        <v>763</v>
      </c>
      <c r="X62" s="10" t="s">
        <v>764</v>
      </c>
      <c r="Y62" s="10" t="s">
        <v>765</v>
      </c>
      <c r="Z62" s="10" t="s">
        <v>631</v>
      </c>
      <c r="AA62" s="10" t="s">
        <v>632</v>
      </c>
      <c r="AB62" s="13" t="s">
        <v>348</v>
      </c>
      <c r="AC62" s="13" t="s">
        <v>588</v>
      </c>
    </row>
    <row r="63" customFormat="false" ht="90" hidden="false" customHeight="true" outlineLevel="0" collapsed="false">
      <c r="A63" s="50" t="n">
        <v>59</v>
      </c>
      <c r="B63" s="51" t="s">
        <v>265</v>
      </c>
      <c r="C63" s="52" t="s">
        <v>581</v>
      </c>
      <c r="D63" s="28" t="s">
        <v>766</v>
      </c>
      <c r="E63" s="28" t="s">
        <v>232</v>
      </c>
      <c r="F63" s="28" t="s">
        <v>625</v>
      </c>
      <c r="G63" s="42" t="n">
        <v>788</v>
      </c>
      <c r="H63" s="42" t="n">
        <v>18</v>
      </c>
      <c r="I63" s="43" t="n">
        <f aca="false">IFERROR(H63/G63,0)</f>
        <v>0.0228426395939086</v>
      </c>
      <c r="J63" s="44" t="n">
        <v>11.1</v>
      </c>
      <c r="K63" s="44" t="n">
        <v>10.8</v>
      </c>
      <c r="L63" s="44" t="n">
        <v>0.19</v>
      </c>
      <c r="M63" s="44" t="n">
        <v>0.21</v>
      </c>
      <c r="N63" s="45" t="s">
        <v>339</v>
      </c>
      <c r="O63" s="42" t="n">
        <f aca="false">M63*30</f>
        <v>6.3</v>
      </c>
      <c r="P63" s="46" t="n">
        <v>8</v>
      </c>
      <c r="Q63" s="43" t="n">
        <v>0.0267</v>
      </c>
      <c r="R63" s="43" t="n">
        <f aca="false">IF(K63="",0,INDEX(目次・前提!$B$35:$B$54,MIN(20,MAX(1,ROUND(K63,0)))))</f>
        <v>0.025</v>
      </c>
      <c r="S63" s="42" t="n">
        <f aca="false">MAX(0,P63*30*(R63-Q63))</f>
        <v>0</v>
      </c>
      <c r="T63" s="10" t="s">
        <v>767</v>
      </c>
      <c r="U63" s="10" t="s">
        <v>768</v>
      </c>
      <c r="V63" s="13" t="s">
        <v>348</v>
      </c>
      <c r="W63" s="10" t="s">
        <v>769</v>
      </c>
      <c r="X63" s="10" t="s">
        <v>770</v>
      </c>
      <c r="Y63" s="10" t="s">
        <v>771</v>
      </c>
      <c r="Z63" s="10" t="s">
        <v>631</v>
      </c>
      <c r="AA63" s="10" t="s">
        <v>632</v>
      </c>
      <c r="AB63" s="13" t="s">
        <v>348</v>
      </c>
      <c r="AC63" s="13" t="s">
        <v>588</v>
      </c>
    </row>
    <row r="64" customFormat="false" ht="90" hidden="false" customHeight="true" outlineLevel="0" collapsed="false">
      <c r="A64" s="50" t="n">
        <v>60</v>
      </c>
      <c r="B64" s="51" t="s">
        <v>265</v>
      </c>
      <c r="C64" s="52" t="s">
        <v>581</v>
      </c>
      <c r="D64" s="28" t="s">
        <v>772</v>
      </c>
      <c r="E64" s="28" t="s">
        <v>535</v>
      </c>
      <c r="F64" s="10" t="s">
        <v>681</v>
      </c>
      <c r="G64" s="42" t="n">
        <v>166</v>
      </c>
      <c r="H64" s="42" t="n">
        <v>7</v>
      </c>
      <c r="I64" s="43" t="n">
        <f aca="false">IFERROR(H64/G64,0)</f>
        <v>0.0421686746987952</v>
      </c>
      <c r="J64" s="44" t="n">
        <v>9.8</v>
      </c>
      <c r="K64" s="44" t="n">
        <v>11.1</v>
      </c>
      <c r="L64" s="44" t="n">
        <v>0.05</v>
      </c>
      <c r="M64" s="44" t="n">
        <v>0.14</v>
      </c>
      <c r="N64" s="45" t="s">
        <v>339</v>
      </c>
      <c r="O64" s="42" t="n">
        <f aca="false">M64*30</f>
        <v>4.2</v>
      </c>
      <c r="P64" s="46" t="n">
        <v>2.5</v>
      </c>
      <c r="Q64" s="43" t="n">
        <v>0.0563</v>
      </c>
      <c r="R64" s="43" t="n">
        <f aca="false">IF(K64="",0,INDEX(目次・前提!$B$35:$B$54,MIN(20,MAX(1,ROUND(K64,0)))))</f>
        <v>0.025</v>
      </c>
      <c r="S64" s="42" t="n">
        <f aca="false">MAX(0,P64*30*(R64-Q64))</f>
        <v>0</v>
      </c>
      <c r="T64" s="10" t="s">
        <v>416</v>
      </c>
      <c r="U64" s="28" t="s">
        <v>773</v>
      </c>
      <c r="V64" s="13" t="s">
        <v>348</v>
      </c>
      <c r="W64" s="10" t="s">
        <v>774</v>
      </c>
      <c r="X64" s="10" t="s">
        <v>775</v>
      </c>
      <c r="Y64" s="28" t="s">
        <v>616</v>
      </c>
      <c r="Z64" s="10" t="s">
        <v>579</v>
      </c>
      <c r="AA64" s="10" t="s">
        <v>395</v>
      </c>
      <c r="AB64" s="13" t="s">
        <v>366</v>
      </c>
      <c r="AC64" s="13" t="s">
        <v>588</v>
      </c>
    </row>
    <row r="65" customFormat="false" ht="150" hidden="false" customHeight="true" outlineLevel="0" collapsed="false">
      <c r="A65" s="53" t="n">
        <v>61</v>
      </c>
      <c r="B65" s="54" t="s">
        <v>776</v>
      </c>
      <c r="C65" s="55" t="s">
        <v>777</v>
      </c>
      <c r="D65" s="28" t="s">
        <v>778</v>
      </c>
      <c r="E65" s="10" t="s">
        <v>224</v>
      </c>
      <c r="F65" s="10" t="s">
        <v>779</v>
      </c>
      <c r="G65" s="42" t="n">
        <v>57</v>
      </c>
      <c r="H65" s="42" t="n">
        <v>1</v>
      </c>
      <c r="I65" s="43" t="n">
        <f aca="false">IFERROR(H65/G65,0)</f>
        <v>0.0175438596491228</v>
      </c>
      <c r="J65" s="44" t="n">
        <v>9.8</v>
      </c>
      <c r="K65" s="44" t="n">
        <v>9.8</v>
      </c>
      <c r="L65" s="44" t="n">
        <v>0</v>
      </c>
      <c r="M65" s="44" t="n">
        <v>0.04</v>
      </c>
      <c r="N65" s="45" t="s">
        <v>339</v>
      </c>
      <c r="O65" s="42" t="n">
        <f aca="false">M65*30</f>
        <v>1.2</v>
      </c>
      <c r="P65" s="46" t="n">
        <v>2</v>
      </c>
      <c r="Q65" s="43" t="n">
        <v>0.0175</v>
      </c>
      <c r="R65" s="43" t="n">
        <f aca="false">IF(K65="",0,INDEX(目次・前提!$B$35:$B$54,MIN(20,MAX(1,ROUND(K65,0)))))</f>
        <v>0.035</v>
      </c>
      <c r="S65" s="42" t="n">
        <f aca="false">MAX(0,P65*30*(R65-Q65))</f>
        <v>1.05</v>
      </c>
      <c r="T65" s="10" t="s">
        <v>416</v>
      </c>
      <c r="U65" s="28" t="s">
        <v>780</v>
      </c>
      <c r="V65" s="13" t="s">
        <v>372</v>
      </c>
      <c r="W65" s="10" t="s">
        <v>373</v>
      </c>
      <c r="X65" s="10" t="s">
        <v>781</v>
      </c>
      <c r="Y65" s="10" t="s">
        <v>782</v>
      </c>
      <c r="Z65" s="10" t="s">
        <v>783</v>
      </c>
      <c r="AA65" s="10" t="s">
        <v>784</v>
      </c>
      <c r="AB65" s="13" t="s">
        <v>366</v>
      </c>
      <c r="AC65" s="13" t="s">
        <v>349</v>
      </c>
    </row>
    <row r="66" customFormat="false" ht="90" hidden="false" customHeight="true" outlineLevel="0" collapsed="false">
      <c r="A66" s="53" t="n">
        <v>62</v>
      </c>
      <c r="B66" s="54" t="s">
        <v>776</v>
      </c>
      <c r="C66" s="55" t="s">
        <v>777</v>
      </c>
      <c r="D66" s="28" t="s">
        <v>785</v>
      </c>
      <c r="E66" s="28" t="s">
        <v>232</v>
      </c>
      <c r="F66" s="28" t="s">
        <v>388</v>
      </c>
      <c r="G66" s="42" t="n">
        <v>334</v>
      </c>
      <c r="H66" s="42" t="n">
        <v>11</v>
      </c>
      <c r="I66" s="43" t="n">
        <f aca="false">IFERROR(H66/G66,0)</f>
        <v>0.032934131736527</v>
      </c>
      <c r="J66" s="44" t="n">
        <v>8.6</v>
      </c>
      <c r="K66" s="44" t="n">
        <v>8.7</v>
      </c>
      <c r="L66" s="44" t="n">
        <v>0.09</v>
      </c>
      <c r="M66" s="44" t="n">
        <v>0.18</v>
      </c>
      <c r="N66" s="45" t="s">
        <v>339</v>
      </c>
      <c r="O66" s="42" t="n">
        <f aca="false">M66*30</f>
        <v>5.4</v>
      </c>
      <c r="P66" s="46" t="n">
        <v>5.1</v>
      </c>
      <c r="Q66" s="43" t="n">
        <v>0.0352</v>
      </c>
      <c r="R66" s="43" t="n">
        <f aca="false">IF(K66="",0,INDEX(目次・前提!$B$35:$B$54,MIN(20,MAX(1,ROUND(K66,0)))))</f>
        <v>0.04</v>
      </c>
      <c r="S66" s="42" t="n">
        <f aca="false">MAX(0,P66*30*(R66-Q66))</f>
        <v>0.7344</v>
      </c>
      <c r="T66" s="10" t="s">
        <v>786</v>
      </c>
      <c r="U66" s="28" t="s">
        <v>787</v>
      </c>
      <c r="V66" s="13" t="s">
        <v>348</v>
      </c>
      <c r="W66" s="10" t="s">
        <v>788</v>
      </c>
      <c r="X66" s="10" t="s">
        <v>789</v>
      </c>
      <c r="Y66" s="10" t="s">
        <v>790</v>
      </c>
      <c r="Z66" s="10" t="s">
        <v>652</v>
      </c>
      <c r="AA66" s="10" t="s">
        <v>395</v>
      </c>
      <c r="AB66" s="13" t="s">
        <v>348</v>
      </c>
      <c r="AC66" s="13" t="s">
        <v>588</v>
      </c>
    </row>
    <row r="67" customFormat="false" ht="90" hidden="false" customHeight="true" outlineLevel="0" collapsed="false">
      <c r="A67" s="53" t="n">
        <v>63</v>
      </c>
      <c r="B67" s="54" t="s">
        <v>776</v>
      </c>
      <c r="C67" s="55" t="s">
        <v>777</v>
      </c>
      <c r="D67" s="28" t="s">
        <v>791</v>
      </c>
      <c r="E67" s="10" t="s">
        <v>527</v>
      </c>
      <c r="F67" s="10" t="s">
        <v>792</v>
      </c>
      <c r="G67" s="42" t="n">
        <v>127</v>
      </c>
      <c r="H67" s="42" t="n">
        <v>6</v>
      </c>
      <c r="I67" s="43" t="n">
        <f aca="false">IFERROR(H67/G67,0)</f>
        <v>0.047244094488189</v>
      </c>
      <c r="J67" s="44" t="n">
        <v>8.7</v>
      </c>
      <c r="K67" s="44" t="n">
        <v>8.6</v>
      </c>
      <c r="L67" s="44" t="n">
        <v>0.05</v>
      </c>
      <c r="M67" s="44" t="n">
        <v>0.11</v>
      </c>
      <c r="N67" s="45" t="s">
        <v>339</v>
      </c>
      <c r="O67" s="42" t="n">
        <f aca="false">M67*30</f>
        <v>3.3</v>
      </c>
      <c r="P67" s="46" t="n">
        <v>3.6</v>
      </c>
      <c r="Q67" s="43" t="n">
        <v>0.0297</v>
      </c>
      <c r="R67" s="43" t="n">
        <f aca="false">IF(K67="",0,INDEX(目次・前提!$B$35:$B$54,MIN(20,MAX(1,ROUND(K67,0)))))</f>
        <v>0.04</v>
      </c>
      <c r="S67" s="42" t="n">
        <f aca="false">MAX(0,P67*30*(R67-Q67))</f>
        <v>1.1124</v>
      </c>
      <c r="T67" s="10" t="s">
        <v>416</v>
      </c>
      <c r="U67" s="28" t="s">
        <v>793</v>
      </c>
      <c r="V67" s="13" t="s">
        <v>348</v>
      </c>
      <c r="W67" s="10" t="s">
        <v>794</v>
      </c>
      <c r="X67" s="10" t="s">
        <v>795</v>
      </c>
      <c r="Y67" s="10" t="s">
        <v>593</v>
      </c>
      <c r="Z67" s="10" t="s">
        <v>796</v>
      </c>
      <c r="AA67" s="28" t="s">
        <v>550</v>
      </c>
      <c r="AB67" s="13" t="s">
        <v>366</v>
      </c>
      <c r="AC67" s="13" t="s">
        <v>588</v>
      </c>
    </row>
    <row r="68" customFormat="false" ht="90" hidden="false" customHeight="true" outlineLevel="0" collapsed="false">
      <c r="A68" s="53" t="n">
        <v>64</v>
      </c>
      <c r="B68" s="54" t="s">
        <v>776</v>
      </c>
      <c r="C68" s="55" t="s">
        <v>777</v>
      </c>
      <c r="D68" s="28" t="s">
        <v>797</v>
      </c>
      <c r="E68" s="10" t="s">
        <v>236</v>
      </c>
      <c r="F68" s="10" t="s">
        <v>798</v>
      </c>
      <c r="G68" s="42" t="n">
        <v>119</v>
      </c>
      <c r="H68" s="42" t="n">
        <v>4</v>
      </c>
      <c r="I68" s="43" t="n">
        <f aca="false">IFERROR(H68/G68,0)</f>
        <v>0.0336134453781513</v>
      </c>
      <c r="J68" s="44" t="n">
        <v>10.3</v>
      </c>
      <c r="K68" s="44" t="n">
        <v>7.9</v>
      </c>
      <c r="L68" s="44" t="n">
        <v>0.03</v>
      </c>
      <c r="M68" s="44" t="n">
        <v>0.07</v>
      </c>
      <c r="N68" s="45" t="s">
        <v>339</v>
      </c>
      <c r="O68" s="42" t="n">
        <f aca="false">M68*30</f>
        <v>2.1</v>
      </c>
      <c r="P68" s="46" t="n">
        <v>1.7</v>
      </c>
      <c r="Q68" s="43" t="n">
        <v>0.0426</v>
      </c>
      <c r="R68" s="43" t="n">
        <f aca="false">IF(K68="",0,INDEX(目次・前提!$B$35:$B$54,MIN(20,MAX(1,ROUND(K68,0)))))</f>
        <v>0.045</v>
      </c>
      <c r="S68" s="42" t="n">
        <f aca="false">MAX(0,P68*30*(R68-Q68))</f>
        <v>0.1224</v>
      </c>
      <c r="T68" s="10" t="s">
        <v>799</v>
      </c>
      <c r="U68" s="10" t="s">
        <v>800</v>
      </c>
      <c r="V68" s="13" t="s">
        <v>348</v>
      </c>
      <c r="W68" s="10" t="s">
        <v>801</v>
      </c>
      <c r="X68" s="10" t="s">
        <v>802</v>
      </c>
      <c r="Y68" s="10" t="s">
        <v>803</v>
      </c>
      <c r="Z68" s="10" t="s">
        <v>804</v>
      </c>
      <c r="AA68" s="10" t="s">
        <v>632</v>
      </c>
      <c r="AB68" s="13" t="s">
        <v>366</v>
      </c>
      <c r="AC68" s="13" t="s">
        <v>588</v>
      </c>
    </row>
    <row r="69" customFormat="false" ht="90" hidden="false" customHeight="true" outlineLevel="0" collapsed="false">
      <c r="A69" s="53" t="n">
        <v>65</v>
      </c>
      <c r="B69" s="54" t="s">
        <v>776</v>
      </c>
      <c r="C69" s="55" t="s">
        <v>777</v>
      </c>
      <c r="D69" s="28" t="s">
        <v>805</v>
      </c>
      <c r="E69" s="10" t="s">
        <v>228</v>
      </c>
      <c r="F69" s="10" t="s">
        <v>706</v>
      </c>
      <c r="G69" s="42" t="n">
        <v>328</v>
      </c>
      <c r="H69" s="42" t="n">
        <v>4</v>
      </c>
      <c r="I69" s="43" t="n">
        <f aca="false">IFERROR(H69/G69,0)</f>
        <v>0.0121951219512195</v>
      </c>
      <c r="J69" s="44" t="n">
        <v>27.3</v>
      </c>
      <c r="K69" s="44" t="n">
        <v>26.7</v>
      </c>
      <c r="L69" s="44" t="n">
        <v>0.03</v>
      </c>
      <c r="M69" s="44" t="n">
        <v>0.07</v>
      </c>
      <c r="N69" s="45" t="s">
        <v>339</v>
      </c>
      <c r="O69" s="42" t="n">
        <f aca="false">M69*30</f>
        <v>2.1</v>
      </c>
      <c r="P69" s="46" t="n">
        <v>3.8</v>
      </c>
      <c r="Q69" s="43" t="n">
        <v>0.0189</v>
      </c>
      <c r="R69" s="43" t="n">
        <f aca="false">IF(K69="",0,INDEX(目次・前提!$B$35:$B$54,MIN(20,MAX(1,ROUND(K69,0)))))</f>
        <v>0.012</v>
      </c>
      <c r="S69" s="42" t="n">
        <f aca="false">MAX(0,P69*30*(R69-Q69))</f>
        <v>0</v>
      </c>
      <c r="T69" s="10" t="s">
        <v>806</v>
      </c>
      <c r="U69" s="10" t="s">
        <v>807</v>
      </c>
      <c r="V69" s="13" t="s">
        <v>348</v>
      </c>
      <c r="W69" s="10" t="s">
        <v>808</v>
      </c>
      <c r="X69" s="10" t="s">
        <v>809</v>
      </c>
      <c r="Y69" s="28" t="s">
        <v>616</v>
      </c>
      <c r="Z69" s="10" t="s">
        <v>579</v>
      </c>
      <c r="AA69" s="10" t="s">
        <v>347</v>
      </c>
      <c r="AB69" s="13" t="s">
        <v>366</v>
      </c>
      <c r="AC69" s="13" t="s">
        <v>588</v>
      </c>
    </row>
    <row r="70" customFormat="false" ht="90" hidden="false" customHeight="true" outlineLevel="0" collapsed="false">
      <c r="A70" s="53" t="n">
        <v>66</v>
      </c>
      <c r="B70" s="54" t="s">
        <v>776</v>
      </c>
      <c r="C70" s="55" t="s">
        <v>777</v>
      </c>
      <c r="D70" s="28" t="s">
        <v>810</v>
      </c>
      <c r="E70" s="10" t="s">
        <v>224</v>
      </c>
      <c r="F70" s="10" t="s">
        <v>779</v>
      </c>
      <c r="G70" s="42" t="n">
        <v>233</v>
      </c>
      <c r="H70" s="42" t="n">
        <v>2</v>
      </c>
      <c r="I70" s="43" t="n">
        <f aca="false">IFERROR(H70/G70,0)</f>
        <v>0.00858369098712446</v>
      </c>
      <c r="J70" s="44" t="n">
        <v>7.8</v>
      </c>
      <c r="K70" s="44" t="n">
        <v>7.8</v>
      </c>
      <c r="L70" s="44" t="n">
        <v>0</v>
      </c>
      <c r="M70" s="44" t="n">
        <v>0.07</v>
      </c>
      <c r="N70" s="45" t="s">
        <v>432</v>
      </c>
      <c r="O70" s="42" t="n">
        <f aca="false">M70*30</f>
        <v>2.1</v>
      </c>
      <c r="P70" s="46" t="n">
        <v>8.3</v>
      </c>
      <c r="Q70" s="43" t="n">
        <v>0.0086</v>
      </c>
      <c r="R70" s="43" t="n">
        <f aca="false">IF(K70="",0,INDEX(目次・前提!$B$35:$B$54,MIN(20,MAX(1,ROUND(K70,0)))))</f>
        <v>0.045</v>
      </c>
      <c r="S70" s="42" t="n">
        <f aca="false">MAX(0,P70*30*(R70-Q70))</f>
        <v>9.0636</v>
      </c>
      <c r="T70" s="10" t="s">
        <v>416</v>
      </c>
      <c r="U70" s="28" t="s">
        <v>811</v>
      </c>
      <c r="V70" s="13" t="s">
        <v>372</v>
      </c>
      <c r="W70" s="10" t="s">
        <v>373</v>
      </c>
      <c r="X70" s="10" t="s">
        <v>812</v>
      </c>
      <c r="Y70" s="28" t="s">
        <v>813</v>
      </c>
      <c r="Z70" s="10" t="s">
        <v>814</v>
      </c>
      <c r="AA70" s="10" t="s">
        <v>784</v>
      </c>
      <c r="AB70" s="13" t="s">
        <v>366</v>
      </c>
      <c r="AC70" s="13" t="s">
        <v>588</v>
      </c>
    </row>
    <row r="71" customFormat="false" ht="90" hidden="false" customHeight="true" outlineLevel="0" collapsed="false">
      <c r="A71" s="53" t="n">
        <v>67</v>
      </c>
      <c r="B71" s="54" t="s">
        <v>776</v>
      </c>
      <c r="C71" s="55" t="s">
        <v>777</v>
      </c>
      <c r="D71" s="28" t="s">
        <v>815</v>
      </c>
      <c r="E71" s="10" t="s">
        <v>236</v>
      </c>
      <c r="F71" s="10" t="s">
        <v>816</v>
      </c>
      <c r="G71" s="42" t="n">
        <v>213</v>
      </c>
      <c r="H71" s="42" t="n">
        <v>0</v>
      </c>
      <c r="I71" s="43" t="n">
        <f aca="false">IFERROR(H71/G71,0)</f>
        <v>0</v>
      </c>
      <c r="J71" s="44" t="n">
        <v>22.2</v>
      </c>
      <c r="K71" s="44" t="n">
        <v>23.4</v>
      </c>
      <c r="L71" s="44" t="n">
        <v>0</v>
      </c>
      <c r="M71" s="44" t="n">
        <v>0</v>
      </c>
      <c r="N71" s="45" t="s">
        <v>339</v>
      </c>
      <c r="O71" s="42" t="n">
        <f aca="false">M71*30</f>
        <v>0</v>
      </c>
      <c r="P71" s="46" t="n">
        <v>4.7</v>
      </c>
      <c r="Q71" s="43" t="n">
        <v>0</v>
      </c>
      <c r="R71" s="43" t="n">
        <f aca="false">IF(K71="",0,INDEX(目次・前提!$B$35:$B$54,MIN(20,MAX(1,ROUND(K71,0)))))</f>
        <v>0.012</v>
      </c>
      <c r="S71" s="42" t="n">
        <f aca="false">MAX(0,P71*30*(R71-Q71))</f>
        <v>1.692</v>
      </c>
      <c r="T71" s="10" t="s">
        <v>817</v>
      </c>
      <c r="U71" s="10" t="s">
        <v>818</v>
      </c>
      <c r="V71" s="13" t="s">
        <v>348</v>
      </c>
      <c r="W71" s="10" t="s">
        <v>819</v>
      </c>
      <c r="X71" s="10" t="s">
        <v>820</v>
      </c>
      <c r="Y71" s="10" t="s">
        <v>821</v>
      </c>
      <c r="Z71" s="10" t="s">
        <v>587</v>
      </c>
      <c r="AA71" s="10" t="s">
        <v>386</v>
      </c>
      <c r="AB71" s="13" t="s">
        <v>366</v>
      </c>
      <c r="AC71" s="13" t="s">
        <v>588</v>
      </c>
    </row>
    <row r="72" customFormat="false" ht="150" hidden="false" customHeight="true" outlineLevel="0" collapsed="false">
      <c r="A72" s="53" t="n">
        <v>68</v>
      </c>
      <c r="B72" s="54" t="s">
        <v>776</v>
      </c>
      <c r="C72" s="55" t="s">
        <v>777</v>
      </c>
      <c r="D72" s="28" t="s">
        <v>822</v>
      </c>
      <c r="E72" s="10" t="s">
        <v>228</v>
      </c>
      <c r="F72" s="10" t="s">
        <v>565</v>
      </c>
      <c r="G72" s="42" t="n">
        <v>1267</v>
      </c>
      <c r="H72" s="42" t="n">
        <v>32</v>
      </c>
      <c r="I72" s="43" t="n">
        <f aca="false">IFERROR(H72/G72,0)</f>
        <v>0.0252565114443567</v>
      </c>
      <c r="J72" s="44" t="n">
        <v>7.2</v>
      </c>
      <c r="K72" s="44" t="n">
        <v>7.6</v>
      </c>
      <c r="L72" s="44" t="n">
        <v>0.33</v>
      </c>
      <c r="M72" s="44" t="n">
        <v>0.39</v>
      </c>
      <c r="N72" s="45" t="s">
        <v>339</v>
      </c>
      <c r="O72" s="42" t="n">
        <f aca="false">M72*30</f>
        <v>11.7</v>
      </c>
      <c r="P72" s="46" t="n">
        <v>13.5</v>
      </c>
      <c r="Q72" s="43" t="n">
        <v>0.029</v>
      </c>
      <c r="R72" s="43" t="n">
        <f aca="false">IF(K72="",0,INDEX(目次・前提!$B$35:$B$54,MIN(20,MAX(1,ROUND(K72,0)))))</f>
        <v>0.045</v>
      </c>
      <c r="S72" s="42" t="n">
        <f aca="false">MAX(0,P72*30*(R72-Q72))</f>
        <v>6.48</v>
      </c>
      <c r="T72" s="10" t="s">
        <v>823</v>
      </c>
      <c r="U72" s="28" t="s">
        <v>824</v>
      </c>
      <c r="V72" s="13" t="s">
        <v>366</v>
      </c>
      <c r="W72" s="10" t="s">
        <v>825</v>
      </c>
      <c r="X72" s="10" t="s">
        <v>826</v>
      </c>
      <c r="Y72" s="10" t="s">
        <v>827</v>
      </c>
      <c r="Z72" s="10" t="s">
        <v>828</v>
      </c>
      <c r="AA72" s="10" t="s">
        <v>347</v>
      </c>
      <c r="AB72" s="13" t="s">
        <v>366</v>
      </c>
      <c r="AC72" s="13" t="s">
        <v>349</v>
      </c>
    </row>
    <row r="73" customFormat="false" ht="90" hidden="false" customHeight="true" outlineLevel="0" collapsed="false">
      <c r="A73" s="53" t="n">
        <v>69</v>
      </c>
      <c r="B73" s="54" t="s">
        <v>776</v>
      </c>
      <c r="C73" s="55" t="s">
        <v>777</v>
      </c>
      <c r="D73" s="28" t="s">
        <v>829</v>
      </c>
      <c r="E73" s="28" t="s">
        <v>232</v>
      </c>
      <c r="F73" s="28" t="s">
        <v>728</v>
      </c>
      <c r="G73" s="42" t="n">
        <v>696</v>
      </c>
      <c r="H73" s="42" t="n">
        <v>10</v>
      </c>
      <c r="I73" s="43" t="n">
        <f aca="false">IFERROR(H73/G73,0)</f>
        <v>0.014367816091954</v>
      </c>
      <c r="J73" s="44" t="n">
        <v>20.1</v>
      </c>
      <c r="K73" s="44" t="n">
        <v>18.9</v>
      </c>
      <c r="L73" s="44" t="n">
        <v>0.14</v>
      </c>
      <c r="M73" s="44" t="n">
        <v>0.04</v>
      </c>
      <c r="N73" s="45" t="s">
        <v>339</v>
      </c>
      <c r="O73" s="42" t="n">
        <f aca="false">M73*30</f>
        <v>1.2</v>
      </c>
      <c r="P73" s="46" t="n">
        <v>7.2</v>
      </c>
      <c r="Q73" s="43" t="n">
        <v>0.005</v>
      </c>
      <c r="R73" s="43" t="n">
        <f aca="false">IF(K73="",0,INDEX(目次・前提!$B$35:$B$54,MIN(20,MAX(1,ROUND(K73,0)))))</f>
        <v>0.012</v>
      </c>
      <c r="S73" s="42" t="n">
        <f aca="false">MAX(0,P73*30*(R73-Q73))</f>
        <v>1.512</v>
      </c>
      <c r="T73" s="28" t="s">
        <v>830</v>
      </c>
      <c r="U73" s="10" t="s">
        <v>831</v>
      </c>
      <c r="V73" s="13" t="s">
        <v>348</v>
      </c>
      <c r="W73" s="10" t="s">
        <v>832</v>
      </c>
      <c r="X73" s="10" t="s">
        <v>833</v>
      </c>
      <c r="Y73" s="10" t="s">
        <v>834</v>
      </c>
      <c r="Z73" s="10" t="s">
        <v>652</v>
      </c>
      <c r="AA73" s="10" t="s">
        <v>395</v>
      </c>
      <c r="AB73" s="13" t="s">
        <v>348</v>
      </c>
      <c r="AC73" s="13" t="s">
        <v>588</v>
      </c>
    </row>
    <row r="74" customFormat="false" ht="90" hidden="false" customHeight="true" outlineLevel="0" collapsed="false">
      <c r="A74" s="53" t="n">
        <v>70</v>
      </c>
      <c r="B74" s="54" t="s">
        <v>776</v>
      </c>
      <c r="C74" s="55" t="s">
        <v>777</v>
      </c>
      <c r="D74" s="28" t="s">
        <v>835</v>
      </c>
      <c r="E74" s="28" t="s">
        <v>232</v>
      </c>
      <c r="F74" s="28" t="s">
        <v>625</v>
      </c>
      <c r="G74" s="42" t="n">
        <v>180</v>
      </c>
      <c r="H74" s="42" t="n">
        <v>4</v>
      </c>
      <c r="I74" s="43" t="n">
        <f aca="false">IFERROR(H74/G74,0)</f>
        <v>0.0222222222222222</v>
      </c>
      <c r="J74" s="44" t="n">
        <v>23.6</v>
      </c>
      <c r="K74" s="44" t="n">
        <v>6.7</v>
      </c>
      <c r="L74" s="44" t="n">
        <v>0.03</v>
      </c>
      <c r="M74" s="44" t="n">
        <v>0.07</v>
      </c>
      <c r="N74" s="45" t="s">
        <v>339</v>
      </c>
      <c r="O74" s="42" t="n">
        <f aca="false">M74*30</f>
        <v>2.1</v>
      </c>
      <c r="P74" s="46" t="n">
        <v>0.8</v>
      </c>
      <c r="Q74" s="43" t="n">
        <v>0.087</v>
      </c>
      <c r="R74" s="43" t="n">
        <f aca="false">IF(K74="",0,INDEX(目次・前提!$B$35:$B$54,MIN(20,MAX(1,ROUND(K74,0)))))</f>
        <v>0.05</v>
      </c>
      <c r="S74" s="42" t="n">
        <f aca="false">MAX(0,P74*30*(R74-Q74))</f>
        <v>0</v>
      </c>
      <c r="T74" s="10" t="s">
        <v>416</v>
      </c>
      <c r="U74" s="10" t="s">
        <v>836</v>
      </c>
      <c r="V74" s="13" t="s">
        <v>348</v>
      </c>
      <c r="W74" s="10" t="s">
        <v>837</v>
      </c>
      <c r="X74" s="10" t="s">
        <v>838</v>
      </c>
      <c r="Y74" s="28" t="s">
        <v>616</v>
      </c>
      <c r="Z74" s="10" t="s">
        <v>579</v>
      </c>
      <c r="AA74" s="10" t="s">
        <v>632</v>
      </c>
      <c r="AB74" s="13" t="s">
        <v>366</v>
      </c>
      <c r="AC74" s="13" t="s">
        <v>588</v>
      </c>
    </row>
    <row r="75" customFormat="false" ht="90" hidden="false" customHeight="true" outlineLevel="0" collapsed="false">
      <c r="A75" s="53" t="n">
        <v>71</v>
      </c>
      <c r="B75" s="54" t="s">
        <v>776</v>
      </c>
      <c r="C75" s="55" t="s">
        <v>777</v>
      </c>
      <c r="D75" s="28" t="s">
        <v>839</v>
      </c>
      <c r="E75" s="10" t="s">
        <v>236</v>
      </c>
      <c r="F75" s="10" t="s">
        <v>798</v>
      </c>
      <c r="G75" s="42" t="n">
        <v>237</v>
      </c>
      <c r="H75" s="42" t="n">
        <v>2</v>
      </c>
      <c r="I75" s="43" t="n">
        <f aca="false">IFERROR(H75/G75,0)</f>
        <v>0.00843881856540084</v>
      </c>
      <c r="J75" s="44" t="n">
        <v>35</v>
      </c>
      <c r="K75" s="44" t="n">
        <v>10</v>
      </c>
      <c r="L75" s="44" t="n">
        <v>0.02</v>
      </c>
      <c r="M75" s="44" t="n">
        <v>0.04</v>
      </c>
      <c r="N75" s="45" t="s">
        <v>339</v>
      </c>
      <c r="O75" s="42" t="n">
        <f aca="false">M75*30</f>
        <v>1.2</v>
      </c>
      <c r="P75" s="46" t="n">
        <v>0</v>
      </c>
      <c r="Q75" s="43" t="n">
        <v>1</v>
      </c>
      <c r="R75" s="43" t="n">
        <f aca="false">IF(K75="",0,INDEX(目次・前提!$B$35:$B$54,MIN(20,MAX(1,ROUND(K75,0)))))</f>
        <v>0.035</v>
      </c>
      <c r="S75" s="42" t="n">
        <f aca="false">MAX(0,P75*30*(R75-Q75))</f>
        <v>-0</v>
      </c>
      <c r="T75" s="10" t="s">
        <v>840</v>
      </c>
      <c r="U75" s="10" t="s">
        <v>841</v>
      </c>
      <c r="V75" s="13" t="s">
        <v>348</v>
      </c>
      <c r="W75" s="10" t="s">
        <v>842</v>
      </c>
      <c r="X75" s="10" t="s">
        <v>843</v>
      </c>
      <c r="Y75" s="10" t="s">
        <v>844</v>
      </c>
      <c r="Z75" s="10" t="s">
        <v>587</v>
      </c>
      <c r="AA75" s="10" t="s">
        <v>386</v>
      </c>
      <c r="AB75" s="13" t="s">
        <v>366</v>
      </c>
      <c r="AC75" s="13" t="s">
        <v>588</v>
      </c>
    </row>
    <row r="76" customFormat="false" ht="90" hidden="false" customHeight="true" outlineLevel="0" collapsed="false">
      <c r="A76" s="53" t="n">
        <v>72</v>
      </c>
      <c r="B76" s="54" t="s">
        <v>776</v>
      </c>
      <c r="C76" s="55" t="s">
        <v>777</v>
      </c>
      <c r="D76" s="28" t="s">
        <v>845</v>
      </c>
      <c r="E76" s="28" t="s">
        <v>535</v>
      </c>
      <c r="F76" s="28" t="s">
        <v>714</v>
      </c>
      <c r="G76" s="42" t="n">
        <v>191</v>
      </c>
      <c r="H76" s="42" t="n">
        <v>4</v>
      </c>
      <c r="I76" s="43" t="n">
        <f aca="false">IFERROR(H76/G76,0)</f>
        <v>0.0209424083769634</v>
      </c>
      <c r="J76" s="44" t="n">
        <v>15.5</v>
      </c>
      <c r="K76" s="44" t="n">
        <v>8.6</v>
      </c>
      <c r="L76" s="44" t="n">
        <v>0.05</v>
      </c>
      <c r="M76" s="44" t="n">
        <v>0.04</v>
      </c>
      <c r="N76" s="45" t="s">
        <v>339</v>
      </c>
      <c r="O76" s="42" t="n">
        <f aca="false">M76*30</f>
        <v>1.2</v>
      </c>
      <c r="P76" s="46" t="n">
        <v>1</v>
      </c>
      <c r="Q76" s="43" t="n">
        <v>0.0345</v>
      </c>
      <c r="R76" s="43" t="n">
        <f aca="false">IF(K76="",0,INDEX(目次・前提!$B$35:$B$54,MIN(20,MAX(1,ROUND(K76,0)))))</f>
        <v>0.04</v>
      </c>
      <c r="S76" s="42" t="n">
        <f aca="false">MAX(0,P76*30*(R76-Q76))</f>
        <v>0.165</v>
      </c>
      <c r="T76" s="28" t="s">
        <v>846</v>
      </c>
      <c r="U76" s="10" t="s">
        <v>847</v>
      </c>
      <c r="V76" s="13" t="s">
        <v>348</v>
      </c>
      <c r="W76" s="10" t="s">
        <v>848</v>
      </c>
      <c r="X76" s="10" t="s">
        <v>849</v>
      </c>
      <c r="Y76" s="10" t="s">
        <v>850</v>
      </c>
      <c r="Z76" s="10" t="s">
        <v>685</v>
      </c>
      <c r="AA76" s="10" t="s">
        <v>395</v>
      </c>
      <c r="AB76" s="13" t="s">
        <v>366</v>
      </c>
      <c r="AC76" s="13" t="s">
        <v>588</v>
      </c>
    </row>
    <row r="77" customFormat="false" ht="90" hidden="false" customHeight="true" outlineLevel="0" collapsed="false">
      <c r="A77" s="53" t="n">
        <v>73</v>
      </c>
      <c r="B77" s="54" t="s">
        <v>776</v>
      </c>
      <c r="C77" s="55" t="s">
        <v>777</v>
      </c>
      <c r="D77" s="28" t="s">
        <v>851</v>
      </c>
      <c r="E77" s="28" t="s">
        <v>535</v>
      </c>
      <c r="F77" s="28" t="s">
        <v>714</v>
      </c>
      <c r="G77" s="42" t="n">
        <v>388</v>
      </c>
      <c r="H77" s="42" t="n">
        <v>2</v>
      </c>
      <c r="I77" s="43" t="n">
        <f aca="false">IFERROR(H77/G77,0)</f>
        <v>0.00515463917525773</v>
      </c>
      <c r="J77" s="44" t="n">
        <v>32.8</v>
      </c>
      <c r="K77" s="44" t="n">
        <v>24.2</v>
      </c>
      <c r="L77" s="44" t="n">
        <v>0.02</v>
      </c>
      <c r="M77" s="44" t="n">
        <v>0.04</v>
      </c>
      <c r="N77" s="45" t="s">
        <v>339</v>
      </c>
      <c r="O77" s="42" t="n">
        <f aca="false">M77*30</f>
        <v>1.2</v>
      </c>
      <c r="P77" s="46" t="n">
        <v>3.2</v>
      </c>
      <c r="Q77" s="43" t="n">
        <v>0.0112</v>
      </c>
      <c r="R77" s="43" t="n">
        <f aca="false">IF(K77="",0,INDEX(目次・前提!$B$35:$B$54,MIN(20,MAX(1,ROUND(K77,0)))))</f>
        <v>0.012</v>
      </c>
      <c r="S77" s="42" t="n">
        <f aca="false">MAX(0,P77*30*(R77-Q77))</f>
        <v>0.0768</v>
      </c>
      <c r="T77" s="28" t="s">
        <v>852</v>
      </c>
      <c r="U77" s="10" t="s">
        <v>853</v>
      </c>
      <c r="V77" s="13" t="s">
        <v>348</v>
      </c>
      <c r="W77" s="10" t="s">
        <v>854</v>
      </c>
      <c r="X77" s="10" t="s">
        <v>855</v>
      </c>
      <c r="Y77" s="10" t="s">
        <v>856</v>
      </c>
      <c r="Z77" s="10" t="s">
        <v>685</v>
      </c>
      <c r="AA77" s="10" t="s">
        <v>395</v>
      </c>
      <c r="AB77" s="13" t="s">
        <v>348</v>
      </c>
      <c r="AC77" s="13" t="s">
        <v>588</v>
      </c>
    </row>
    <row r="78" customFormat="false" ht="90" hidden="false" customHeight="true" outlineLevel="0" collapsed="false">
      <c r="A78" s="53" t="n">
        <v>74</v>
      </c>
      <c r="B78" s="54" t="s">
        <v>776</v>
      </c>
      <c r="C78" s="55" t="s">
        <v>777</v>
      </c>
      <c r="D78" s="28" t="s">
        <v>857</v>
      </c>
      <c r="E78" s="28" t="s">
        <v>535</v>
      </c>
      <c r="F78" s="10" t="s">
        <v>721</v>
      </c>
      <c r="G78" s="42" t="n">
        <v>326</v>
      </c>
      <c r="H78" s="42" t="n">
        <v>0</v>
      </c>
      <c r="I78" s="43" t="n">
        <f aca="false">IFERROR(H78/G78,0)</f>
        <v>0</v>
      </c>
      <c r="J78" s="44" t="n">
        <v>24.5</v>
      </c>
      <c r="K78" s="44" t="n">
        <v>20.6</v>
      </c>
      <c r="L78" s="44" t="n">
        <v>0</v>
      </c>
      <c r="M78" s="44" t="n">
        <v>0</v>
      </c>
      <c r="N78" s="45" t="s">
        <v>339</v>
      </c>
      <c r="O78" s="42" t="n">
        <f aca="false">M78*30</f>
        <v>0</v>
      </c>
      <c r="P78" s="46" t="n">
        <v>2.8</v>
      </c>
      <c r="Q78" s="43" t="n">
        <v>0</v>
      </c>
      <c r="R78" s="43" t="n">
        <f aca="false">IF(K78="",0,INDEX(目次・前提!$B$35:$B$54,MIN(20,MAX(1,ROUND(K78,0)))))</f>
        <v>0.012</v>
      </c>
      <c r="S78" s="42" t="n">
        <f aca="false">MAX(0,P78*30*(R78-Q78))</f>
        <v>1.008</v>
      </c>
      <c r="T78" s="10" t="s">
        <v>416</v>
      </c>
      <c r="U78" s="10" t="s">
        <v>858</v>
      </c>
      <c r="V78" s="13" t="s">
        <v>348</v>
      </c>
      <c r="W78" s="10" t="s">
        <v>859</v>
      </c>
      <c r="X78" s="10" t="s">
        <v>860</v>
      </c>
      <c r="Y78" s="28" t="s">
        <v>616</v>
      </c>
      <c r="Z78" s="10" t="s">
        <v>579</v>
      </c>
      <c r="AA78" s="10" t="s">
        <v>395</v>
      </c>
      <c r="AB78" s="13" t="s">
        <v>366</v>
      </c>
      <c r="AC78" s="13" t="s">
        <v>588</v>
      </c>
    </row>
    <row r="79" customFormat="false" ht="150" hidden="false" customHeight="true" outlineLevel="0" collapsed="false">
      <c r="A79" s="53" t="n">
        <v>75</v>
      </c>
      <c r="B79" s="54" t="s">
        <v>776</v>
      </c>
      <c r="C79" s="55" t="s">
        <v>777</v>
      </c>
      <c r="D79" s="28" t="s">
        <v>861</v>
      </c>
      <c r="E79" s="10" t="s">
        <v>236</v>
      </c>
      <c r="F79" s="10" t="s">
        <v>862</v>
      </c>
      <c r="G79" s="42" t="n">
        <v>484</v>
      </c>
      <c r="H79" s="42" t="n">
        <v>0</v>
      </c>
      <c r="I79" s="43" t="n">
        <f aca="false">IFERROR(H79/G79,0)</f>
        <v>0</v>
      </c>
      <c r="J79" s="44" t="n">
        <v>5.4</v>
      </c>
      <c r="K79" s="44" t="n">
        <v>5.7</v>
      </c>
      <c r="L79" s="44" t="n">
        <v>0</v>
      </c>
      <c r="M79" s="44" t="n">
        <v>0</v>
      </c>
      <c r="N79" s="45" t="s">
        <v>490</v>
      </c>
      <c r="O79" s="42" t="n">
        <f aca="false">M79*30</f>
        <v>0</v>
      </c>
      <c r="P79" s="46" t="n">
        <v>9.2</v>
      </c>
      <c r="Q79" s="43" t="n">
        <v>0</v>
      </c>
      <c r="R79" s="43" t="n">
        <f aca="false">IF(K79="",0,INDEX(目次・前提!$B$35:$B$54,MIN(20,MAX(1,ROUND(K79,0)))))</f>
        <v>0.06</v>
      </c>
      <c r="S79" s="42" t="n">
        <f aca="false">MAX(0,P79*30*(R79-Q79))</f>
        <v>16.56</v>
      </c>
      <c r="T79" s="10" t="s">
        <v>416</v>
      </c>
      <c r="U79" s="28" t="s">
        <v>863</v>
      </c>
      <c r="V79" s="13" t="s">
        <v>372</v>
      </c>
      <c r="W79" s="10" t="s">
        <v>373</v>
      </c>
      <c r="X79" s="28" t="s">
        <v>864</v>
      </c>
      <c r="Y79" s="10" t="s">
        <v>865</v>
      </c>
      <c r="Z79" s="10" t="s">
        <v>866</v>
      </c>
      <c r="AA79" s="10" t="s">
        <v>386</v>
      </c>
      <c r="AB79" s="13" t="s">
        <v>366</v>
      </c>
      <c r="AC79" s="13" t="s">
        <v>349</v>
      </c>
    </row>
    <row r="80" customFormat="false" ht="90" hidden="false" customHeight="true" outlineLevel="0" collapsed="false">
      <c r="A80" s="53" t="n">
        <v>76</v>
      </c>
      <c r="B80" s="54" t="s">
        <v>776</v>
      </c>
      <c r="C80" s="55" t="s">
        <v>777</v>
      </c>
      <c r="D80" s="28" t="s">
        <v>867</v>
      </c>
      <c r="E80" s="28" t="s">
        <v>535</v>
      </c>
      <c r="F80" s="28" t="s">
        <v>868</v>
      </c>
      <c r="G80" s="42" t="n">
        <v>639</v>
      </c>
      <c r="H80" s="42" t="n">
        <v>6</v>
      </c>
      <c r="I80" s="43" t="n">
        <f aca="false">IFERROR(H80/G80,0)</f>
        <v>0.00938967136150235</v>
      </c>
      <c r="J80" s="44" t="n">
        <v>9.3</v>
      </c>
      <c r="K80" s="44" t="n">
        <v>8.5</v>
      </c>
      <c r="L80" s="44" t="n">
        <v>0.05</v>
      </c>
      <c r="M80" s="44" t="n">
        <v>0.11</v>
      </c>
      <c r="N80" s="45" t="s">
        <v>490</v>
      </c>
      <c r="O80" s="42" t="n">
        <f aca="false">M80*30</f>
        <v>3.3</v>
      </c>
      <c r="P80" s="46" t="n">
        <v>13.2</v>
      </c>
      <c r="Q80" s="43" t="n">
        <v>0.0081</v>
      </c>
      <c r="R80" s="43" t="n">
        <f aca="false">IF(K80="",0,INDEX(目次・前提!$B$35:$B$54,MIN(20,MAX(1,ROUND(K80,0)))))</f>
        <v>0.04</v>
      </c>
      <c r="S80" s="42" t="n">
        <f aca="false">MAX(0,P80*30*(R80-Q80))</f>
        <v>12.6324</v>
      </c>
      <c r="T80" s="10" t="s">
        <v>416</v>
      </c>
      <c r="U80" s="28" t="s">
        <v>869</v>
      </c>
      <c r="V80" s="13" t="s">
        <v>366</v>
      </c>
      <c r="W80" s="10" t="s">
        <v>870</v>
      </c>
      <c r="X80" s="10" t="s">
        <v>812</v>
      </c>
      <c r="Y80" s="28" t="s">
        <v>813</v>
      </c>
      <c r="Z80" s="10" t="s">
        <v>871</v>
      </c>
      <c r="AA80" s="10" t="s">
        <v>386</v>
      </c>
      <c r="AB80" s="13" t="s">
        <v>348</v>
      </c>
      <c r="AC80" s="13" t="s">
        <v>588</v>
      </c>
    </row>
    <row r="81" customFormat="false" ht="90" hidden="false" customHeight="true" outlineLevel="0" collapsed="false">
      <c r="A81" s="53" t="n">
        <v>77</v>
      </c>
      <c r="B81" s="54" t="s">
        <v>776</v>
      </c>
      <c r="C81" s="55" t="s">
        <v>777</v>
      </c>
      <c r="D81" s="28" t="s">
        <v>872</v>
      </c>
      <c r="E81" s="10" t="s">
        <v>236</v>
      </c>
      <c r="F81" s="10" t="s">
        <v>873</v>
      </c>
      <c r="G81" s="42" t="n">
        <v>672</v>
      </c>
      <c r="H81" s="42" t="n">
        <v>33</v>
      </c>
      <c r="I81" s="43" t="n">
        <f aca="false">IFERROR(H81/G81,0)</f>
        <v>0.0491071428571429</v>
      </c>
      <c r="J81" s="44" t="n">
        <v>10.4</v>
      </c>
      <c r="K81" s="44" t="n">
        <v>10.3</v>
      </c>
      <c r="L81" s="44" t="n">
        <v>0.31</v>
      </c>
      <c r="M81" s="44" t="n">
        <v>0.46</v>
      </c>
      <c r="N81" s="45" t="s">
        <v>339</v>
      </c>
      <c r="O81" s="42" t="n">
        <f aca="false">M81*30</f>
        <v>13.8</v>
      </c>
      <c r="P81" s="46" t="n">
        <v>7.9</v>
      </c>
      <c r="Q81" s="43" t="n">
        <v>0.0588</v>
      </c>
      <c r="R81" s="43" t="n">
        <f aca="false">IF(K81="",0,INDEX(目次・前提!$B$35:$B$54,MIN(20,MAX(1,ROUND(K81,0)))))</f>
        <v>0.035</v>
      </c>
      <c r="S81" s="42" t="n">
        <f aca="false">MAX(0,P81*30*(R81-Q81))</f>
        <v>0</v>
      </c>
      <c r="T81" s="10" t="s">
        <v>874</v>
      </c>
      <c r="U81" s="10" t="s">
        <v>875</v>
      </c>
      <c r="V81" s="13" t="s">
        <v>372</v>
      </c>
      <c r="W81" s="10" t="s">
        <v>373</v>
      </c>
      <c r="X81" s="28" t="s">
        <v>876</v>
      </c>
      <c r="Y81" s="10" t="s">
        <v>877</v>
      </c>
      <c r="Z81" s="10" t="s">
        <v>587</v>
      </c>
      <c r="AA81" s="10" t="s">
        <v>386</v>
      </c>
      <c r="AB81" s="13" t="s">
        <v>348</v>
      </c>
      <c r="AC81" s="13" t="s">
        <v>588</v>
      </c>
    </row>
    <row r="82" customFormat="false" ht="90" hidden="false" customHeight="true" outlineLevel="0" collapsed="false">
      <c r="A82" s="53" t="n">
        <v>78</v>
      </c>
      <c r="B82" s="54" t="s">
        <v>776</v>
      </c>
      <c r="C82" s="55" t="s">
        <v>777</v>
      </c>
      <c r="D82" s="28" t="s">
        <v>878</v>
      </c>
      <c r="E82" s="28" t="s">
        <v>220</v>
      </c>
      <c r="F82" s="10" t="s">
        <v>699</v>
      </c>
      <c r="G82" s="42" t="n">
        <v>236</v>
      </c>
      <c r="H82" s="42" t="n">
        <v>2</v>
      </c>
      <c r="I82" s="43" t="n">
        <f aca="false">IFERROR(H82/G82,0)</f>
        <v>0.00847457627118644</v>
      </c>
      <c r="J82" s="44" t="n">
        <v>9.4</v>
      </c>
      <c r="K82" s="44" t="n">
        <v>9.4</v>
      </c>
      <c r="L82" s="44" t="n">
        <v>0</v>
      </c>
      <c r="M82" s="44" t="n">
        <v>0.07</v>
      </c>
      <c r="N82" s="45" t="s">
        <v>432</v>
      </c>
      <c r="O82" s="42" t="n">
        <f aca="false">M82*30</f>
        <v>2.1</v>
      </c>
      <c r="P82" s="46" t="n">
        <v>8.4</v>
      </c>
      <c r="Q82" s="43" t="n">
        <v>0.0085</v>
      </c>
      <c r="R82" s="43" t="n">
        <f aca="false">IF(K82="",0,INDEX(目次・前提!$B$35:$B$54,MIN(20,MAX(1,ROUND(K82,0)))))</f>
        <v>0.04</v>
      </c>
      <c r="S82" s="42" t="n">
        <f aca="false">MAX(0,P82*30*(R82-Q82))</f>
        <v>7.938</v>
      </c>
      <c r="T82" s="28" t="s">
        <v>879</v>
      </c>
      <c r="U82" s="28" t="s">
        <v>880</v>
      </c>
      <c r="V82" s="13" t="s">
        <v>372</v>
      </c>
      <c r="W82" s="10" t="s">
        <v>373</v>
      </c>
      <c r="X82" s="10" t="s">
        <v>881</v>
      </c>
      <c r="Y82" s="28" t="s">
        <v>882</v>
      </c>
      <c r="Z82" s="10" t="s">
        <v>704</v>
      </c>
      <c r="AA82" s="10" t="s">
        <v>386</v>
      </c>
      <c r="AB82" s="13" t="s">
        <v>366</v>
      </c>
      <c r="AC82" s="13" t="s">
        <v>588</v>
      </c>
    </row>
    <row r="83" customFormat="false" ht="90" hidden="false" customHeight="true" outlineLevel="0" collapsed="false">
      <c r="A83" s="53" t="n">
        <v>79</v>
      </c>
      <c r="B83" s="54" t="s">
        <v>776</v>
      </c>
      <c r="C83" s="55" t="s">
        <v>777</v>
      </c>
      <c r="D83" s="28" t="s">
        <v>883</v>
      </c>
      <c r="E83" s="28" t="s">
        <v>220</v>
      </c>
      <c r="F83" s="10" t="s">
        <v>884</v>
      </c>
      <c r="G83" s="42" t="n">
        <v>772</v>
      </c>
      <c r="H83" s="42" t="n">
        <v>14</v>
      </c>
      <c r="I83" s="43" t="n">
        <f aca="false">IFERROR(H83/G83,0)</f>
        <v>0.0181347150259067</v>
      </c>
      <c r="J83" s="44" t="n">
        <v>14.4</v>
      </c>
      <c r="K83" s="44" t="n">
        <v>14.1</v>
      </c>
      <c r="L83" s="44" t="n">
        <v>0.11</v>
      </c>
      <c r="M83" s="44" t="n">
        <v>0.25</v>
      </c>
      <c r="N83" s="45" t="s">
        <v>490</v>
      </c>
      <c r="O83" s="42" t="n">
        <f aca="false">M83*30</f>
        <v>7.5</v>
      </c>
      <c r="P83" s="46" t="n">
        <v>12.5</v>
      </c>
      <c r="Q83" s="43" t="n">
        <v>0.0201</v>
      </c>
      <c r="R83" s="43" t="n">
        <f aca="false">IF(K83="",0,INDEX(目次・前提!$B$35:$B$54,MIN(20,MAX(1,ROUND(K83,0)))))</f>
        <v>0.025</v>
      </c>
      <c r="S83" s="42" t="n">
        <f aca="false">MAX(0,P83*30*(R83-Q83))</f>
        <v>1.8375</v>
      </c>
      <c r="T83" s="10" t="s">
        <v>885</v>
      </c>
      <c r="U83" s="10" t="s">
        <v>886</v>
      </c>
      <c r="V83" s="13" t="s">
        <v>372</v>
      </c>
      <c r="W83" s="10" t="s">
        <v>373</v>
      </c>
      <c r="X83" s="28" t="s">
        <v>887</v>
      </c>
      <c r="Y83" s="10" t="s">
        <v>888</v>
      </c>
      <c r="Z83" s="10" t="s">
        <v>889</v>
      </c>
      <c r="AA83" s="28" t="s">
        <v>550</v>
      </c>
      <c r="AB83" s="13" t="s">
        <v>348</v>
      </c>
      <c r="AC83" s="13" t="s">
        <v>588</v>
      </c>
    </row>
    <row r="84" customFormat="false" ht="150" hidden="false" customHeight="true" outlineLevel="0" collapsed="false">
      <c r="A84" s="53" t="n">
        <v>80</v>
      </c>
      <c r="B84" s="54" t="s">
        <v>776</v>
      </c>
      <c r="C84" s="55" t="s">
        <v>777</v>
      </c>
      <c r="D84" s="28" t="s">
        <v>890</v>
      </c>
      <c r="E84" s="10" t="s">
        <v>228</v>
      </c>
      <c r="F84" s="10" t="s">
        <v>565</v>
      </c>
      <c r="G84" s="42" t="n">
        <v>1478</v>
      </c>
      <c r="H84" s="42" t="n">
        <v>59</v>
      </c>
      <c r="I84" s="43" t="n">
        <f aca="false">IFERROR(H84/G84,0)</f>
        <v>0.0399188092016238</v>
      </c>
      <c r="J84" s="44" t="n">
        <v>11.6</v>
      </c>
      <c r="K84" s="44" t="n">
        <v>9.5</v>
      </c>
      <c r="L84" s="44" t="n">
        <v>0.75</v>
      </c>
      <c r="M84" s="44" t="n">
        <v>0.39</v>
      </c>
      <c r="N84" s="45" t="s">
        <v>407</v>
      </c>
      <c r="O84" s="42" t="n">
        <f aca="false">M84*30</f>
        <v>11.7</v>
      </c>
      <c r="P84" s="46" t="n">
        <v>11.4</v>
      </c>
      <c r="Q84" s="43" t="n">
        <v>0.0346</v>
      </c>
      <c r="R84" s="43" t="n">
        <f aca="false">IF(K84="",0,INDEX(目次・前提!$B$35:$B$54,MIN(20,MAX(1,ROUND(K84,0)))))</f>
        <v>0.035</v>
      </c>
      <c r="S84" s="42" t="n">
        <f aca="false">MAX(0,P84*30*(R84-Q84))</f>
        <v>0.136800000000002</v>
      </c>
      <c r="T84" s="10" t="s">
        <v>891</v>
      </c>
      <c r="U84" s="10" t="s">
        <v>892</v>
      </c>
      <c r="V84" s="13" t="s">
        <v>366</v>
      </c>
      <c r="W84" s="10" t="s">
        <v>893</v>
      </c>
      <c r="X84" s="10" t="s">
        <v>894</v>
      </c>
      <c r="Y84" s="10" t="s">
        <v>895</v>
      </c>
      <c r="Z84" s="10" t="s">
        <v>896</v>
      </c>
      <c r="AA84" s="10" t="s">
        <v>347</v>
      </c>
      <c r="AB84" s="13" t="s">
        <v>366</v>
      </c>
      <c r="AC84" s="13" t="s">
        <v>349</v>
      </c>
    </row>
    <row r="85" customFormat="false" ht="90" hidden="false" customHeight="true" outlineLevel="0" collapsed="false">
      <c r="A85" s="53" t="n">
        <v>81</v>
      </c>
      <c r="B85" s="54" t="s">
        <v>776</v>
      </c>
      <c r="C85" s="55" t="s">
        <v>777</v>
      </c>
      <c r="D85" s="28" t="s">
        <v>897</v>
      </c>
      <c r="E85" s="10" t="s">
        <v>224</v>
      </c>
      <c r="F85" s="10" t="s">
        <v>779</v>
      </c>
      <c r="G85" s="42" t="n">
        <v>211</v>
      </c>
      <c r="H85" s="42" t="n">
        <v>1</v>
      </c>
      <c r="I85" s="43" t="n">
        <f aca="false">IFERROR(H85/G85,0)</f>
        <v>0.004739336492891</v>
      </c>
      <c r="J85" s="44" t="n">
        <v>12.6</v>
      </c>
      <c r="K85" s="44" t="n">
        <v>12.6</v>
      </c>
      <c r="L85" s="44" t="n">
        <v>0</v>
      </c>
      <c r="M85" s="44" t="n">
        <v>0.04</v>
      </c>
      <c r="N85" s="45" t="s">
        <v>432</v>
      </c>
      <c r="O85" s="42" t="n">
        <f aca="false">M85*30</f>
        <v>1.2</v>
      </c>
      <c r="P85" s="46" t="n">
        <v>7.5</v>
      </c>
      <c r="Q85" s="43" t="n">
        <v>0.0047</v>
      </c>
      <c r="R85" s="43" t="n">
        <f aca="false">IF(K85="",0,INDEX(目次・前提!$B$35:$B$54,MIN(20,MAX(1,ROUND(K85,0)))))</f>
        <v>0.025</v>
      </c>
      <c r="S85" s="42" t="n">
        <f aca="false">MAX(0,P85*30*(R85-Q85))</f>
        <v>4.5675</v>
      </c>
      <c r="T85" s="10" t="s">
        <v>416</v>
      </c>
      <c r="U85" s="10" t="s">
        <v>898</v>
      </c>
      <c r="V85" s="13" t="s">
        <v>372</v>
      </c>
      <c r="W85" s="10" t="s">
        <v>373</v>
      </c>
      <c r="X85" s="28" t="s">
        <v>899</v>
      </c>
      <c r="Y85" s="10" t="s">
        <v>586</v>
      </c>
      <c r="Z85" s="10" t="s">
        <v>814</v>
      </c>
      <c r="AA85" s="10" t="s">
        <v>900</v>
      </c>
      <c r="AB85" s="13" t="s">
        <v>366</v>
      </c>
      <c r="AC85" s="13" t="s">
        <v>588</v>
      </c>
    </row>
    <row r="86" customFormat="false" ht="150" hidden="false" customHeight="true" outlineLevel="0" collapsed="false">
      <c r="A86" s="53" t="n">
        <v>82</v>
      </c>
      <c r="B86" s="54" t="s">
        <v>776</v>
      </c>
      <c r="C86" s="55" t="s">
        <v>777</v>
      </c>
      <c r="D86" s="28" t="s">
        <v>901</v>
      </c>
      <c r="E86" s="10" t="s">
        <v>902</v>
      </c>
      <c r="F86" s="28" t="s">
        <v>903</v>
      </c>
      <c r="G86" s="42" t="n">
        <v>9</v>
      </c>
      <c r="H86" s="42" t="n">
        <v>0</v>
      </c>
      <c r="I86" s="43" t="n">
        <f aca="false">IFERROR(H86/G86,0)</f>
        <v>0</v>
      </c>
      <c r="J86" s="44" t="n">
        <v>2.8</v>
      </c>
      <c r="K86" s="44" t="n">
        <v>2</v>
      </c>
      <c r="L86" s="44" t="n">
        <v>0</v>
      </c>
      <c r="M86" s="44" t="n">
        <v>0</v>
      </c>
      <c r="N86" s="45" t="s">
        <v>904</v>
      </c>
      <c r="O86" s="42" t="n">
        <f aca="false">M86*30</f>
        <v>0</v>
      </c>
      <c r="P86" s="46" t="n">
        <v>0.1</v>
      </c>
      <c r="Q86" s="43" t="n">
        <v>0</v>
      </c>
      <c r="R86" s="43" t="n">
        <f aca="false">IF(K86="",0,INDEX(目次・前提!$B$35:$B$54,MIN(20,MAX(1,ROUND(K86,0)))))</f>
        <v>0.2</v>
      </c>
      <c r="S86" s="42" t="n">
        <f aca="false">MAX(0,P86*30*(R86-Q86))</f>
        <v>0.6</v>
      </c>
      <c r="T86" s="10" t="s">
        <v>416</v>
      </c>
      <c r="U86" s="10" t="s">
        <v>905</v>
      </c>
      <c r="V86" s="13" t="s">
        <v>372</v>
      </c>
      <c r="W86" s="10" t="s">
        <v>373</v>
      </c>
      <c r="X86" s="10" t="s">
        <v>906</v>
      </c>
      <c r="Y86" s="28" t="s">
        <v>903</v>
      </c>
      <c r="Z86" s="10" t="s">
        <v>907</v>
      </c>
      <c r="AA86" s="28" t="s">
        <v>903</v>
      </c>
      <c r="AB86" s="13" t="s">
        <v>366</v>
      </c>
      <c r="AC86" s="13" t="s">
        <v>349</v>
      </c>
    </row>
    <row r="87" customFormat="false" ht="90" hidden="false" customHeight="true" outlineLevel="0" collapsed="false">
      <c r="A87" s="53" t="n">
        <v>83</v>
      </c>
      <c r="B87" s="54" t="s">
        <v>776</v>
      </c>
      <c r="C87" s="55" t="s">
        <v>777</v>
      </c>
      <c r="D87" s="28" t="s">
        <v>908</v>
      </c>
      <c r="E87" s="28" t="s">
        <v>232</v>
      </c>
      <c r="F87" s="28" t="s">
        <v>519</v>
      </c>
      <c r="G87" s="42" t="n">
        <v>952</v>
      </c>
      <c r="H87" s="42" t="n">
        <v>13</v>
      </c>
      <c r="I87" s="43" t="n">
        <f aca="false">IFERROR(H87/G87,0)</f>
        <v>0.013655462184874</v>
      </c>
      <c r="J87" s="44" t="n">
        <v>10.1</v>
      </c>
      <c r="K87" s="44" t="n">
        <v>9.5</v>
      </c>
      <c r="L87" s="44" t="n">
        <v>0.12</v>
      </c>
      <c r="M87" s="44" t="n">
        <v>0.18</v>
      </c>
      <c r="N87" s="45" t="s">
        <v>339</v>
      </c>
      <c r="O87" s="42" t="n">
        <f aca="false">M87*30</f>
        <v>5.4</v>
      </c>
      <c r="P87" s="46" t="n">
        <v>11.8</v>
      </c>
      <c r="Q87" s="43" t="n">
        <v>0.0152</v>
      </c>
      <c r="R87" s="43" t="n">
        <f aca="false">IF(K87="",0,INDEX(目次・前提!$B$35:$B$54,MIN(20,MAX(1,ROUND(K87,0)))))</f>
        <v>0.035</v>
      </c>
      <c r="S87" s="42" t="n">
        <f aca="false">MAX(0,P87*30*(R87-Q87))</f>
        <v>7.0092</v>
      </c>
      <c r="T87" s="28" t="s">
        <v>909</v>
      </c>
      <c r="U87" s="10" t="s">
        <v>910</v>
      </c>
      <c r="V87" s="13" t="s">
        <v>366</v>
      </c>
      <c r="W87" s="10" t="s">
        <v>911</v>
      </c>
      <c r="X87" s="28" t="s">
        <v>912</v>
      </c>
      <c r="Y87" s="10" t="s">
        <v>913</v>
      </c>
      <c r="Z87" s="10" t="s">
        <v>652</v>
      </c>
      <c r="AA87" s="10" t="s">
        <v>395</v>
      </c>
      <c r="AB87" s="13" t="s">
        <v>348</v>
      </c>
      <c r="AC87" s="13" t="s">
        <v>588</v>
      </c>
    </row>
    <row r="88" customFormat="false" ht="90" hidden="false" customHeight="true" outlineLevel="0" collapsed="false">
      <c r="A88" s="53" t="n">
        <v>84</v>
      </c>
      <c r="B88" s="54" t="s">
        <v>776</v>
      </c>
      <c r="C88" s="55" t="s">
        <v>777</v>
      </c>
      <c r="D88" s="28" t="s">
        <v>914</v>
      </c>
      <c r="E88" s="28" t="s">
        <v>535</v>
      </c>
      <c r="F88" s="10" t="s">
        <v>681</v>
      </c>
      <c r="G88" s="42" t="n">
        <v>85</v>
      </c>
      <c r="H88" s="42" t="n">
        <v>8</v>
      </c>
      <c r="I88" s="43" t="n">
        <f aca="false">IFERROR(H88/G88,0)</f>
        <v>0.0941176470588235</v>
      </c>
      <c r="J88" s="44" t="n">
        <v>6.7</v>
      </c>
      <c r="K88" s="44" t="n">
        <v>6.7</v>
      </c>
      <c r="L88" s="44" t="n">
        <v>0</v>
      </c>
      <c r="M88" s="44" t="n">
        <v>0.29</v>
      </c>
      <c r="N88" s="45" t="s">
        <v>339</v>
      </c>
      <c r="O88" s="42" t="n">
        <f aca="false">M88*30</f>
        <v>8.7</v>
      </c>
      <c r="P88" s="46" t="n">
        <v>3</v>
      </c>
      <c r="Q88" s="43" t="n">
        <v>0.0941</v>
      </c>
      <c r="R88" s="43" t="n">
        <f aca="false">IF(K88="",0,INDEX(目次・前提!$B$35:$B$54,MIN(20,MAX(1,ROUND(K88,0)))))</f>
        <v>0.05</v>
      </c>
      <c r="S88" s="42" t="n">
        <f aca="false">MAX(0,P88*30*(R88-Q88))</f>
        <v>0</v>
      </c>
      <c r="T88" s="10" t="s">
        <v>915</v>
      </c>
      <c r="U88" s="28" t="s">
        <v>916</v>
      </c>
      <c r="V88" s="13" t="s">
        <v>348</v>
      </c>
      <c r="W88" s="10" t="s">
        <v>917</v>
      </c>
      <c r="X88" s="10" t="s">
        <v>918</v>
      </c>
      <c r="Y88" s="10" t="s">
        <v>919</v>
      </c>
      <c r="Z88" s="10" t="s">
        <v>685</v>
      </c>
      <c r="AA88" s="10" t="s">
        <v>395</v>
      </c>
      <c r="AB88" s="13" t="s">
        <v>366</v>
      </c>
      <c r="AC88" s="13" t="s">
        <v>588</v>
      </c>
    </row>
    <row r="89" customFormat="false" ht="150" hidden="false" customHeight="true" outlineLevel="0" collapsed="false">
      <c r="A89" s="53" t="n">
        <v>85</v>
      </c>
      <c r="B89" s="54" t="s">
        <v>776</v>
      </c>
      <c r="C89" s="55" t="s">
        <v>777</v>
      </c>
      <c r="D89" s="28" t="s">
        <v>920</v>
      </c>
      <c r="E89" s="10" t="s">
        <v>236</v>
      </c>
      <c r="F89" s="10" t="s">
        <v>921</v>
      </c>
      <c r="G89" s="42" t="n">
        <v>563</v>
      </c>
      <c r="H89" s="42" t="n">
        <v>11</v>
      </c>
      <c r="I89" s="43" t="n">
        <f aca="false">IFERROR(H89/G89,0)</f>
        <v>0.019538188277087</v>
      </c>
      <c r="J89" s="44" t="n">
        <v>22.8</v>
      </c>
      <c r="K89" s="44" t="n">
        <v>15</v>
      </c>
      <c r="L89" s="44" t="n">
        <v>0.09</v>
      </c>
      <c r="M89" s="44" t="n">
        <v>0.18</v>
      </c>
      <c r="N89" s="45" t="s">
        <v>339</v>
      </c>
      <c r="O89" s="42" t="n">
        <f aca="false">M89*30</f>
        <v>5.4</v>
      </c>
      <c r="P89" s="46" t="n">
        <v>4.9</v>
      </c>
      <c r="Q89" s="43" t="n">
        <v>0.0362</v>
      </c>
      <c r="R89" s="43" t="n">
        <f aca="false">IF(K89="",0,INDEX(目次・前提!$B$35:$B$54,MIN(20,MAX(1,ROUND(K89,0)))))</f>
        <v>0.025</v>
      </c>
      <c r="S89" s="42" t="n">
        <f aca="false">MAX(0,P89*30*(R89-Q89))</f>
        <v>0</v>
      </c>
      <c r="T89" s="10" t="s">
        <v>922</v>
      </c>
      <c r="U89" s="28" t="s">
        <v>923</v>
      </c>
      <c r="V89" s="13" t="s">
        <v>372</v>
      </c>
      <c r="W89" s="10" t="s">
        <v>373</v>
      </c>
      <c r="X89" s="10" t="s">
        <v>924</v>
      </c>
      <c r="Y89" s="10" t="s">
        <v>925</v>
      </c>
      <c r="Z89" s="10" t="s">
        <v>926</v>
      </c>
      <c r="AA89" s="28" t="s">
        <v>550</v>
      </c>
      <c r="AB89" s="13" t="s">
        <v>366</v>
      </c>
      <c r="AC89" s="13" t="s">
        <v>349</v>
      </c>
    </row>
    <row r="90" customFormat="false" ht="150" hidden="false" customHeight="true" outlineLevel="0" collapsed="false">
      <c r="A90" s="53" t="n">
        <v>86</v>
      </c>
      <c r="B90" s="54" t="s">
        <v>776</v>
      </c>
      <c r="C90" s="55" t="s">
        <v>777</v>
      </c>
      <c r="D90" s="28" t="s">
        <v>927</v>
      </c>
      <c r="E90" s="10" t="s">
        <v>224</v>
      </c>
      <c r="F90" s="10" t="s">
        <v>928</v>
      </c>
      <c r="G90" s="42" t="n">
        <v>849</v>
      </c>
      <c r="H90" s="42" t="n">
        <v>12</v>
      </c>
      <c r="I90" s="43" t="n">
        <f aca="false">IFERROR(H90/G90,0)</f>
        <v>0.0141342756183746</v>
      </c>
      <c r="J90" s="44" t="n">
        <v>24.3</v>
      </c>
      <c r="K90" s="44" t="n">
        <v>20.3</v>
      </c>
      <c r="L90" s="44" t="n">
        <v>0.09</v>
      </c>
      <c r="M90" s="44" t="n">
        <v>0.21</v>
      </c>
      <c r="N90" s="45" t="s">
        <v>490</v>
      </c>
      <c r="O90" s="42" t="n">
        <f aca="false">M90*30</f>
        <v>6.3</v>
      </c>
      <c r="P90" s="46" t="n">
        <v>15</v>
      </c>
      <c r="Q90" s="43" t="n">
        <v>0.0143</v>
      </c>
      <c r="R90" s="43" t="n">
        <f aca="false">IF(K90="",0,INDEX(目次・前提!$B$35:$B$54,MIN(20,MAX(1,ROUND(K90,0)))))</f>
        <v>0.012</v>
      </c>
      <c r="S90" s="42" t="n">
        <f aca="false">MAX(0,P90*30*(R90-Q90))</f>
        <v>0</v>
      </c>
      <c r="T90" s="10" t="s">
        <v>929</v>
      </c>
      <c r="U90" s="28" t="s">
        <v>930</v>
      </c>
      <c r="V90" s="13" t="s">
        <v>372</v>
      </c>
      <c r="W90" s="10" t="s">
        <v>373</v>
      </c>
      <c r="X90" s="10" t="s">
        <v>931</v>
      </c>
      <c r="Y90" s="10" t="s">
        <v>932</v>
      </c>
      <c r="Z90" s="10" t="s">
        <v>933</v>
      </c>
      <c r="AA90" s="10" t="s">
        <v>934</v>
      </c>
      <c r="AB90" s="13" t="s">
        <v>348</v>
      </c>
      <c r="AC90" s="13" t="s">
        <v>349</v>
      </c>
    </row>
    <row r="91" customFormat="false" ht="90" hidden="false" customHeight="true" outlineLevel="0" collapsed="false">
      <c r="A91" s="53" t="n">
        <v>87</v>
      </c>
      <c r="B91" s="54" t="s">
        <v>776</v>
      </c>
      <c r="C91" s="55" t="s">
        <v>777</v>
      </c>
      <c r="D91" s="28" t="s">
        <v>935</v>
      </c>
      <c r="E91" s="10" t="s">
        <v>236</v>
      </c>
      <c r="F91" s="10" t="s">
        <v>936</v>
      </c>
      <c r="G91" s="42" t="n">
        <v>295</v>
      </c>
      <c r="H91" s="42" t="n">
        <v>10</v>
      </c>
      <c r="I91" s="43" t="n">
        <f aca="false">IFERROR(H91/G91,0)</f>
        <v>0.0338983050847458</v>
      </c>
      <c r="J91" s="44" t="n">
        <v>19</v>
      </c>
      <c r="K91" s="44" t="n">
        <v>15.8</v>
      </c>
      <c r="L91" s="44" t="n">
        <v>0.09</v>
      </c>
      <c r="M91" s="44" t="n">
        <v>0.14</v>
      </c>
      <c r="N91" s="45" t="s">
        <v>339</v>
      </c>
      <c r="O91" s="42" t="n">
        <f aca="false">M91*30</f>
        <v>4.2</v>
      </c>
      <c r="P91" s="46" t="n">
        <v>4.2</v>
      </c>
      <c r="Q91" s="43" t="n">
        <v>0.0339</v>
      </c>
      <c r="R91" s="43" t="n">
        <f aca="false">IF(K91="",0,INDEX(目次・前提!$B$35:$B$54,MIN(20,MAX(1,ROUND(K91,0)))))</f>
        <v>0.012</v>
      </c>
      <c r="S91" s="42" t="n">
        <f aca="false">MAX(0,P91*30*(R91-Q91))</f>
        <v>0</v>
      </c>
      <c r="T91" s="10" t="s">
        <v>937</v>
      </c>
      <c r="U91" s="10" t="s">
        <v>938</v>
      </c>
      <c r="V91" s="13" t="s">
        <v>372</v>
      </c>
      <c r="W91" s="10" t="s">
        <v>373</v>
      </c>
      <c r="X91" s="28" t="s">
        <v>939</v>
      </c>
      <c r="Y91" s="10" t="s">
        <v>940</v>
      </c>
      <c r="Z91" s="10" t="s">
        <v>599</v>
      </c>
      <c r="AA91" s="10" t="s">
        <v>347</v>
      </c>
      <c r="AB91" s="13" t="s">
        <v>366</v>
      </c>
      <c r="AC91" s="13" t="s">
        <v>588</v>
      </c>
    </row>
    <row r="92" customFormat="false" ht="90" hidden="false" customHeight="true" outlineLevel="0" collapsed="false">
      <c r="A92" s="53" t="n">
        <v>88</v>
      </c>
      <c r="B92" s="54" t="s">
        <v>776</v>
      </c>
      <c r="C92" s="55" t="s">
        <v>777</v>
      </c>
      <c r="D92" s="28" t="s">
        <v>941</v>
      </c>
      <c r="E92" s="10" t="s">
        <v>228</v>
      </c>
      <c r="F92" s="10" t="s">
        <v>406</v>
      </c>
      <c r="G92" s="42" t="n">
        <v>290</v>
      </c>
      <c r="H92" s="42" t="n">
        <v>10</v>
      </c>
      <c r="I92" s="43" t="n">
        <f aca="false">IFERROR(H92/G92,0)</f>
        <v>0.0344827586206897</v>
      </c>
      <c r="J92" s="44" t="n">
        <v>9.2</v>
      </c>
      <c r="K92" s="44" t="n">
        <v>8.9</v>
      </c>
      <c r="L92" s="44" t="n">
        <v>0.11</v>
      </c>
      <c r="M92" s="44" t="n">
        <v>0.11</v>
      </c>
      <c r="N92" s="45" t="s">
        <v>339</v>
      </c>
      <c r="O92" s="42" t="n">
        <f aca="false">M92*30</f>
        <v>3.3</v>
      </c>
      <c r="P92" s="46" t="n">
        <v>3.2</v>
      </c>
      <c r="Q92" s="43" t="n">
        <v>0.0337</v>
      </c>
      <c r="R92" s="43" t="n">
        <f aca="false">IF(K92="",0,INDEX(目次・前提!$B$35:$B$54,MIN(20,MAX(1,ROUND(K92,0)))))</f>
        <v>0.04</v>
      </c>
      <c r="S92" s="42" t="n">
        <f aca="false">MAX(0,P92*30*(R92-Q92))</f>
        <v>0.6048</v>
      </c>
      <c r="T92" s="10" t="s">
        <v>416</v>
      </c>
      <c r="U92" s="28" t="s">
        <v>942</v>
      </c>
      <c r="V92" s="13" t="s">
        <v>366</v>
      </c>
      <c r="W92" s="10" t="s">
        <v>943</v>
      </c>
      <c r="X92" s="10" t="s">
        <v>812</v>
      </c>
      <c r="Y92" s="10" t="s">
        <v>593</v>
      </c>
      <c r="Z92" s="10" t="s">
        <v>712</v>
      </c>
      <c r="AA92" s="10" t="s">
        <v>347</v>
      </c>
      <c r="AB92" s="13" t="s">
        <v>366</v>
      </c>
      <c r="AC92" s="13" t="s">
        <v>588</v>
      </c>
    </row>
    <row r="93" customFormat="false" ht="90" hidden="false" customHeight="true" outlineLevel="0" collapsed="false">
      <c r="A93" s="53" t="n">
        <v>89</v>
      </c>
      <c r="B93" s="54" t="s">
        <v>776</v>
      </c>
      <c r="C93" s="55" t="s">
        <v>777</v>
      </c>
      <c r="D93" s="28" t="s">
        <v>944</v>
      </c>
      <c r="E93" s="28" t="s">
        <v>220</v>
      </c>
      <c r="F93" s="10" t="s">
        <v>884</v>
      </c>
      <c r="G93" s="42" t="n">
        <v>64</v>
      </c>
      <c r="H93" s="42" t="n">
        <v>2</v>
      </c>
      <c r="I93" s="43" t="n">
        <f aca="false">IFERROR(H93/G93,0)</f>
        <v>0.03125</v>
      </c>
      <c r="J93" s="44" t="n">
        <v>9.3</v>
      </c>
      <c r="K93" s="44" t="n">
        <v>9.3</v>
      </c>
      <c r="L93" s="44" t="n">
        <v>0</v>
      </c>
      <c r="M93" s="44" t="n">
        <v>0.07</v>
      </c>
      <c r="N93" s="45" t="s">
        <v>339</v>
      </c>
      <c r="O93" s="42" t="n">
        <f aca="false">M93*30</f>
        <v>2.1</v>
      </c>
      <c r="P93" s="46" t="n">
        <v>2.3</v>
      </c>
      <c r="Q93" s="43" t="n">
        <v>0.0312</v>
      </c>
      <c r="R93" s="43" t="n">
        <f aca="false">IF(K93="",0,INDEX(目次・前提!$B$35:$B$54,MIN(20,MAX(1,ROUND(K93,0)))))</f>
        <v>0.04</v>
      </c>
      <c r="S93" s="42" t="n">
        <f aca="false">MAX(0,P93*30*(R93-Q93))</f>
        <v>0.6072</v>
      </c>
      <c r="T93" s="10" t="s">
        <v>416</v>
      </c>
      <c r="U93" s="28" t="s">
        <v>945</v>
      </c>
      <c r="V93" s="13" t="s">
        <v>372</v>
      </c>
      <c r="W93" s="10" t="s">
        <v>373</v>
      </c>
      <c r="X93" s="10" t="s">
        <v>812</v>
      </c>
      <c r="Y93" s="10" t="s">
        <v>593</v>
      </c>
      <c r="Z93" s="10" t="s">
        <v>889</v>
      </c>
      <c r="AA93" s="28" t="s">
        <v>550</v>
      </c>
      <c r="AB93" s="13" t="s">
        <v>366</v>
      </c>
      <c r="AC93" s="13" t="s">
        <v>588</v>
      </c>
    </row>
    <row r="94" customFormat="false" ht="90" hidden="false" customHeight="true" outlineLevel="0" collapsed="false">
      <c r="A94" s="53" t="n">
        <v>90</v>
      </c>
      <c r="B94" s="54" t="s">
        <v>776</v>
      </c>
      <c r="C94" s="55" t="s">
        <v>777</v>
      </c>
      <c r="D94" s="28" t="s">
        <v>946</v>
      </c>
      <c r="E94" s="10" t="s">
        <v>236</v>
      </c>
      <c r="F94" s="10" t="s">
        <v>947</v>
      </c>
      <c r="G94" s="42" t="n">
        <v>70</v>
      </c>
      <c r="H94" s="42" t="n">
        <v>4</v>
      </c>
      <c r="I94" s="43" t="n">
        <f aca="false">IFERROR(H94/G94,0)</f>
        <v>0.0571428571428571</v>
      </c>
      <c r="J94" s="44" t="n">
        <v>6.6</v>
      </c>
      <c r="K94" s="44" t="n">
        <v>6.4</v>
      </c>
      <c r="L94" s="44" t="n">
        <v>0.03</v>
      </c>
      <c r="M94" s="44" t="n">
        <v>0.07</v>
      </c>
      <c r="N94" s="45" t="s">
        <v>339</v>
      </c>
      <c r="O94" s="42" t="n">
        <f aca="false">M94*30</f>
        <v>2.1</v>
      </c>
      <c r="P94" s="46" t="n">
        <v>1.6</v>
      </c>
      <c r="Q94" s="43" t="n">
        <v>0.0444</v>
      </c>
      <c r="R94" s="43" t="n">
        <f aca="false">IF(K94="",0,INDEX(目次・前提!$B$35:$B$54,MIN(20,MAX(1,ROUND(K94,0)))))</f>
        <v>0.06</v>
      </c>
      <c r="S94" s="42" t="n">
        <f aca="false">MAX(0,P94*30*(R94-Q94))</f>
        <v>0.7488</v>
      </c>
      <c r="T94" s="10" t="s">
        <v>416</v>
      </c>
      <c r="U94" s="28" t="s">
        <v>948</v>
      </c>
      <c r="V94" s="13" t="s">
        <v>372</v>
      </c>
      <c r="W94" s="10" t="s">
        <v>373</v>
      </c>
      <c r="X94" s="10" t="s">
        <v>812</v>
      </c>
      <c r="Y94" s="10" t="s">
        <v>593</v>
      </c>
      <c r="Z94" s="10" t="s">
        <v>804</v>
      </c>
      <c r="AA94" s="10" t="s">
        <v>632</v>
      </c>
      <c r="AB94" s="13" t="s">
        <v>366</v>
      </c>
      <c r="AC94" s="13" t="s">
        <v>588</v>
      </c>
    </row>
    <row r="95" customFormat="false" ht="90" hidden="false" customHeight="true" outlineLevel="0" collapsed="false">
      <c r="A95" s="53" t="n">
        <v>91</v>
      </c>
      <c r="B95" s="54" t="s">
        <v>776</v>
      </c>
      <c r="C95" s="55" t="s">
        <v>777</v>
      </c>
      <c r="D95" s="28" t="s">
        <v>949</v>
      </c>
      <c r="E95" s="10" t="s">
        <v>224</v>
      </c>
      <c r="F95" s="10" t="s">
        <v>748</v>
      </c>
      <c r="G95" s="42" t="n">
        <v>38</v>
      </c>
      <c r="H95" s="42" t="n">
        <v>1</v>
      </c>
      <c r="I95" s="43" t="n">
        <f aca="false">IFERROR(H95/G95,0)</f>
        <v>0.0263157894736842</v>
      </c>
      <c r="J95" s="44" t="n">
        <v>7.5</v>
      </c>
      <c r="K95" s="44" t="n">
        <v>7.7</v>
      </c>
      <c r="L95" s="44" t="n">
        <v>0</v>
      </c>
      <c r="M95" s="44" t="n">
        <v>0.04</v>
      </c>
      <c r="N95" s="45" t="s">
        <v>339</v>
      </c>
      <c r="O95" s="42" t="n">
        <f aca="false">M95*30</f>
        <v>1.2</v>
      </c>
      <c r="P95" s="46" t="n">
        <v>1.2</v>
      </c>
      <c r="Q95" s="43" t="n">
        <v>0.0286</v>
      </c>
      <c r="R95" s="43" t="n">
        <f aca="false">IF(K95="",0,INDEX(目次・前提!$B$35:$B$54,MIN(20,MAX(1,ROUND(K95,0)))))</f>
        <v>0.045</v>
      </c>
      <c r="S95" s="42" t="n">
        <f aca="false">MAX(0,P95*30*(R95-Q95))</f>
        <v>0.5904</v>
      </c>
      <c r="T95" s="10" t="s">
        <v>950</v>
      </c>
      <c r="U95" s="28" t="s">
        <v>951</v>
      </c>
      <c r="V95" s="13" t="s">
        <v>366</v>
      </c>
      <c r="W95" s="10" t="s">
        <v>952</v>
      </c>
      <c r="X95" s="10" t="s">
        <v>953</v>
      </c>
      <c r="Y95" s="28" t="s">
        <v>903</v>
      </c>
      <c r="Z95" s="10" t="s">
        <v>954</v>
      </c>
      <c r="AA95" s="10" t="s">
        <v>386</v>
      </c>
      <c r="AB95" s="13" t="s">
        <v>366</v>
      </c>
      <c r="AC95" s="13" t="s">
        <v>588</v>
      </c>
    </row>
    <row r="96" customFormat="false" ht="90" hidden="false" customHeight="true" outlineLevel="0" collapsed="false">
      <c r="A96" s="53" t="n">
        <v>92</v>
      </c>
      <c r="B96" s="54" t="s">
        <v>776</v>
      </c>
      <c r="C96" s="55" t="s">
        <v>777</v>
      </c>
      <c r="D96" s="28" t="s">
        <v>955</v>
      </c>
      <c r="E96" s="10" t="s">
        <v>527</v>
      </c>
      <c r="F96" s="10" t="s">
        <v>956</v>
      </c>
      <c r="G96" s="42" t="n">
        <v>179</v>
      </c>
      <c r="H96" s="42" t="n">
        <v>2</v>
      </c>
      <c r="I96" s="43" t="n">
        <f aca="false">IFERROR(H96/G96,0)</f>
        <v>0.0111731843575419</v>
      </c>
      <c r="J96" s="44" t="n">
        <v>11.9</v>
      </c>
      <c r="K96" s="44" t="n">
        <v>10.3</v>
      </c>
      <c r="L96" s="44" t="n">
        <v>0.03</v>
      </c>
      <c r="M96" s="44" t="n">
        <v>0</v>
      </c>
      <c r="N96" s="45" t="s">
        <v>339</v>
      </c>
      <c r="O96" s="42" t="n">
        <f aca="false">M96*30</f>
        <v>0</v>
      </c>
      <c r="P96" s="46" t="n">
        <v>3.6</v>
      </c>
      <c r="Q96" s="43" t="n">
        <v>0</v>
      </c>
      <c r="R96" s="43" t="n">
        <f aca="false">IF(K96="",0,INDEX(目次・前提!$B$35:$B$54,MIN(20,MAX(1,ROUND(K96,0)))))</f>
        <v>0.035</v>
      </c>
      <c r="S96" s="42" t="n">
        <f aca="false">MAX(0,P96*30*(R96-Q96))</f>
        <v>3.78</v>
      </c>
      <c r="T96" s="10" t="s">
        <v>416</v>
      </c>
      <c r="U96" s="10" t="s">
        <v>957</v>
      </c>
      <c r="V96" s="13" t="s">
        <v>372</v>
      </c>
      <c r="W96" s="10" t="s">
        <v>373</v>
      </c>
      <c r="X96" s="28" t="s">
        <v>899</v>
      </c>
      <c r="Y96" s="10" t="s">
        <v>586</v>
      </c>
      <c r="Z96" s="10" t="s">
        <v>958</v>
      </c>
      <c r="AA96" s="28" t="s">
        <v>646</v>
      </c>
      <c r="AB96" s="13" t="s">
        <v>366</v>
      </c>
      <c r="AC96" s="13" t="s">
        <v>588</v>
      </c>
    </row>
    <row r="97" customFormat="false" ht="90" hidden="false" customHeight="true" outlineLevel="0" collapsed="false">
      <c r="A97" s="53" t="n">
        <v>93</v>
      </c>
      <c r="B97" s="54" t="s">
        <v>776</v>
      </c>
      <c r="C97" s="55" t="s">
        <v>777</v>
      </c>
      <c r="D97" s="28" t="s">
        <v>959</v>
      </c>
      <c r="E97" s="10" t="s">
        <v>236</v>
      </c>
      <c r="F97" s="10" t="s">
        <v>489</v>
      </c>
      <c r="G97" s="42" t="n">
        <v>86</v>
      </c>
      <c r="H97" s="42" t="n">
        <v>2</v>
      </c>
      <c r="I97" s="43" t="n">
        <f aca="false">IFERROR(H97/G97,0)</f>
        <v>0.0232558139534884</v>
      </c>
      <c r="J97" s="44" t="n">
        <v>22.5</v>
      </c>
      <c r="K97" s="44" t="n">
        <v>21.5</v>
      </c>
      <c r="L97" s="44" t="n">
        <v>0</v>
      </c>
      <c r="M97" s="44" t="n">
        <v>0.07</v>
      </c>
      <c r="N97" s="45" t="s">
        <v>339</v>
      </c>
      <c r="O97" s="42" t="n">
        <f aca="false">M97*30</f>
        <v>2.1</v>
      </c>
      <c r="P97" s="46" t="n">
        <v>2.1</v>
      </c>
      <c r="Q97" s="43" t="n">
        <v>0.0333</v>
      </c>
      <c r="R97" s="43" t="n">
        <f aca="false">IF(K97="",0,INDEX(目次・前提!$B$35:$B$54,MIN(20,MAX(1,ROUND(K97,0)))))</f>
        <v>0.012</v>
      </c>
      <c r="S97" s="42" t="n">
        <f aca="false">MAX(0,P97*30*(R97-Q97))</f>
        <v>0</v>
      </c>
      <c r="T97" s="10" t="s">
        <v>416</v>
      </c>
      <c r="U97" s="10" t="s">
        <v>960</v>
      </c>
      <c r="V97" s="13" t="s">
        <v>342</v>
      </c>
      <c r="W97" s="10" t="s">
        <v>961</v>
      </c>
      <c r="X97" s="10" t="s">
        <v>962</v>
      </c>
      <c r="Y97" s="10" t="s">
        <v>586</v>
      </c>
      <c r="Z97" s="10" t="s">
        <v>963</v>
      </c>
      <c r="AA97" s="28" t="s">
        <v>550</v>
      </c>
      <c r="AB97" s="13" t="s">
        <v>366</v>
      </c>
      <c r="AC97" s="13" t="s">
        <v>588</v>
      </c>
    </row>
    <row r="98" customFormat="false" ht="90" hidden="false" customHeight="true" outlineLevel="0" collapsed="false">
      <c r="A98" s="53" t="n">
        <v>94</v>
      </c>
      <c r="B98" s="54" t="s">
        <v>776</v>
      </c>
      <c r="C98" s="55" t="s">
        <v>777</v>
      </c>
      <c r="D98" s="28" t="s">
        <v>964</v>
      </c>
      <c r="E98" s="10" t="s">
        <v>236</v>
      </c>
      <c r="F98" s="10" t="s">
        <v>489</v>
      </c>
      <c r="G98" s="42" t="n">
        <v>63</v>
      </c>
      <c r="H98" s="42" t="n">
        <v>7</v>
      </c>
      <c r="I98" s="43" t="n">
        <f aca="false">IFERROR(H98/G98,0)</f>
        <v>0.111111111111111</v>
      </c>
      <c r="J98" s="44" t="n">
        <v>7</v>
      </c>
      <c r="K98" s="44" t="n">
        <v>5.6</v>
      </c>
      <c r="L98" s="44" t="n">
        <v>0.08</v>
      </c>
      <c r="M98" s="44" t="n">
        <v>0.07</v>
      </c>
      <c r="N98" s="45" t="s">
        <v>339</v>
      </c>
      <c r="O98" s="42" t="n">
        <f aca="false">M98*30</f>
        <v>2.1</v>
      </c>
      <c r="P98" s="46" t="n">
        <v>0.4</v>
      </c>
      <c r="Q98" s="43" t="n">
        <v>0.2</v>
      </c>
      <c r="R98" s="43" t="n">
        <f aca="false">IF(K98="",0,INDEX(目次・前提!$B$35:$B$54,MIN(20,MAX(1,ROUND(K98,0)))))</f>
        <v>0.06</v>
      </c>
      <c r="S98" s="42" t="n">
        <f aca="false">MAX(0,P98*30*(R98-Q98))</f>
        <v>0</v>
      </c>
      <c r="T98" s="10" t="s">
        <v>416</v>
      </c>
      <c r="U98" s="28" t="s">
        <v>965</v>
      </c>
      <c r="V98" s="13" t="s">
        <v>342</v>
      </c>
      <c r="W98" s="10" t="s">
        <v>966</v>
      </c>
      <c r="X98" s="10" t="s">
        <v>967</v>
      </c>
      <c r="Y98" s="10" t="s">
        <v>593</v>
      </c>
      <c r="Z98" s="10" t="s">
        <v>587</v>
      </c>
      <c r="AA98" s="10" t="s">
        <v>386</v>
      </c>
      <c r="AB98" s="13" t="s">
        <v>366</v>
      </c>
      <c r="AC98" s="13" t="s">
        <v>588</v>
      </c>
    </row>
    <row r="99" customFormat="false" ht="90" hidden="false" customHeight="true" outlineLevel="0" collapsed="false">
      <c r="A99" s="53" t="n">
        <v>95</v>
      </c>
      <c r="B99" s="54" t="s">
        <v>776</v>
      </c>
      <c r="C99" s="55" t="s">
        <v>777</v>
      </c>
      <c r="D99" s="28" t="s">
        <v>968</v>
      </c>
      <c r="E99" s="28" t="s">
        <v>232</v>
      </c>
      <c r="F99" s="10" t="s">
        <v>969</v>
      </c>
      <c r="G99" s="42" t="n">
        <v>390</v>
      </c>
      <c r="H99" s="42" t="n">
        <v>7</v>
      </c>
      <c r="I99" s="43" t="n">
        <f aca="false">IFERROR(H99/G99,0)</f>
        <v>0.0179487179487179</v>
      </c>
      <c r="J99" s="44" t="n">
        <v>14.9</v>
      </c>
      <c r="K99" s="44" t="n">
        <v>15.5</v>
      </c>
      <c r="L99" s="44" t="n">
        <v>0.08</v>
      </c>
      <c r="M99" s="44" t="n">
        <v>0.07</v>
      </c>
      <c r="N99" s="45" t="s">
        <v>339</v>
      </c>
      <c r="O99" s="42" t="n">
        <f aca="false">M99*30</f>
        <v>2.1</v>
      </c>
      <c r="P99" s="46" t="n">
        <v>4.4</v>
      </c>
      <c r="Q99" s="43" t="n">
        <v>0.0163</v>
      </c>
      <c r="R99" s="43" t="n">
        <f aca="false">IF(K99="",0,INDEX(目次・前提!$B$35:$B$54,MIN(20,MAX(1,ROUND(K99,0)))))</f>
        <v>0.012</v>
      </c>
      <c r="S99" s="42" t="n">
        <f aca="false">MAX(0,P99*30*(R99-Q99))</f>
        <v>0</v>
      </c>
      <c r="T99" s="10" t="s">
        <v>970</v>
      </c>
      <c r="U99" s="10" t="s">
        <v>971</v>
      </c>
      <c r="V99" s="13" t="s">
        <v>366</v>
      </c>
      <c r="W99" s="10" t="s">
        <v>972</v>
      </c>
      <c r="X99" s="28" t="s">
        <v>973</v>
      </c>
      <c r="Y99" s="10" t="s">
        <v>974</v>
      </c>
      <c r="Z99" s="10" t="s">
        <v>652</v>
      </c>
      <c r="AA99" s="10" t="s">
        <v>395</v>
      </c>
      <c r="AB99" s="13" t="s">
        <v>348</v>
      </c>
      <c r="AC99" s="13" t="s">
        <v>588</v>
      </c>
    </row>
    <row r="100" customFormat="false" ht="90" hidden="false" customHeight="true" outlineLevel="0" collapsed="false">
      <c r="A100" s="53" t="n">
        <v>96</v>
      </c>
      <c r="B100" s="54" t="s">
        <v>776</v>
      </c>
      <c r="C100" s="55" t="s">
        <v>777</v>
      </c>
      <c r="D100" s="28" t="s">
        <v>975</v>
      </c>
      <c r="E100" s="10" t="s">
        <v>224</v>
      </c>
      <c r="F100" s="10" t="s">
        <v>976</v>
      </c>
      <c r="G100" s="42" t="n">
        <v>572</v>
      </c>
      <c r="H100" s="42" t="n">
        <v>0</v>
      </c>
      <c r="I100" s="43" t="n">
        <f aca="false">IFERROR(H100/G100,0)</f>
        <v>0</v>
      </c>
      <c r="J100" s="44" t="n">
        <v>40.7</v>
      </c>
      <c r="K100" s="44" t="n">
        <v>22.2</v>
      </c>
      <c r="L100" s="44" t="n">
        <v>0</v>
      </c>
      <c r="M100" s="44" t="n">
        <v>0</v>
      </c>
      <c r="N100" s="45" t="s">
        <v>339</v>
      </c>
      <c r="O100" s="42" t="n">
        <f aca="false">M100*30</f>
        <v>0</v>
      </c>
      <c r="P100" s="46" t="n">
        <v>6.4</v>
      </c>
      <c r="Q100" s="43" t="n">
        <v>0</v>
      </c>
      <c r="R100" s="43" t="n">
        <f aca="false">IF(K100="",0,INDEX(目次・前提!$B$35:$B$54,MIN(20,MAX(1,ROUND(K100,0)))))</f>
        <v>0.012</v>
      </c>
      <c r="S100" s="42" t="n">
        <f aca="false">MAX(0,P100*30*(R100-Q100))</f>
        <v>2.304</v>
      </c>
      <c r="T100" s="10" t="s">
        <v>977</v>
      </c>
      <c r="U100" s="10" t="s">
        <v>978</v>
      </c>
      <c r="V100" s="13" t="s">
        <v>372</v>
      </c>
      <c r="W100" s="10" t="s">
        <v>373</v>
      </c>
      <c r="X100" s="28" t="s">
        <v>979</v>
      </c>
      <c r="Y100" s="10" t="s">
        <v>980</v>
      </c>
      <c r="Z100" s="10" t="s">
        <v>814</v>
      </c>
      <c r="AA100" s="10" t="s">
        <v>981</v>
      </c>
      <c r="AB100" s="13" t="s">
        <v>348</v>
      </c>
      <c r="AC100" s="13" t="s">
        <v>588</v>
      </c>
    </row>
    <row r="101" customFormat="false" ht="90" hidden="false" customHeight="true" outlineLevel="0" collapsed="false">
      <c r="A101" s="53" t="n">
        <v>97</v>
      </c>
      <c r="B101" s="54" t="s">
        <v>776</v>
      </c>
      <c r="C101" s="55" t="s">
        <v>777</v>
      </c>
      <c r="D101" s="28" t="s">
        <v>982</v>
      </c>
      <c r="E101" s="28" t="s">
        <v>232</v>
      </c>
      <c r="F101" s="10" t="s">
        <v>969</v>
      </c>
      <c r="G101" s="42" t="n">
        <v>616</v>
      </c>
      <c r="H101" s="42" t="n">
        <v>15</v>
      </c>
      <c r="I101" s="43" t="n">
        <f aca="false">IFERROR(H101/G101,0)</f>
        <v>0.0243506493506494</v>
      </c>
      <c r="J101" s="44" t="n">
        <v>15.6</v>
      </c>
      <c r="K101" s="44" t="n">
        <v>20.1</v>
      </c>
      <c r="L101" s="44" t="n">
        <v>0.2</v>
      </c>
      <c r="M101" s="44" t="n">
        <v>0.07</v>
      </c>
      <c r="N101" s="45" t="s">
        <v>339</v>
      </c>
      <c r="O101" s="42" t="n">
        <f aca="false">M101*30</f>
        <v>2.1</v>
      </c>
      <c r="P101" s="46" t="n">
        <v>8.4</v>
      </c>
      <c r="Q101" s="43" t="n">
        <v>0.0085</v>
      </c>
      <c r="R101" s="43" t="n">
        <f aca="false">IF(K101="",0,INDEX(目次・前提!$B$35:$B$54,MIN(20,MAX(1,ROUND(K101,0)))))</f>
        <v>0.012</v>
      </c>
      <c r="S101" s="42" t="n">
        <f aca="false">MAX(0,P101*30*(R101-Q101))</f>
        <v>0.882</v>
      </c>
      <c r="T101" s="10" t="s">
        <v>983</v>
      </c>
      <c r="U101" s="10" t="s">
        <v>984</v>
      </c>
      <c r="V101" s="13" t="s">
        <v>366</v>
      </c>
      <c r="W101" s="10" t="s">
        <v>985</v>
      </c>
      <c r="X101" s="28" t="s">
        <v>986</v>
      </c>
      <c r="Y101" s="10" t="s">
        <v>987</v>
      </c>
      <c r="Z101" s="10" t="s">
        <v>652</v>
      </c>
      <c r="AA101" s="10" t="s">
        <v>395</v>
      </c>
      <c r="AB101" s="13" t="s">
        <v>348</v>
      </c>
      <c r="AC101" s="13" t="s">
        <v>588</v>
      </c>
    </row>
    <row r="102" customFormat="false" ht="90" hidden="false" customHeight="true" outlineLevel="0" collapsed="false">
      <c r="A102" s="53" t="n">
        <v>98</v>
      </c>
      <c r="B102" s="54" t="s">
        <v>776</v>
      </c>
      <c r="C102" s="55" t="s">
        <v>777</v>
      </c>
      <c r="D102" s="28" t="s">
        <v>988</v>
      </c>
      <c r="E102" s="10" t="s">
        <v>224</v>
      </c>
      <c r="F102" s="28" t="s">
        <v>989</v>
      </c>
      <c r="G102" s="42" t="n">
        <v>160</v>
      </c>
      <c r="H102" s="42" t="n">
        <v>1</v>
      </c>
      <c r="I102" s="43" t="n">
        <f aca="false">IFERROR(H102/G102,0)</f>
        <v>0.00625</v>
      </c>
      <c r="J102" s="44" t="n">
        <v>31.2</v>
      </c>
      <c r="K102" s="44" t="n">
        <v>31.2</v>
      </c>
      <c r="L102" s="44" t="n">
        <v>0</v>
      </c>
      <c r="M102" s="44" t="n">
        <v>0.04</v>
      </c>
      <c r="N102" s="45" t="s">
        <v>432</v>
      </c>
      <c r="O102" s="42" t="n">
        <f aca="false">M102*30</f>
        <v>1.2</v>
      </c>
      <c r="P102" s="46" t="n">
        <v>5.5</v>
      </c>
      <c r="Q102" s="43" t="n">
        <v>0.0065</v>
      </c>
      <c r="R102" s="43" t="n">
        <f aca="false">IF(K102="",0,INDEX(目次・前提!$B$35:$B$54,MIN(20,MAX(1,ROUND(K102,0)))))</f>
        <v>0.012</v>
      </c>
      <c r="S102" s="42" t="n">
        <f aca="false">MAX(0,P102*30*(R102-Q102))</f>
        <v>0.9075</v>
      </c>
      <c r="T102" s="28" t="s">
        <v>990</v>
      </c>
      <c r="U102" s="10" t="s">
        <v>991</v>
      </c>
      <c r="V102" s="13" t="s">
        <v>372</v>
      </c>
      <c r="W102" s="10" t="s">
        <v>373</v>
      </c>
      <c r="X102" s="28" t="s">
        <v>992</v>
      </c>
      <c r="Y102" s="10" t="s">
        <v>993</v>
      </c>
      <c r="Z102" s="10" t="s">
        <v>814</v>
      </c>
      <c r="AA102" s="10" t="s">
        <v>994</v>
      </c>
      <c r="AB102" s="13" t="s">
        <v>366</v>
      </c>
      <c r="AC102" s="13" t="s">
        <v>588</v>
      </c>
    </row>
    <row r="103" customFormat="false" ht="90" hidden="false" customHeight="true" outlineLevel="0" collapsed="false">
      <c r="A103" s="53" t="n">
        <v>99</v>
      </c>
      <c r="B103" s="54" t="s">
        <v>776</v>
      </c>
      <c r="C103" s="55" t="s">
        <v>777</v>
      </c>
      <c r="D103" s="28" t="s">
        <v>995</v>
      </c>
      <c r="E103" s="10" t="s">
        <v>527</v>
      </c>
      <c r="F103" s="10" t="s">
        <v>956</v>
      </c>
      <c r="G103" s="42" t="n">
        <v>52</v>
      </c>
      <c r="H103" s="42" t="n">
        <v>2</v>
      </c>
      <c r="I103" s="43" t="n">
        <f aca="false">IFERROR(H103/G103,0)</f>
        <v>0.0384615384615385</v>
      </c>
      <c r="J103" s="44" t="n">
        <v>10.1</v>
      </c>
      <c r="K103" s="44" t="n">
        <v>8.9</v>
      </c>
      <c r="L103" s="44" t="n">
        <v>0</v>
      </c>
      <c r="M103" s="44" t="n">
        <v>0.07</v>
      </c>
      <c r="N103" s="45" t="s">
        <v>339</v>
      </c>
      <c r="O103" s="42" t="n">
        <f aca="false">M103*30</f>
        <v>2.1</v>
      </c>
      <c r="P103" s="46" t="n">
        <v>1</v>
      </c>
      <c r="Q103" s="43" t="n">
        <v>0.0714</v>
      </c>
      <c r="R103" s="43" t="n">
        <f aca="false">IF(K103="",0,INDEX(目次・前提!$B$35:$B$54,MIN(20,MAX(1,ROUND(K103,0)))))</f>
        <v>0.04</v>
      </c>
      <c r="S103" s="42" t="n">
        <f aca="false">MAX(0,P103*30*(R103-Q103))</f>
        <v>0</v>
      </c>
      <c r="T103" s="10" t="s">
        <v>416</v>
      </c>
      <c r="U103" s="10" t="s">
        <v>996</v>
      </c>
      <c r="V103" s="13" t="s">
        <v>372</v>
      </c>
      <c r="W103" s="10" t="s">
        <v>373</v>
      </c>
      <c r="X103" s="28" t="s">
        <v>899</v>
      </c>
      <c r="Y103" s="10" t="s">
        <v>586</v>
      </c>
      <c r="Z103" s="10" t="s">
        <v>958</v>
      </c>
      <c r="AA103" s="28" t="s">
        <v>646</v>
      </c>
      <c r="AB103" s="13" t="s">
        <v>366</v>
      </c>
      <c r="AC103" s="13" t="s">
        <v>588</v>
      </c>
    </row>
    <row r="104" customFormat="false" ht="90" hidden="false" customHeight="true" outlineLevel="0" collapsed="false">
      <c r="A104" s="53" t="n">
        <v>100</v>
      </c>
      <c r="B104" s="54" t="s">
        <v>776</v>
      </c>
      <c r="C104" s="55" t="s">
        <v>777</v>
      </c>
      <c r="D104" s="28" t="s">
        <v>997</v>
      </c>
      <c r="E104" s="10" t="s">
        <v>527</v>
      </c>
      <c r="F104" s="10" t="s">
        <v>792</v>
      </c>
      <c r="G104" s="42" t="n">
        <v>72</v>
      </c>
      <c r="H104" s="42" t="n">
        <v>1</v>
      </c>
      <c r="I104" s="43" t="n">
        <f aca="false">IFERROR(H104/G104,0)</f>
        <v>0.0138888888888889</v>
      </c>
      <c r="J104" s="44" t="n">
        <v>9.3</v>
      </c>
      <c r="K104" s="44" t="n">
        <v>9.9</v>
      </c>
      <c r="L104" s="44" t="n">
        <v>0</v>
      </c>
      <c r="M104" s="44" t="n">
        <v>0.04</v>
      </c>
      <c r="N104" s="45" t="s">
        <v>339</v>
      </c>
      <c r="O104" s="42" t="n">
        <f aca="false">M104*30</f>
        <v>1.2</v>
      </c>
      <c r="P104" s="46" t="n">
        <v>1.8</v>
      </c>
      <c r="Q104" s="43" t="n">
        <v>0.0196</v>
      </c>
      <c r="R104" s="43" t="n">
        <f aca="false">IF(K104="",0,INDEX(目次・前提!$B$35:$B$54,MIN(20,MAX(1,ROUND(K104,0)))))</f>
        <v>0.035</v>
      </c>
      <c r="S104" s="42" t="n">
        <f aca="false">MAX(0,P104*30*(R104-Q104))</f>
        <v>0.8316</v>
      </c>
      <c r="T104" s="10" t="s">
        <v>416</v>
      </c>
      <c r="U104" s="28" t="s">
        <v>998</v>
      </c>
      <c r="V104" s="13" t="s">
        <v>348</v>
      </c>
      <c r="W104" s="10" t="s">
        <v>999</v>
      </c>
      <c r="X104" s="10" t="s">
        <v>1000</v>
      </c>
      <c r="Y104" s="28" t="s">
        <v>813</v>
      </c>
      <c r="Z104" s="10" t="s">
        <v>796</v>
      </c>
      <c r="AA104" s="28" t="s">
        <v>550</v>
      </c>
      <c r="AB104" s="13" t="s">
        <v>366</v>
      </c>
      <c r="AC104" s="13" t="s">
        <v>588</v>
      </c>
    </row>
    <row r="105" customFormat="false" ht="90" hidden="false" customHeight="true" outlineLevel="0" collapsed="false">
      <c r="A105" s="14" t="n">
        <v>101</v>
      </c>
      <c r="B105" s="56" t="s">
        <v>1001</v>
      </c>
      <c r="C105" s="12" t="s">
        <v>1002</v>
      </c>
      <c r="D105" s="28" t="s">
        <v>1003</v>
      </c>
      <c r="E105" s="28" t="s">
        <v>220</v>
      </c>
      <c r="F105" s="28" t="s">
        <v>1004</v>
      </c>
      <c r="G105" s="42" t="n">
        <v>150</v>
      </c>
      <c r="H105" s="42" t="n">
        <v>3</v>
      </c>
      <c r="I105" s="43" t="n">
        <f aca="false">IFERROR(H105/G105,0)</f>
        <v>0.02</v>
      </c>
      <c r="J105" s="44" t="n">
        <v>19.3</v>
      </c>
      <c r="K105" s="44" t="n">
        <v>8.9</v>
      </c>
      <c r="L105" s="44" t="n">
        <v>0.05</v>
      </c>
      <c r="M105" s="44" t="n">
        <v>0</v>
      </c>
      <c r="N105" s="45" t="s">
        <v>339</v>
      </c>
      <c r="O105" s="42" t="n">
        <f aca="false">M105*30</f>
        <v>0</v>
      </c>
      <c r="P105" s="46" t="n">
        <v>0.8</v>
      </c>
      <c r="Q105" s="43" t="n">
        <v>0</v>
      </c>
      <c r="R105" s="43" t="n">
        <f aca="false">IF(K105="",0,INDEX(目次・前提!$B$35:$B$54,MIN(20,MAX(1,ROUND(K105,0)))))</f>
        <v>0.04</v>
      </c>
      <c r="S105" s="42" t="n">
        <f aca="false">MAX(0,P105*30*(R105-Q105))</f>
        <v>0.96</v>
      </c>
      <c r="T105" s="10" t="s">
        <v>1005</v>
      </c>
      <c r="U105" s="10" t="s">
        <v>1006</v>
      </c>
      <c r="V105" s="13" t="s">
        <v>372</v>
      </c>
      <c r="W105" s="10" t="s">
        <v>373</v>
      </c>
      <c r="X105" s="28" t="s">
        <v>1007</v>
      </c>
      <c r="Y105" s="10" t="s">
        <v>1008</v>
      </c>
      <c r="Z105" s="10" t="s">
        <v>889</v>
      </c>
      <c r="AA105" s="28" t="s">
        <v>550</v>
      </c>
      <c r="AB105" s="13" t="s">
        <v>366</v>
      </c>
      <c r="AC105" s="13" t="s">
        <v>588</v>
      </c>
    </row>
    <row r="106" customFormat="false" ht="90" hidden="false" customHeight="true" outlineLevel="0" collapsed="false">
      <c r="A106" s="14" t="n">
        <v>102</v>
      </c>
      <c r="B106" s="56" t="s">
        <v>1001</v>
      </c>
      <c r="C106" s="12" t="s">
        <v>1002</v>
      </c>
      <c r="D106" s="28" t="s">
        <v>1009</v>
      </c>
      <c r="E106" s="10" t="s">
        <v>527</v>
      </c>
      <c r="F106" s="10" t="s">
        <v>947</v>
      </c>
      <c r="G106" s="42" t="n">
        <v>63</v>
      </c>
      <c r="H106" s="42" t="n">
        <v>0</v>
      </c>
      <c r="I106" s="43" t="n">
        <f aca="false">IFERROR(H106/G106,0)</f>
        <v>0</v>
      </c>
      <c r="J106" s="44" t="n">
        <v>9</v>
      </c>
      <c r="K106" s="44" t="n">
        <v>9.2</v>
      </c>
      <c r="L106" s="44" t="n">
        <v>0</v>
      </c>
      <c r="M106" s="44" t="n">
        <v>0</v>
      </c>
      <c r="N106" s="45" t="s">
        <v>339</v>
      </c>
      <c r="O106" s="42" t="n">
        <f aca="false">M106*30</f>
        <v>0</v>
      </c>
      <c r="P106" s="46" t="n">
        <v>1.4</v>
      </c>
      <c r="Q106" s="43" t="n">
        <v>0</v>
      </c>
      <c r="R106" s="43" t="n">
        <f aca="false">IF(K106="",0,INDEX(目次・前提!$B$35:$B$54,MIN(20,MAX(1,ROUND(K106,0)))))</f>
        <v>0.04</v>
      </c>
      <c r="S106" s="42" t="n">
        <f aca="false">MAX(0,P106*30*(R106-Q106))</f>
        <v>1.68</v>
      </c>
      <c r="T106" s="10" t="s">
        <v>416</v>
      </c>
      <c r="U106" s="28" t="s">
        <v>1010</v>
      </c>
      <c r="V106" s="13" t="s">
        <v>372</v>
      </c>
      <c r="W106" s="10" t="s">
        <v>373</v>
      </c>
      <c r="X106" s="10" t="s">
        <v>812</v>
      </c>
      <c r="Y106" s="28" t="s">
        <v>813</v>
      </c>
      <c r="Z106" s="10" t="s">
        <v>1011</v>
      </c>
      <c r="AA106" s="10" t="s">
        <v>632</v>
      </c>
      <c r="AB106" s="13" t="s">
        <v>366</v>
      </c>
      <c r="AC106" s="13" t="s">
        <v>588</v>
      </c>
    </row>
    <row r="107" customFormat="false" ht="90" hidden="false" customHeight="true" outlineLevel="0" collapsed="false">
      <c r="A107" s="14" t="n">
        <v>103</v>
      </c>
      <c r="B107" s="56" t="s">
        <v>1001</v>
      </c>
      <c r="C107" s="12" t="s">
        <v>1002</v>
      </c>
      <c r="D107" s="28" t="s">
        <v>1012</v>
      </c>
      <c r="E107" s="10" t="s">
        <v>527</v>
      </c>
      <c r="F107" s="10" t="s">
        <v>947</v>
      </c>
      <c r="G107" s="42" t="n">
        <v>91</v>
      </c>
      <c r="H107" s="42" t="n">
        <v>0</v>
      </c>
      <c r="I107" s="43" t="n">
        <f aca="false">IFERROR(H107/G107,0)</f>
        <v>0</v>
      </c>
      <c r="J107" s="44" t="n">
        <v>13.7</v>
      </c>
      <c r="K107" s="44" t="n">
        <v>15</v>
      </c>
      <c r="L107" s="44" t="n">
        <v>0</v>
      </c>
      <c r="M107" s="44" t="n">
        <v>0</v>
      </c>
      <c r="N107" s="45" t="s">
        <v>339</v>
      </c>
      <c r="O107" s="42" t="n">
        <f aca="false">M107*30</f>
        <v>0</v>
      </c>
      <c r="P107" s="46" t="n">
        <v>2.2</v>
      </c>
      <c r="Q107" s="43" t="n">
        <v>0</v>
      </c>
      <c r="R107" s="43" t="n">
        <f aca="false">IF(K107="",0,INDEX(目次・前提!$B$35:$B$54,MIN(20,MAX(1,ROUND(K107,0)))))</f>
        <v>0.025</v>
      </c>
      <c r="S107" s="42" t="n">
        <f aca="false">MAX(0,P107*30*(R107-Q107))</f>
        <v>1.65</v>
      </c>
      <c r="T107" s="10" t="s">
        <v>416</v>
      </c>
      <c r="U107" s="10" t="s">
        <v>1013</v>
      </c>
      <c r="V107" s="13" t="s">
        <v>372</v>
      </c>
      <c r="W107" s="10" t="s">
        <v>373</v>
      </c>
      <c r="X107" s="28" t="s">
        <v>899</v>
      </c>
      <c r="Y107" s="10" t="s">
        <v>586</v>
      </c>
      <c r="Z107" s="10" t="s">
        <v>958</v>
      </c>
      <c r="AA107" s="28" t="s">
        <v>646</v>
      </c>
      <c r="AB107" s="13" t="s">
        <v>366</v>
      </c>
      <c r="AC107" s="13" t="s">
        <v>588</v>
      </c>
    </row>
    <row r="108" customFormat="false" ht="90" hidden="false" customHeight="true" outlineLevel="0" collapsed="false">
      <c r="A108" s="14" t="n">
        <v>104</v>
      </c>
      <c r="B108" s="56" t="s">
        <v>1001</v>
      </c>
      <c r="C108" s="12" t="s">
        <v>1002</v>
      </c>
      <c r="D108" s="28" t="s">
        <v>1014</v>
      </c>
      <c r="E108" s="10" t="s">
        <v>224</v>
      </c>
      <c r="F108" s="10" t="s">
        <v>1015</v>
      </c>
      <c r="G108" s="42" t="n">
        <v>198</v>
      </c>
      <c r="H108" s="42" t="n">
        <v>1</v>
      </c>
      <c r="I108" s="43" t="n">
        <f aca="false">IFERROR(H108/G108,0)</f>
        <v>0.00505050505050505</v>
      </c>
      <c r="J108" s="44" t="n">
        <v>16.6</v>
      </c>
      <c r="K108" s="44" t="n">
        <v>7.9</v>
      </c>
      <c r="L108" s="44" t="n">
        <v>0.02</v>
      </c>
      <c r="M108" s="44" t="n">
        <v>0</v>
      </c>
      <c r="N108" s="45" t="s">
        <v>339</v>
      </c>
      <c r="O108" s="42" t="n">
        <f aca="false">M108*30</f>
        <v>0</v>
      </c>
      <c r="P108" s="46" t="n">
        <v>0.5</v>
      </c>
      <c r="Q108" s="43" t="n">
        <v>0</v>
      </c>
      <c r="R108" s="43" t="n">
        <f aca="false">IF(K108="",0,INDEX(目次・前提!$B$35:$B$54,MIN(20,MAX(1,ROUND(K108,0)))))</f>
        <v>0.045</v>
      </c>
      <c r="S108" s="42" t="n">
        <f aca="false">MAX(0,P108*30*(R108-Q108))</f>
        <v>0.675</v>
      </c>
      <c r="T108" s="10" t="s">
        <v>1016</v>
      </c>
      <c r="U108" s="10" t="s">
        <v>1017</v>
      </c>
      <c r="V108" s="13" t="s">
        <v>372</v>
      </c>
      <c r="W108" s="10" t="s">
        <v>373</v>
      </c>
      <c r="X108" s="28" t="s">
        <v>1018</v>
      </c>
      <c r="Y108" s="10" t="s">
        <v>1019</v>
      </c>
      <c r="Z108" s="10" t="s">
        <v>814</v>
      </c>
      <c r="AA108" s="10" t="s">
        <v>395</v>
      </c>
      <c r="AB108" s="13" t="s">
        <v>366</v>
      </c>
      <c r="AC108" s="13" t="s">
        <v>588</v>
      </c>
    </row>
    <row r="109" customFormat="false" ht="90" hidden="false" customHeight="true" outlineLevel="0" collapsed="false">
      <c r="A109" s="53" t="n">
        <v>105</v>
      </c>
      <c r="B109" s="54" t="s">
        <v>776</v>
      </c>
      <c r="C109" s="55" t="s">
        <v>777</v>
      </c>
      <c r="D109" s="28" t="s">
        <v>1020</v>
      </c>
      <c r="E109" s="10" t="s">
        <v>236</v>
      </c>
      <c r="F109" s="10" t="s">
        <v>595</v>
      </c>
      <c r="G109" s="42" t="n">
        <v>71</v>
      </c>
      <c r="H109" s="42" t="n">
        <v>1</v>
      </c>
      <c r="I109" s="43" t="n">
        <f aca="false">IFERROR(H109/G109,0)</f>
        <v>0.0140845070422535</v>
      </c>
      <c r="J109" s="44" t="n">
        <v>9.9</v>
      </c>
      <c r="K109" s="44" t="n">
        <v>8.8</v>
      </c>
      <c r="L109" s="44" t="n">
        <v>0</v>
      </c>
      <c r="M109" s="44" t="n">
        <v>0.04</v>
      </c>
      <c r="N109" s="45" t="s">
        <v>339</v>
      </c>
      <c r="O109" s="42" t="n">
        <f aca="false">M109*30</f>
        <v>1.2</v>
      </c>
      <c r="P109" s="46" t="n">
        <v>0.9</v>
      </c>
      <c r="Q109" s="43" t="n">
        <v>0.0417</v>
      </c>
      <c r="R109" s="43" t="n">
        <f aca="false">IF(K109="",0,INDEX(目次・前提!$B$35:$B$54,MIN(20,MAX(1,ROUND(K109,0)))))</f>
        <v>0.04</v>
      </c>
      <c r="S109" s="42" t="n">
        <f aca="false">MAX(0,P109*30*(R109-Q109))</f>
        <v>0</v>
      </c>
      <c r="T109" s="10" t="s">
        <v>416</v>
      </c>
      <c r="U109" s="28" t="s">
        <v>1021</v>
      </c>
      <c r="V109" s="13" t="s">
        <v>342</v>
      </c>
      <c r="W109" s="10" t="s">
        <v>1022</v>
      </c>
      <c r="X109" s="10" t="s">
        <v>1023</v>
      </c>
      <c r="Y109" s="28" t="s">
        <v>616</v>
      </c>
      <c r="Z109" s="10" t="s">
        <v>579</v>
      </c>
      <c r="AA109" s="10" t="s">
        <v>347</v>
      </c>
      <c r="AB109" s="13" t="s">
        <v>366</v>
      </c>
      <c r="AC109" s="13" t="s">
        <v>588</v>
      </c>
    </row>
    <row r="110" customFormat="false" ht="90" hidden="false" customHeight="true" outlineLevel="0" collapsed="false">
      <c r="A110" s="14" t="n">
        <v>106</v>
      </c>
      <c r="B110" s="56" t="s">
        <v>1001</v>
      </c>
      <c r="C110" s="12" t="s">
        <v>1002</v>
      </c>
      <c r="D110" s="28" t="s">
        <v>1024</v>
      </c>
      <c r="E110" s="10" t="s">
        <v>224</v>
      </c>
      <c r="F110" s="28" t="s">
        <v>989</v>
      </c>
      <c r="G110" s="42" t="n">
        <v>49</v>
      </c>
      <c r="H110" s="42" t="n">
        <v>1</v>
      </c>
      <c r="I110" s="43" t="n">
        <f aca="false">IFERROR(H110/G110,0)</f>
        <v>0.0204081632653061</v>
      </c>
      <c r="J110" s="44" t="n">
        <v>33.5</v>
      </c>
      <c r="K110" s="44" t="n">
        <v>33.5</v>
      </c>
      <c r="L110" s="44" t="n">
        <v>0</v>
      </c>
      <c r="M110" s="44" t="n">
        <v>0.04</v>
      </c>
      <c r="N110" s="45" t="s">
        <v>339</v>
      </c>
      <c r="O110" s="42" t="n">
        <f aca="false">M110*30</f>
        <v>1.2</v>
      </c>
      <c r="P110" s="46" t="n">
        <v>1.8</v>
      </c>
      <c r="Q110" s="43" t="n">
        <v>0.0204</v>
      </c>
      <c r="R110" s="43" t="n">
        <f aca="false">IF(K110="",0,INDEX(目次・前提!$B$35:$B$54,MIN(20,MAX(1,ROUND(K110,0)))))</f>
        <v>0.012</v>
      </c>
      <c r="S110" s="42" t="n">
        <f aca="false">MAX(0,P110*30*(R110-Q110))</f>
        <v>0</v>
      </c>
      <c r="T110" s="10" t="s">
        <v>416</v>
      </c>
      <c r="U110" s="28" t="s">
        <v>1025</v>
      </c>
      <c r="V110" s="13" t="s">
        <v>372</v>
      </c>
      <c r="W110" s="10" t="s">
        <v>373</v>
      </c>
      <c r="X110" s="10" t="s">
        <v>953</v>
      </c>
      <c r="Y110" s="28" t="s">
        <v>903</v>
      </c>
      <c r="Z110" s="10" t="s">
        <v>954</v>
      </c>
      <c r="AA110" s="10" t="s">
        <v>1026</v>
      </c>
      <c r="AB110" s="13" t="s">
        <v>366</v>
      </c>
      <c r="AC110" s="13" t="s">
        <v>588</v>
      </c>
    </row>
    <row r="111" customFormat="false" ht="90" hidden="false" customHeight="true" outlineLevel="0" collapsed="false">
      <c r="A111" s="14" t="n">
        <v>107</v>
      </c>
      <c r="B111" s="56" t="s">
        <v>1001</v>
      </c>
      <c r="C111" s="12" t="s">
        <v>1002</v>
      </c>
      <c r="D111" s="28" t="s">
        <v>1027</v>
      </c>
      <c r="E111" s="10" t="s">
        <v>236</v>
      </c>
      <c r="F111" s="10" t="s">
        <v>1028</v>
      </c>
      <c r="G111" s="42" t="n">
        <v>5</v>
      </c>
      <c r="H111" s="42" t="n">
        <v>0</v>
      </c>
      <c r="I111" s="43" t="n">
        <f aca="false">IFERROR(H111/G111,0)</f>
        <v>0</v>
      </c>
      <c r="J111" s="44" t="n">
        <v>3</v>
      </c>
      <c r="K111" s="44" t="n">
        <v>2.2</v>
      </c>
      <c r="L111" s="44" t="n">
        <v>0</v>
      </c>
      <c r="M111" s="44" t="n">
        <v>0</v>
      </c>
      <c r="N111" s="45" t="s">
        <v>904</v>
      </c>
      <c r="O111" s="42" t="n">
        <f aca="false">M111*30</f>
        <v>0</v>
      </c>
      <c r="P111" s="46" t="n">
        <v>0.1</v>
      </c>
      <c r="Q111" s="43" t="n">
        <v>0</v>
      </c>
      <c r="R111" s="43" t="n">
        <f aca="false">IF(K111="",0,INDEX(目次・前提!$B$35:$B$54,MIN(20,MAX(1,ROUND(K111,0)))))</f>
        <v>0.2</v>
      </c>
      <c r="S111" s="42" t="n">
        <f aca="false">MAX(0,P111*30*(R111-Q111))</f>
        <v>0.6</v>
      </c>
      <c r="T111" s="10" t="s">
        <v>416</v>
      </c>
      <c r="U111" s="28" t="s">
        <v>1029</v>
      </c>
      <c r="V111" s="13" t="s">
        <v>372</v>
      </c>
      <c r="W111" s="10" t="s">
        <v>373</v>
      </c>
      <c r="X111" s="10" t="s">
        <v>953</v>
      </c>
      <c r="Y111" s="28" t="s">
        <v>903</v>
      </c>
      <c r="Z111" s="10" t="s">
        <v>954</v>
      </c>
      <c r="AA111" s="10" t="s">
        <v>386</v>
      </c>
      <c r="AB111" s="13" t="s">
        <v>366</v>
      </c>
      <c r="AC111" s="13" t="s">
        <v>588</v>
      </c>
    </row>
    <row r="112" customFormat="false" ht="90" hidden="false" customHeight="true" outlineLevel="0" collapsed="false">
      <c r="A112" s="14" t="n">
        <v>108</v>
      </c>
      <c r="B112" s="56" t="s">
        <v>1001</v>
      </c>
      <c r="C112" s="12" t="s">
        <v>1002</v>
      </c>
      <c r="D112" s="28" t="s">
        <v>1030</v>
      </c>
      <c r="E112" s="28" t="s">
        <v>220</v>
      </c>
      <c r="F112" s="28" t="s">
        <v>455</v>
      </c>
      <c r="G112" s="42" t="n">
        <v>223</v>
      </c>
      <c r="H112" s="42" t="n">
        <v>12</v>
      </c>
      <c r="I112" s="43" t="n">
        <f aca="false">IFERROR(H112/G112,0)</f>
        <v>0.0538116591928251</v>
      </c>
      <c r="J112" s="44" t="n">
        <v>9.9</v>
      </c>
      <c r="K112" s="44" t="n">
        <v>5.4</v>
      </c>
      <c r="L112" s="44" t="n">
        <v>0.19</v>
      </c>
      <c r="M112" s="44" t="n">
        <v>0</v>
      </c>
      <c r="N112" s="45" t="s">
        <v>339</v>
      </c>
      <c r="O112" s="42" t="n">
        <f aca="false">M112*30</f>
        <v>0</v>
      </c>
      <c r="P112" s="46" t="n">
        <v>0.2</v>
      </c>
      <c r="Q112" s="43" t="n">
        <v>0</v>
      </c>
      <c r="R112" s="43" t="n">
        <f aca="false">IF(K112="",0,INDEX(目次・前提!$B$35:$B$54,MIN(20,MAX(1,ROUND(K112,0)))))</f>
        <v>0.08</v>
      </c>
      <c r="S112" s="42" t="n">
        <f aca="false">MAX(0,P112*30*(R112-Q112))</f>
        <v>0.48</v>
      </c>
      <c r="T112" s="28" t="s">
        <v>1031</v>
      </c>
      <c r="U112" s="28" t="s">
        <v>1032</v>
      </c>
      <c r="V112" s="13" t="s">
        <v>372</v>
      </c>
      <c r="W112" s="10" t="s">
        <v>373</v>
      </c>
      <c r="X112" s="10" t="s">
        <v>1033</v>
      </c>
      <c r="Y112" s="10" t="s">
        <v>1034</v>
      </c>
      <c r="Z112" s="10" t="s">
        <v>704</v>
      </c>
      <c r="AA112" s="10" t="s">
        <v>386</v>
      </c>
      <c r="AB112" s="13" t="s">
        <v>366</v>
      </c>
      <c r="AC112" s="13" t="s">
        <v>588</v>
      </c>
    </row>
    <row r="113" customFormat="false" ht="90" hidden="false" customHeight="true" outlineLevel="0" collapsed="false">
      <c r="A113" s="14" t="n">
        <v>109</v>
      </c>
      <c r="B113" s="56" t="s">
        <v>1001</v>
      </c>
      <c r="C113" s="12" t="s">
        <v>1002</v>
      </c>
      <c r="D113" s="28" t="s">
        <v>1035</v>
      </c>
      <c r="E113" s="10" t="s">
        <v>224</v>
      </c>
      <c r="F113" s="10" t="s">
        <v>748</v>
      </c>
      <c r="G113" s="42" t="n">
        <v>45</v>
      </c>
      <c r="H113" s="42" t="n">
        <v>0</v>
      </c>
      <c r="I113" s="43" t="n">
        <f aca="false">IFERROR(H113/G113,0)</f>
        <v>0</v>
      </c>
      <c r="J113" s="44" t="n">
        <v>21.1</v>
      </c>
      <c r="K113" s="44" t="n">
        <v>19.2</v>
      </c>
      <c r="L113" s="44" t="n">
        <v>0</v>
      </c>
      <c r="M113" s="44" t="n">
        <v>0</v>
      </c>
      <c r="N113" s="45" t="s">
        <v>339</v>
      </c>
      <c r="O113" s="42" t="n">
        <f aca="false">M113*30</f>
        <v>0</v>
      </c>
      <c r="P113" s="46" t="n">
        <v>1.3</v>
      </c>
      <c r="Q113" s="43" t="n">
        <v>0</v>
      </c>
      <c r="R113" s="43" t="n">
        <f aca="false">IF(K113="",0,INDEX(目次・前提!$B$35:$B$54,MIN(20,MAX(1,ROUND(K113,0)))))</f>
        <v>0.012</v>
      </c>
      <c r="S113" s="42" t="n">
        <f aca="false">MAX(0,P113*30*(R113-Q113))</f>
        <v>0.468</v>
      </c>
      <c r="T113" s="10" t="s">
        <v>416</v>
      </c>
      <c r="U113" s="28" t="s">
        <v>1036</v>
      </c>
      <c r="V113" s="13" t="s">
        <v>366</v>
      </c>
      <c r="W113" s="10" t="s">
        <v>1037</v>
      </c>
      <c r="X113" s="10" t="s">
        <v>953</v>
      </c>
      <c r="Y113" s="28" t="s">
        <v>903</v>
      </c>
      <c r="Z113" s="10" t="s">
        <v>954</v>
      </c>
      <c r="AA113" s="28" t="s">
        <v>550</v>
      </c>
      <c r="AB113" s="13" t="s">
        <v>366</v>
      </c>
      <c r="AC113" s="13" t="s">
        <v>588</v>
      </c>
    </row>
    <row r="114" customFormat="false" ht="90" hidden="false" customHeight="true" outlineLevel="0" collapsed="false">
      <c r="A114" s="14" t="n">
        <v>110</v>
      </c>
      <c r="B114" s="56" t="s">
        <v>1001</v>
      </c>
      <c r="C114" s="12" t="s">
        <v>1002</v>
      </c>
      <c r="D114" s="28" t="s">
        <v>1038</v>
      </c>
      <c r="E114" s="10" t="s">
        <v>527</v>
      </c>
      <c r="F114" s="28" t="s">
        <v>1039</v>
      </c>
      <c r="G114" s="42" t="n">
        <v>22</v>
      </c>
      <c r="H114" s="42" t="n">
        <v>1</v>
      </c>
      <c r="I114" s="43" t="n">
        <f aca="false">IFERROR(H114/G114,0)</f>
        <v>0.0454545454545455</v>
      </c>
      <c r="J114" s="44" t="n">
        <v>31.2</v>
      </c>
      <c r="K114" s="44" t="n">
        <v>33.2</v>
      </c>
      <c r="L114" s="44" t="n">
        <v>0</v>
      </c>
      <c r="M114" s="44" t="n">
        <v>0.04</v>
      </c>
      <c r="N114" s="45" t="s">
        <v>904</v>
      </c>
      <c r="O114" s="42" t="n">
        <f aca="false">M114*30</f>
        <v>1.2</v>
      </c>
      <c r="P114" s="46" t="n">
        <v>0.7</v>
      </c>
      <c r="Q114" s="43" t="n">
        <v>0.05</v>
      </c>
      <c r="R114" s="43" t="n">
        <f aca="false">IF(K114="",0,INDEX(目次・前提!$B$35:$B$54,MIN(20,MAX(1,ROUND(K114,0)))))</f>
        <v>0.012</v>
      </c>
      <c r="S114" s="42" t="n">
        <f aca="false">MAX(0,P114*30*(R114-Q114))</f>
        <v>0</v>
      </c>
      <c r="T114" s="10" t="s">
        <v>1040</v>
      </c>
      <c r="U114" s="28" t="s">
        <v>1041</v>
      </c>
      <c r="V114" s="13" t="s">
        <v>372</v>
      </c>
      <c r="W114" s="10" t="s">
        <v>373</v>
      </c>
      <c r="X114" s="10" t="s">
        <v>953</v>
      </c>
      <c r="Y114" s="28" t="s">
        <v>903</v>
      </c>
      <c r="Z114" s="10" t="s">
        <v>954</v>
      </c>
      <c r="AA114" s="10" t="s">
        <v>632</v>
      </c>
      <c r="AB114" s="13" t="s">
        <v>366</v>
      </c>
      <c r="AC114" s="13" t="s">
        <v>588</v>
      </c>
    </row>
    <row r="115" customFormat="false" ht="90" hidden="false" customHeight="true" outlineLevel="0" collapsed="false">
      <c r="A115" s="14" t="n">
        <v>111</v>
      </c>
      <c r="B115" s="56" t="s">
        <v>1001</v>
      </c>
      <c r="C115" s="12" t="s">
        <v>1002</v>
      </c>
      <c r="D115" s="28" t="s">
        <v>1042</v>
      </c>
      <c r="E115" s="10" t="s">
        <v>224</v>
      </c>
      <c r="F115" s="28" t="s">
        <v>1043</v>
      </c>
      <c r="G115" s="42" t="n">
        <v>63</v>
      </c>
      <c r="H115" s="42" t="n">
        <v>1</v>
      </c>
      <c r="I115" s="43" t="n">
        <f aca="false">IFERROR(H115/G115,0)</f>
        <v>0.0158730158730159</v>
      </c>
      <c r="J115" s="44" t="n">
        <v>12.7</v>
      </c>
      <c r="K115" s="44" t="n">
        <v>8.2</v>
      </c>
      <c r="L115" s="44" t="n">
        <v>0.02</v>
      </c>
      <c r="M115" s="44" t="n">
        <v>0</v>
      </c>
      <c r="N115" s="45" t="s">
        <v>339</v>
      </c>
      <c r="O115" s="42" t="n">
        <f aca="false">M115*30</f>
        <v>0</v>
      </c>
      <c r="P115" s="46" t="n">
        <v>0.6</v>
      </c>
      <c r="Q115" s="43" t="n">
        <v>0</v>
      </c>
      <c r="R115" s="43" t="n">
        <f aca="false">IF(K115="",0,INDEX(目次・前提!$B$35:$B$54,MIN(20,MAX(1,ROUND(K115,0)))))</f>
        <v>0.045</v>
      </c>
      <c r="S115" s="42" t="n">
        <f aca="false">MAX(0,P115*30*(R115-Q115))</f>
        <v>0.81</v>
      </c>
      <c r="T115" s="10" t="s">
        <v>416</v>
      </c>
      <c r="U115" s="10" t="s">
        <v>1044</v>
      </c>
      <c r="V115" s="13" t="s">
        <v>372</v>
      </c>
      <c r="W115" s="10" t="s">
        <v>373</v>
      </c>
      <c r="X115" s="28" t="s">
        <v>899</v>
      </c>
      <c r="Y115" s="10" t="s">
        <v>586</v>
      </c>
      <c r="Z115" s="10" t="s">
        <v>814</v>
      </c>
      <c r="AA115" s="10" t="s">
        <v>1045</v>
      </c>
      <c r="AB115" s="13" t="s">
        <v>366</v>
      </c>
      <c r="AC115" s="13" t="s">
        <v>588</v>
      </c>
    </row>
    <row r="116" customFormat="false" ht="90" hidden="false" customHeight="true" outlineLevel="0" collapsed="false">
      <c r="A116" s="14" t="n">
        <v>112</v>
      </c>
      <c r="B116" s="56" t="s">
        <v>1001</v>
      </c>
      <c r="C116" s="12" t="s">
        <v>1002</v>
      </c>
      <c r="D116" s="28" t="s">
        <v>1046</v>
      </c>
      <c r="E116" s="10" t="s">
        <v>236</v>
      </c>
      <c r="F116" s="10" t="s">
        <v>1047</v>
      </c>
      <c r="G116" s="42" t="n">
        <v>14</v>
      </c>
      <c r="H116" s="42" t="n">
        <v>0</v>
      </c>
      <c r="I116" s="43" t="n">
        <f aca="false">IFERROR(H116/G116,0)</f>
        <v>0</v>
      </c>
      <c r="J116" s="44" t="n">
        <v>10.3</v>
      </c>
      <c r="K116" s="44" t="n">
        <v>6.4</v>
      </c>
      <c r="L116" s="44" t="n">
        <v>0</v>
      </c>
      <c r="M116" s="44" t="n">
        <v>0</v>
      </c>
      <c r="N116" s="45" t="s">
        <v>904</v>
      </c>
      <c r="O116" s="42" t="n">
        <f aca="false">M116*30</f>
        <v>0</v>
      </c>
      <c r="P116" s="46" t="n">
        <v>0.3</v>
      </c>
      <c r="Q116" s="43" t="n">
        <v>0</v>
      </c>
      <c r="R116" s="43" t="n">
        <f aca="false">IF(K116="",0,INDEX(目次・前提!$B$35:$B$54,MIN(20,MAX(1,ROUND(K116,0)))))</f>
        <v>0.06</v>
      </c>
      <c r="S116" s="42" t="n">
        <f aca="false">MAX(0,P116*30*(R116-Q116))</f>
        <v>0.54</v>
      </c>
      <c r="T116" s="10" t="s">
        <v>416</v>
      </c>
      <c r="U116" s="28" t="s">
        <v>1048</v>
      </c>
      <c r="V116" s="13" t="s">
        <v>372</v>
      </c>
      <c r="W116" s="10" t="s">
        <v>373</v>
      </c>
      <c r="X116" s="10" t="s">
        <v>953</v>
      </c>
      <c r="Y116" s="28" t="s">
        <v>903</v>
      </c>
      <c r="Z116" s="10" t="s">
        <v>954</v>
      </c>
      <c r="AA116" s="10" t="s">
        <v>386</v>
      </c>
      <c r="AB116" s="13" t="s">
        <v>366</v>
      </c>
      <c r="AC116" s="13" t="s">
        <v>588</v>
      </c>
    </row>
    <row r="117" customFormat="false" ht="90" hidden="false" customHeight="true" outlineLevel="0" collapsed="false">
      <c r="A117" s="53" t="n">
        <v>113</v>
      </c>
      <c r="B117" s="54" t="s">
        <v>776</v>
      </c>
      <c r="C117" s="55" t="s">
        <v>777</v>
      </c>
      <c r="D117" s="28" t="s">
        <v>1049</v>
      </c>
      <c r="E117" s="10" t="s">
        <v>224</v>
      </c>
      <c r="F117" s="10" t="s">
        <v>415</v>
      </c>
      <c r="G117" s="42" t="n">
        <v>1</v>
      </c>
      <c r="H117" s="42" t="n">
        <v>0</v>
      </c>
      <c r="I117" s="43" t="n">
        <f aca="false">IFERROR(H117/G117,0)</f>
        <v>0</v>
      </c>
      <c r="J117" s="44" t="n">
        <v>1</v>
      </c>
      <c r="K117" s="44" t="n">
        <v>1</v>
      </c>
      <c r="L117" s="44" t="n">
        <v>0</v>
      </c>
      <c r="M117" s="44" t="n">
        <v>0</v>
      </c>
      <c r="N117" s="45" t="s">
        <v>904</v>
      </c>
      <c r="O117" s="42" t="n">
        <f aca="false">M117*30</f>
        <v>0</v>
      </c>
      <c r="P117" s="46" t="n">
        <v>0</v>
      </c>
      <c r="Q117" s="43" t="n">
        <v>0</v>
      </c>
      <c r="R117" s="43" t="n">
        <f aca="false">IF(K117="",0,INDEX(目次・前提!$B$35:$B$54,MIN(20,MAX(1,ROUND(K117,0)))))</f>
        <v>0.3</v>
      </c>
      <c r="S117" s="42" t="n">
        <f aca="false">MAX(0,P117*30*(R117-Q117))</f>
        <v>0</v>
      </c>
      <c r="T117" s="10" t="s">
        <v>416</v>
      </c>
      <c r="U117" s="28" t="s">
        <v>1050</v>
      </c>
      <c r="V117" s="13" t="s">
        <v>348</v>
      </c>
      <c r="W117" s="10" t="s">
        <v>1051</v>
      </c>
      <c r="X117" s="10" t="s">
        <v>1052</v>
      </c>
      <c r="Y117" s="28" t="s">
        <v>616</v>
      </c>
      <c r="Z117" s="10" t="s">
        <v>579</v>
      </c>
      <c r="AA117" s="10" t="s">
        <v>386</v>
      </c>
      <c r="AB117" s="13" t="s">
        <v>366</v>
      </c>
      <c r="AC117" s="13" t="s">
        <v>588</v>
      </c>
    </row>
    <row r="118" customFormat="false" ht="90" hidden="false" customHeight="true" outlineLevel="0" collapsed="false">
      <c r="A118" s="14" t="n">
        <v>114</v>
      </c>
      <c r="B118" s="56" t="s">
        <v>1001</v>
      </c>
      <c r="C118" s="12" t="s">
        <v>1002</v>
      </c>
      <c r="D118" s="28" t="s">
        <v>1053</v>
      </c>
      <c r="E118" s="10" t="s">
        <v>527</v>
      </c>
      <c r="F118" s="28" t="s">
        <v>1054</v>
      </c>
      <c r="G118" s="42" t="n">
        <v>21</v>
      </c>
      <c r="H118" s="42" t="n">
        <v>0</v>
      </c>
      <c r="I118" s="43" t="n">
        <f aca="false">IFERROR(H118/G118,0)</f>
        <v>0</v>
      </c>
      <c r="J118" s="44" t="n">
        <v>6.9</v>
      </c>
      <c r="K118" s="44" t="n">
        <v>8.1</v>
      </c>
      <c r="L118" s="44" t="n">
        <v>0</v>
      </c>
      <c r="M118" s="44" t="n">
        <v>0</v>
      </c>
      <c r="N118" s="45" t="s">
        <v>904</v>
      </c>
      <c r="O118" s="42" t="n">
        <f aca="false">M118*30</f>
        <v>0</v>
      </c>
      <c r="P118" s="46" t="n">
        <v>0.5</v>
      </c>
      <c r="Q118" s="43" t="n">
        <v>0</v>
      </c>
      <c r="R118" s="43" t="n">
        <f aca="false">IF(K118="",0,INDEX(目次・前提!$B$35:$B$54,MIN(20,MAX(1,ROUND(K118,0)))))</f>
        <v>0.045</v>
      </c>
      <c r="S118" s="42" t="n">
        <f aca="false">MAX(0,P118*30*(R118-Q118))</f>
        <v>0.675</v>
      </c>
      <c r="T118" s="10" t="s">
        <v>416</v>
      </c>
      <c r="U118" s="28" t="s">
        <v>1055</v>
      </c>
      <c r="V118" s="13" t="s">
        <v>372</v>
      </c>
      <c r="W118" s="10" t="s">
        <v>373</v>
      </c>
      <c r="X118" s="10" t="s">
        <v>953</v>
      </c>
      <c r="Y118" s="28" t="s">
        <v>903</v>
      </c>
      <c r="Z118" s="10" t="s">
        <v>954</v>
      </c>
      <c r="AA118" s="28" t="s">
        <v>550</v>
      </c>
      <c r="AB118" s="13" t="s">
        <v>366</v>
      </c>
      <c r="AC118" s="13" t="s">
        <v>588</v>
      </c>
    </row>
    <row r="119" customFormat="false" ht="90" hidden="false" customHeight="true" outlineLevel="0" collapsed="false">
      <c r="A119" s="14" t="n">
        <v>115</v>
      </c>
      <c r="B119" s="56" t="s">
        <v>1001</v>
      </c>
      <c r="C119" s="12" t="s">
        <v>1002</v>
      </c>
      <c r="D119" s="28" t="s">
        <v>1056</v>
      </c>
      <c r="E119" s="10" t="s">
        <v>236</v>
      </c>
      <c r="F119" s="10" t="s">
        <v>1057</v>
      </c>
      <c r="G119" s="42" t="n">
        <v>20</v>
      </c>
      <c r="H119" s="42" t="n">
        <v>1</v>
      </c>
      <c r="I119" s="43" t="n">
        <f aca="false">IFERROR(H119/G119,0)</f>
        <v>0.05</v>
      </c>
      <c r="J119" s="44" t="n">
        <v>9.2</v>
      </c>
      <c r="K119" s="44" t="n">
        <v>8.1</v>
      </c>
      <c r="L119" s="44" t="n">
        <v>0.02</v>
      </c>
      <c r="M119" s="44" t="n">
        <v>0</v>
      </c>
      <c r="N119" s="45" t="s">
        <v>904</v>
      </c>
      <c r="O119" s="42" t="n">
        <f aca="false">M119*30</f>
        <v>0</v>
      </c>
      <c r="P119" s="46" t="n">
        <v>0.3</v>
      </c>
      <c r="Q119" s="43" t="n">
        <v>0</v>
      </c>
      <c r="R119" s="43" t="n">
        <f aca="false">IF(K119="",0,INDEX(目次・前提!$B$35:$B$54,MIN(20,MAX(1,ROUND(K119,0)))))</f>
        <v>0.045</v>
      </c>
      <c r="S119" s="42" t="n">
        <f aca="false">MAX(0,P119*30*(R119-Q119))</f>
        <v>0.405</v>
      </c>
      <c r="T119" s="10" t="s">
        <v>416</v>
      </c>
      <c r="U119" s="28" t="s">
        <v>1058</v>
      </c>
      <c r="V119" s="13" t="s">
        <v>372</v>
      </c>
      <c r="W119" s="10" t="s">
        <v>373</v>
      </c>
      <c r="X119" s="10" t="s">
        <v>953</v>
      </c>
      <c r="Y119" s="28" t="s">
        <v>903</v>
      </c>
      <c r="Z119" s="10" t="s">
        <v>954</v>
      </c>
      <c r="AA119" s="10" t="s">
        <v>386</v>
      </c>
      <c r="AB119" s="13" t="s">
        <v>366</v>
      </c>
      <c r="AC119" s="13" t="s">
        <v>588</v>
      </c>
    </row>
    <row r="120" customFormat="false" ht="90" hidden="false" customHeight="true" outlineLevel="0" collapsed="false">
      <c r="A120" s="14" t="n">
        <v>116</v>
      </c>
      <c r="B120" s="56" t="s">
        <v>1001</v>
      </c>
      <c r="C120" s="12" t="s">
        <v>1002</v>
      </c>
      <c r="D120" s="28" t="s">
        <v>1059</v>
      </c>
      <c r="E120" s="28" t="s">
        <v>220</v>
      </c>
      <c r="F120" s="10" t="s">
        <v>884</v>
      </c>
      <c r="G120" s="42" t="n">
        <v>115</v>
      </c>
      <c r="H120" s="42" t="n">
        <v>0</v>
      </c>
      <c r="I120" s="43" t="n">
        <f aca="false">IFERROR(H120/G120,0)</f>
        <v>0</v>
      </c>
      <c r="J120" s="44" t="n">
        <v>15.7</v>
      </c>
      <c r="K120" s="44" t="n">
        <v>14.2</v>
      </c>
      <c r="L120" s="44" t="n">
        <v>0</v>
      </c>
      <c r="M120" s="44" t="n">
        <v>0</v>
      </c>
      <c r="N120" s="45" t="s">
        <v>339</v>
      </c>
      <c r="O120" s="42" t="n">
        <f aca="false">M120*30</f>
        <v>0</v>
      </c>
      <c r="P120" s="46" t="n">
        <v>0.4</v>
      </c>
      <c r="Q120" s="43" t="n">
        <v>0</v>
      </c>
      <c r="R120" s="43" t="n">
        <f aca="false">IF(K120="",0,INDEX(目次・前提!$B$35:$B$54,MIN(20,MAX(1,ROUND(K120,0)))))</f>
        <v>0.025</v>
      </c>
      <c r="S120" s="42" t="n">
        <f aca="false">MAX(0,P120*30*(R120-Q120))</f>
        <v>0.3</v>
      </c>
      <c r="T120" s="10" t="s">
        <v>416</v>
      </c>
      <c r="U120" s="10" t="s">
        <v>1060</v>
      </c>
      <c r="V120" s="13" t="s">
        <v>372</v>
      </c>
      <c r="W120" s="10" t="s">
        <v>373</v>
      </c>
      <c r="X120" s="28" t="s">
        <v>899</v>
      </c>
      <c r="Y120" s="10" t="s">
        <v>586</v>
      </c>
      <c r="Z120" s="10" t="s">
        <v>889</v>
      </c>
      <c r="AA120" s="28" t="s">
        <v>550</v>
      </c>
      <c r="AB120" s="13" t="s">
        <v>366</v>
      </c>
      <c r="AC120" s="13" t="s">
        <v>588</v>
      </c>
    </row>
    <row r="121" customFormat="false" ht="90" hidden="false" customHeight="true" outlineLevel="0" collapsed="false">
      <c r="A121" s="14" t="n">
        <v>117</v>
      </c>
      <c r="B121" s="56" t="s">
        <v>1001</v>
      </c>
      <c r="C121" s="12" t="s">
        <v>1002</v>
      </c>
      <c r="D121" s="28" t="s">
        <v>1061</v>
      </c>
      <c r="E121" s="10" t="s">
        <v>236</v>
      </c>
      <c r="F121" s="10" t="s">
        <v>798</v>
      </c>
      <c r="G121" s="42" t="n">
        <v>79</v>
      </c>
      <c r="H121" s="42" t="n">
        <v>0</v>
      </c>
      <c r="I121" s="43" t="n">
        <f aca="false">IFERROR(H121/G121,0)</f>
        <v>0</v>
      </c>
      <c r="J121" s="44" t="n">
        <v>20.7</v>
      </c>
      <c r="K121" s="44" t="n">
        <v>22.7</v>
      </c>
      <c r="L121" s="44" t="n">
        <v>0</v>
      </c>
      <c r="M121" s="44" t="n">
        <v>0</v>
      </c>
      <c r="N121" s="45" t="s">
        <v>339</v>
      </c>
      <c r="O121" s="42" t="n">
        <f aca="false">M121*30</f>
        <v>0</v>
      </c>
      <c r="P121" s="46" t="n">
        <v>1</v>
      </c>
      <c r="Q121" s="43" t="n">
        <v>0</v>
      </c>
      <c r="R121" s="43" t="n">
        <f aca="false">IF(K121="",0,INDEX(目次・前提!$B$35:$B$54,MIN(20,MAX(1,ROUND(K121,0)))))</f>
        <v>0.012</v>
      </c>
      <c r="S121" s="42" t="n">
        <f aca="false">MAX(0,P121*30*(R121-Q121))</f>
        <v>0.36</v>
      </c>
      <c r="T121" s="10" t="s">
        <v>1062</v>
      </c>
      <c r="U121" s="10" t="s">
        <v>1063</v>
      </c>
      <c r="V121" s="13" t="s">
        <v>348</v>
      </c>
      <c r="W121" s="10" t="s">
        <v>1064</v>
      </c>
      <c r="X121" s="10" t="s">
        <v>1065</v>
      </c>
      <c r="Y121" s="10" t="s">
        <v>1066</v>
      </c>
      <c r="Z121" s="10" t="s">
        <v>587</v>
      </c>
      <c r="AA121" s="10" t="s">
        <v>386</v>
      </c>
      <c r="AB121" s="13" t="s">
        <v>366</v>
      </c>
      <c r="AC121" s="13" t="s">
        <v>588</v>
      </c>
    </row>
    <row r="122" customFormat="false" ht="90" hidden="false" customHeight="true" outlineLevel="0" collapsed="false">
      <c r="A122" s="14" t="n">
        <v>118</v>
      </c>
      <c r="B122" s="56" t="s">
        <v>1001</v>
      </c>
      <c r="C122" s="12" t="s">
        <v>1002</v>
      </c>
      <c r="D122" s="28" t="s">
        <v>1067</v>
      </c>
      <c r="E122" s="10" t="s">
        <v>236</v>
      </c>
      <c r="F122" s="10" t="s">
        <v>798</v>
      </c>
      <c r="G122" s="42" t="n">
        <v>33</v>
      </c>
      <c r="H122" s="42" t="n">
        <v>2</v>
      </c>
      <c r="I122" s="43" t="n">
        <f aca="false">IFERROR(H122/G122,0)</f>
        <v>0.0606060606060606</v>
      </c>
      <c r="J122" s="44" t="n">
        <v>10.6</v>
      </c>
      <c r="K122" s="44" t="n">
        <v>9.8</v>
      </c>
      <c r="L122" s="44" t="n">
        <v>0.03</v>
      </c>
      <c r="M122" s="44" t="n">
        <v>0</v>
      </c>
      <c r="N122" s="45" t="s">
        <v>339</v>
      </c>
      <c r="O122" s="42" t="n">
        <f aca="false">M122*30</f>
        <v>0</v>
      </c>
      <c r="P122" s="46" t="n">
        <v>0.3</v>
      </c>
      <c r="Q122" s="43" t="n">
        <v>0</v>
      </c>
      <c r="R122" s="43" t="n">
        <f aca="false">IF(K122="",0,INDEX(目次・前提!$B$35:$B$54,MIN(20,MAX(1,ROUND(K122,0)))))</f>
        <v>0.035</v>
      </c>
      <c r="S122" s="42" t="n">
        <f aca="false">MAX(0,P122*30*(R122-Q122))</f>
        <v>0.315</v>
      </c>
      <c r="T122" s="10" t="s">
        <v>416</v>
      </c>
      <c r="U122" s="28" t="s">
        <v>1068</v>
      </c>
      <c r="V122" s="13" t="s">
        <v>348</v>
      </c>
      <c r="W122" s="10" t="s">
        <v>1069</v>
      </c>
      <c r="X122" s="10" t="s">
        <v>1070</v>
      </c>
      <c r="Y122" s="28" t="s">
        <v>903</v>
      </c>
      <c r="Z122" s="10" t="s">
        <v>954</v>
      </c>
      <c r="AA122" s="10" t="s">
        <v>386</v>
      </c>
      <c r="AB122" s="13" t="s">
        <v>366</v>
      </c>
      <c r="AC122" s="13" t="s">
        <v>588</v>
      </c>
    </row>
    <row r="123" customFormat="false" ht="90" hidden="false" customHeight="true" outlineLevel="0" collapsed="false">
      <c r="A123" s="53" t="n">
        <v>119</v>
      </c>
      <c r="B123" s="54" t="s">
        <v>776</v>
      </c>
      <c r="C123" s="55" t="s">
        <v>777</v>
      </c>
      <c r="D123" s="28" t="s">
        <v>1071</v>
      </c>
      <c r="E123" s="10" t="s">
        <v>236</v>
      </c>
      <c r="F123" s="10" t="s">
        <v>489</v>
      </c>
      <c r="G123" s="42" t="n">
        <v>99</v>
      </c>
      <c r="H123" s="42" t="n">
        <v>0</v>
      </c>
      <c r="I123" s="43" t="n">
        <f aca="false">IFERROR(H123/G123,0)</f>
        <v>0</v>
      </c>
      <c r="J123" s="44" t="n">
        <v>7.9</v>
      </c>
      <c r="K123" s="44" t="n">
        <v>1</v>
      </c>
      <c r="L123" s="44" t="n">
        <v>0</v>
      </c>
      <c r="M123" s="44" t="n">
        <v>0</v>
      </c>
      <c r="N123" s="45" t="s">
        <v>339</v>
      </c>
      <c r="O123" s="42" t="n">
        <f aca="false">M123*30</f>
        <v>0</v>
      </c>
      <c r="P123" s="46" t="n">
        <v>0</v>
      </c>
      <c r="Q123" s="43" t="n">
        <v>0</v>
      </c>
      <c r="R123" s="43" t="n">
        <f aca="false">IF(K123="",0,INDEX(目次・前提!$B$35:$B$54,MIN(20,MAX(1,ROUND(K123,0)))))</f>
        <v>0.3</v>
      </c>
      <c r="S123" s="42" t="n">
        <f aca="false">MAX(0,P123*30*(R123-Q123))</f>
        <v>0</v>
      </c>
      <c r="T123" s="10" t="s">
        <v>416</v>
      </c>
      <c r="U123" s="28" t="s">
        <v>1072</v>
      </c>
      <c r="V123" s="13" t="s">
        <v>342</v>
      </c>
      <c r="W123" s="10" t="s">
        <v>961</v>
      </c>
      <c r="X123" s="10" t="s">
        <v>638</v>
      </c>
      <c r="Y123" s="28" t="s">
        <v>616</v>
      </c>
      <c r="Z123" s="10" t="s">
        <v>579</v>
      </c>
      <c r="AA123" s="10" t="s">
        <v>386</v>
      </c>
      <c r="AB123" s="13" t="s">
        <v>366</v>
      </c>
      <c r="AC123" s="13" t="s">
        <v>588</v>
      </c>
    </row>
    <row r="124" customFormat="false" ht="90" hidden="false" customHeight="true" outlineLevel="0" collapsed="false">
      <c r="A124" s="14" t="n">
        <v>120</v>
      </c>
      <c r="B124" s="56" t="s">
        <v>1001</v>
      </c>
      <c r="C124" s="12" t="s">
        <v>1002</v>
      </c>
      <c r="D124" s="28" t="s">
        <v>1073</v>
      </c>
      <c r="E124" s="28" t="s">
        <v>535</v>
      </c>
      <c r="F124" s="28" t="s">
        <v>868</v>
      </c>
      <c r="G124" s="42" t="n">
        <v>129</v>
      </c>
      <c r="H124" s="42" t="n">
        <v>0</v>
      </c>
      <c r="I124" s="43" t="n">
        <f aca="false">IFERROR(H124/G124,0)</f>
        <v>0</v>
      </c>
      <c r="J124" s="44" t="n">
        <v>24.9</v>
      </c>
      <c r="K124" s="44" t="n">
        <v>5</v>
      </c>
      <c r="L124" s="44" t="n">
        <v>0</v>
      </c>
      <c r="M124" s="44" t="n">
        <v>0</v>
      </c>
      <c r="N124" s="45" t="s">
        <v>339</v>
      </c>
      <c r="O124" s="42" t="n">
        <f aca="false">M124*30</f>
        <v>0</v>
      </c>
      <c r="P124" s="46" t="n">
        <v>0.1</v>
      </c>
      <c r="Q124" s="43" t="n">
        <v>0</v>
      </c>
      <c r="R124" s="43" t="n">
        <f aca="false">IF(K124="",0,INDEX(目次・前提!$B$35:$B$54,MIN(20,MAX(1,ROUND(K124,0)))))</f>
        <v>0.08</v>
      </c>
      <c r="S124" s="42" t="n">
        <f aca="false">MAX(0,P124*30*(R124-Q124))</f>
        <v>0.24</v>
      </c>
      <c r="T124" s="28" t="s">
        <v>1074</v>
      </c>
      <c r="U124" s="10" t="s">
        <v>1075</v>
      </c>
      <c r="V124" s="13" t="s">
        <v>366</v>
      </c>
      <c r="W124" s="10" t="s">
        <v>1076</v>
      </c>
      <c r="X124" s="28" t="s">
        <v>1077</v>
      </c>
      <c r="Y124" s="10" t="s">
        <v>1078</v>
      </c>
      <c r="Z124" s="10" t="s">
        <v>1079</v>
      </c>
      <c r="AA124" s="28" t="s">
        <v>646</v>
      </c>
      <c r="AB124" s="13" t="s">
        <v>366</v>
      </c>
      <c r="AC124" s="13" t="s">
        <v>588</v>
      </c>
    </row>
    <row r="125" customFormat="false" ht="90" hidden="false" customHeight="true" outlineLevel="0" collapsed="false">
      <c r="A125" s="14" t="n">
        <v>121</v>
      </c>
      <c r="B125" s="56" t="s">
        <v>1001</v>
      </c>
      <c r="C125" s="12" t="s">
        <v>1002</v>
      </c>
      <c r="D125" s="28" t="s">
        <v>1080</v>
      </c>
      <c r="E125" s="10" t="s">
        <v>228</v>
      </c>
      <c r="F125" s="10" t="s">
        <v>565</v>
      </c>
      <c r="G125" s="42" t="n">
        <v>17</v>
      </c>
      <c r="H125" s="42" t="n">
        <v>1</v>
      </c>
      <c r="I125" s="43" t="n">
        <f aca="false">IFERROR(H125/G125,0)</f>
        <v>0.0588235294117647</v>
      </c>
      <c r="J125" s="44" t="n">
        <v>6.4</v>
      </c>
      <c r="K125" s="44" t="n">
        <v>7.4</v>
      </c>
      <c r="L125" s="44" t="n">
        <v>0.02</v>
      </c>
      <c r="M125" s="44" t="n">
        <v>0</v>
      </c>
      <c r="N125" s="45" t="s">
        <v>904</v>
      </c>
      <c r="O125" s="42" t="n">
        <f aca="false">M125*30</f>
        <v>0</v>
      </c>
      <c r="P125" s="46" t="n">
        <v>0.2</v>
      </c>
      <c r="Q125" s="43" t="n">
        <v>0</v>
      </c>
      <c r="R125" s="43" t="n">
        <f aca="false">IF(K125="",0,INDEX(目次・前提!$B$35:$B$54,MIN(20,MAX(1,ROUND(K125,0)))))</f>
        <v>0.05</v>
      </c>
      <c r="S125" s="42" t="n">
        <f aca="false">MAX(0,P125*30*(R125-Q125))</f>
        <v>0.3</v>
      </c>
      <c r="T125" s="10" t="s">
        <v>416</v>
      </c>
      <c r="U125" s="28" t="s">
        <v>1081</v>
      </c>
      <c r="V125" s="13" t="s">
        <v>366</v>
      </c>
      <c r="W125" s="10" t="s">
        <v>1082</v>
      </c>
      <c r="X125" s="10" t="s">
        <v>953</v>
      </c>
      <c r="Y125" s="28" t="s">
        <v>903</v>
      </c>
      <c r="Z125" s="10" t="s">
        <v>954</v>
      </c>
      <c r="AA125" s="10" t="s">
        <v>347</v>
      </c>
      <c r="AB125" s="13" t="s">
        <v>366</v>
      </c>
      <c r="AC125" s="13" t="s">
        <v>588</v>
      </c>
    </row>
    <row r="126" customFormat="false" ht="90" hidden="false" customHeight="true" outlineLevel="0" collapsed="false">
      <c r="A126" s="14" t="n">
        <v>122</v>
      </c>
      <c r="B126" s="56" t="s">
        <v>1001</v>
      </c>
      <c r="C126" s="12" t="s">
        <v>1002</v>
      </c>
      <c r="D126" s="28" t="s">
        <v>1083</v>
      </c>
      <c r="E126" s="10" t="s">
        <v>527</v>
      </c>
      <c r="F126" s="10" t="s">
        <v>1047</v>
      </c>
      <c r="G126" s="42" t="n">
        <v>16</v>
      </c>
      <c r="H126" s="42" t="n">
        <v>0</v>
      </c>
      <c r="I126" s="43" t="n">
        <f aca="false">IFERROR(H126/G126,0)</f>
        <v>0</v>
      </c>
      <c r="J126" s="44" t="n">
        <v>10.1</v>
      </c>
      <c r="K126" s="44" t="n">
        <v>10.6</v>
      </c>
      <c r="L126" s="44" t="n">
        <v>0</v>
      </c>
      <c r="M126" s="44" t="n">
        <v>0</v>
      </c>
      <c r="N126" s="45" t="s">
        <v>904</v>
      </c>
      <c r="O126" s="42" t="n">
        <f aca="false">M126*30</f>
        <v>0</v>
      </c>
      <c r="P126" s="46" t="n">
        <v>0.5</v>
      </c>
      <c r="Q126" s="43" t="n">
        <v>0</v>
      </c>
      <c r="R126" s="43" t="n">
        <f aca="false">IF(K126="",0,INDEX(目次・前提!$B$35:$B$54,MIN(20,MAX(1,ROUND(K126,0)))))</f>
        <v>0.025</v>
      </c>
      <c r="S126" s="42" t="n">
        <f aca="false">MAX(0,P126*30*(R126-Q126))</f>
        <v>0.375</v>
      </c>
      <c r="T126" s="10" t="s">
        <v>416</v>
      </c>
      <c r="U126" s="28" t="s">
        <v>1084</v>
      </c>
      <c r="V126" s="13" t="s">
        <v>372</v>
      </c>
      <c r="W126" s="10" t="s">
        <v>373</v>
      </c>
      <c r="X126" s="10" t="s">
        <v>953</v>
      </c>
      <c r="Y126" s="28" t="s">
        <v>903</v>
      </c>
      <c r="Z126" s="10" t="s">
        <v>954</v>
      </c>
      <c r="AA126" s="28" t="s">
        <v>550</v>
      </c>
      <c r="AB126" s="13" t="s">
        <v>366</v>
      </c>
      <c r="AC126" s="13" t="s">
        <v>588</v>
      </c>
    </row>
    <row r="127" customFormat="false" ht="90" hidden="false" customHeight="true" outlineLevel="0" collapsed="false">
      <c r="A127" s="53" t="n">
        <v>123</v>
      </c>
      <c r="B127" s="54" t="s">
        <v>776</v>
      </c>
      <c r="C127" s="55" t="s">
        <v>777</v>
      </c>
      <c r="D127" s="28" t="s">
        <v>1085</v>
      </c>
      <c r="E127" s="10" t="s">
        <v>236</v>
      </c>
      <c r="F127" s="10" t="s">
        <v>798</v>
      </c>
      <c r="G127" s="42" t="n">
        <v>7</v>
      </c>
      <c r="H127" s="42" t="n">
        <v>0</v>
      </c>
      <c r="I127" s="43" t="n">
        <f aca="false">IFERROR(H127/G127,0)</f>
        <v>0</v>
      </c>
      <c r="J127" s="44" t="n">
        <v>6.3</v>
      </c>
      <c r="K127" s="44" t="n">
        <v>5.8</v>
      </c>
      <c r="L127" s="44" t="n">
        <v>0</v>
      </c>
      <c r="M127" s="44" t="n">
        <v>0</v>
      </c>
      <c r="N127" s="45" t="s">
        <v>904</v>
      </c>
      <c r="O127" s="42" t="n">
        <f aca="false">M127*30</f>
        <v>0</v>
      </c>
      <c r="P127" s="46" t="n">
        <v>0.1</v>
      </c>
      <c r="Q127" s="43" t="n">
        <v>0</v>
      </c>
      <c r="R127" s="43" t="n">
        <f aca="false">IF(K127="",0,INDEX(目次・前提!$B$35:$B$54,MIN(20,MAX(1,ROUND(K127,0)))))</f>
        <v>0.06</v>
      </c>
      <c r="S127" s="42" t="n">
        <f aca="false">MAX(0,P127*30*(R127-Q127))</f>
        <v>0.18</v>
      </c>
      <c r="T127" s="10" t="s">
        <v>416</v>
      </c>
      <c r="U127" s="28" t="s">
        <v>1086</v>
      </c>
      <c r="V127" s="13" t="s">
        <v>348</v>
      </c>
      <c r="W127" s="10" t="s">
        <v>1087</v>
      </c>
      <c r="X127" s="10" t="s">
        <v>1088</v>
      </c>
      <c r="Y127" s="28" t="s">
        <v>616</v>
      </c>
      <c r="Z127" s="10" t="s">
        <v>579</v>
      </c>
      <c r="AA127" s="10" t="s">
        <v>386</v>
      </c>
      <c r="AB127" s="13" t="s">
        <v>366</v>
      </c>
      <c r="AC127" s="13" t="s">
        <v>588</v>
      </c>
    </row>
    <row r="128" customFormat="false" ht="90" hidden="false" customHeight="true" outlineLevel="0" collapsed="false">
      <c r="A128" s="14" t="n">
        <v>124</v>
      </c>
      <c r="B128" s="56" t="s">
        <v>1001</v>
      </c>
      <c r="C128" s="12" t="s">
        <v>1002</v>
      </c>
      <c r="D128" s="28" t="s">
        <v>1089</v>
      </c>
      <c r="E128" s="10" t="s">
        <v>527</v>
      </c>
      <c r="F128" s="10" t="s">
        <v>1090</v>
      </c>
      <c r="G128" s="42" t="n">
        <v>8</v>
      </c>
      <c r="H128" s="42" t="n">
        <v>0</v>
      </c>
      <c r="I128" s="43" t="n">
        <f aca="false">IFERROR(H128/G128,0)</f>
        <v>0</v>
      </c>
      <c r="J128" s="44" t="n">
        <v>6.4</v>
      </c>
      <c r="K128" s="44" t="n">
        <v>6.2</v>
      </c>
      <c r="L128" s="44" t="n">
        <v>0</v>
      </c>
      <c r="M128" s="44" t="n">
        <v>0</v>
      </c>
      <c r="N128" s="45" t="s">
        <v>904</v>
      </c>
      <c r="O128" s="42" t="n">
        <f aca="false">M128*30</f>
        <v>0</v>
      </c>
      <c r="P128" s="46" t="n">
        <v>0.1</v>
      </c>
      <c r="Q128" s="43" t="n">
        <v>0</v>
      </c>
      <c r="R128" s="43" t="n">
        <f aca="false">IF(K128="",0,INDEX(目次・前提!$B$35:$B$54,MIN(20,MAX(1,ROUND(K128,0)))))</f>
        <v>0.06</v>
      </c>
      <c r="S128" s="42" t="n">
        <f aca="false">MAX(0,P128*30*(R128-Q128))</f>
        <v>0.18</v>
      </c>
      <c r="T128" s="10" t="s">
        <v>416</v>
      </c>
      <c r="U128" s="28" t="s">
        <v>1091</v>
      </c>
      <c r="V128" s="13" t="s">
        <v>372</v>
      </c>
      <c r="W128" s="10" t="s">
        <v>373</v>
      </c>
      <c r="X128" s="10" t="s">
        <v>953</v>
      </c>
      <c r="Y128" s="28" t="s">
        <v>903</v>
      </c>
      <c r="Z128" s="10" t="s">
        <v>954</v>
      </c>
      <c r="AA128" s="10" t="s">
        <v>386</v>
      </c>
      <c r="AB128" s="13" t="s">
        <v>366</v>
      </c>
      <c r="AC128" s="13" t="s">
        <v>588</v>
      </c>
    </row>
    <row r="129" customFormat="false" ht="90" hidden="false" customHeight="true" outlineLevel="0" collapsed="false">
      <c r="A129" s="53" t="n">
        <v>125</v>
      </c>
      <c r="B129" s="54" t="s">
        <v>776</v>
      </c>
      <c r="C129" s="55" t="s">
        <v>777</v>
      </c>
      <c r="D129" s="28" t="s">
        <v>1092</v>
      </c>
      <c r="E129" s="10" t="s">
        <v>236</v>
      </c>
      <c r="F129" s="10" t="s">
        <v>816</v>
      </c>
      <c r="G129" s="42" t="n">
        <v>29</v>
      </c>
      <c r="H129" s="42" t="n">
        <v>0</v>
      </c>
      <c r="I129" s="43" t="n">
        <f aca="false">IFERROR(H129/G129,0)</f>
        <v>0</v>
      </c>
      <c r="J129" s="44" t="n">
        <v>9</v>
      </c>
      <c r="K129" s="44" t="n">
        <v>12.3</v>
      </c>
      <c r="L129" s="44" t="n">
        <v>0</v>
      </c>
      <c r="M129" s="44" t="n">
        <v>0</v>
      </c>
      <c r="N129" s="45" t="s">
        <v>904</v>
      </c>
      <c r="O129" s="42" t="n">
        <f aca="false">M129*30</f>
        <v>0</v>
      </c>
      <c r="P129" s="46" t="n">
        <v>0.2</v>
      </c>
      <c r="Q129" s="43" t="n">
        <v>0</v>
      </c>
      <c r="R129" s="43" t="n">
        <f aca="false">IF(K129="",0,INDEX(目次・前提!$B$35:$B$54,MIN(20,MAX(1,ROUND(K129,0)))))</f>
        <v>0.025</v>
      </c>
      <c r="S129" s="42" t="n">
        <f aca="false">MAX(0,P129*30*(R129-Q129))</f>
        <v>0.15</v>
      </c>
      <c r="T129" s="10" t="s">
        <v>416</v>
      </c>
      <c r="U129" s="28" t="s">
        <v>1093</v>
      </c>
      <c r="V129" s="13" t="s">
        <v>348</v>
      </c>
      <c r="W129" s="10" t="s">
        <v>1094</v>
      </c>
      <c r="X129" s="10" t="s">
        <v>1095</v>
      </c>
      <c r="Y129" s="28" t="s">
        <v>616</v>
      </c>
      <c r="Z129" s="10" t="s">
        <v>579</v>
      </c>
      <c r="AA129" s="10" t="s">
        <v>386</v>
      </c>
      <c r="AB129" s="13" t="s">
        <v>366</v>
      </c>
      <c r="AC129" s="13" t="s">
        <v>588</v>
      </c>
    </row>
    <row r="130" customFormat="false" ht="90" hidden="false" customHeight="true" outlineLevel="0" collapsed="false">
      <c r="A130" s="53" t="n">
        <v>126</v>
      </c>
      <c r="B130" s="54" t="s">
        <v>776</v>
      </c>
      <c r="C130" s="55" t="s">
        <v>777</v>
      </c>
      <c r="D130" s="28" t="s">
        <v>1096</v>
      </c>
      <c r="E130" s="10" t="s">
        <v>527</v>
      </c>
      <c r="F130" s="28" t="s">
        <v>735</v>
      </c>
      <c r="G130" s="42" t="n">
        <v>32</v>
      </c>
      <c r="H130" s="42" t="n">
        <v>1</v>
      </c>
      <c r="I130" s="43" t="n">
        <f aca="false">IFERROR(H130/G130,0)</f>
        <v>0.03125</v>
      </c>
      <c r="J130" s="44" t="n">
        <v>16.2</v>
      </c>
      <c r="K130" s="44" t="n">
        <v>16.9</v>
      </c>
      <c r="L130" s="44" t="n">
        <v>0.02</v>
      </c>
      <c r="M130" s="44" t="n">
        <v>0</v>
      </c>
      <c r="N130" s="45" t="s">
        <v>339</v>
      </c>
      <c r="O130" s="42" t="n">
        <f aca="false">M130*30</f>
        <v>0</v>
      </c>
      <c r="P130" s="46" t="n">
        <v>0.5</v>
      </c>
      <c r="Q130" s="43" t="n">
        <v>0</v>
      </c>
      <c r="R130" s="43" t="n">
        <f aca="false">IF(K130="",0,INDEX(目次・前提!$B$35:$B$54,MIN(20,MAX(1,ROUND(K130,0)))))</f>
        <v>0.012</v>
      </c>
      <c r="S130" s="42" t="n">
        <f aca="false">MAX(0,P130*30*(R130-Q130))</f>
        <v>0.18</v>
      </c>
      <c r="T130" s="10" t="s">
        <v>416</v>
      </c>
      <c r="U130" s="28" t="s">
        <v>1097</v>
      </c>
      <c r="V130" s="13" t="s">
        <v>348</v>
      </c>
      <c r="W130" s="10" t="s">
        <v>1098</v>
      </c>
      <c r="X130" s="10" t="s">
        <v>1099</v>
      </c>
      <c r="Y130" s="28" t="s">
        <v>616</v>
      </c>
      <c r="Z130" s="10" t="s">
        <v>579</v>
      </c>
      <c r="AA130" s="10" t="s">
        <v>395</v>
      </c>
      <c r="AB130" s="13" t="s">
        <v>366</v>
      </c>
      <c r="AC130" s="13" t="s">
        <v>588</v>
      </c>
    </row>
    <row r="131" customFormat="false" ht="90" hidden="false" customHeight="true" outlineLevel="0" collapsed="false">
      <c r="A131" s="14" t="n">
        <v>127</v>
      </c>
      <c r="B131" s="56" t="s">
        <v>1001</v>
      </c>
      <c r="C131" s="12" t="s">
        <v>1002</v>
      </c>
      <c r="D131" s="28" t="s">
        <v>1100</v>
      </c>
      <c r="E131" s="28" t="s">
        <v>535</v>
      </c>
      <c r="F131" s="28" t="s">
        <v>714</v>
      </c>
      <c r="G131" s="42" t="n">
        <v>56</v>
      </c>
      <c r="H131" s="42" t="n">
        <v>0</v>
      </c>
      <c r="I131" s="43" t="n">
        <f aca="false">IFERROR(H131/G131,0)</f>
        <v>0</v>
      </c>
      <c r="J131" s="44" t="n">
        <v>20.4</v>
      </c>
      <c r="K131" s="44" t="n">
        <v>9</v>
      </c>
      <c r="L131" s="44" t="n">
        <v>0</v>
      </c>
      <c r="M131" s="44" t="n">
        <v>0</v>
      </c>
      <c r="N131" s="45" t="s">
        <v>339</v>
      </c>
      <c r="O131" s="42" t="n">
        <f aca="false">M131*30</f>
        <v>0</v>
      </c>
      <c r="P131" s="46" t="n">
        <v>0.1</v>
      </c>
      <c r="Q131" s="43" t="n">
        <v>0</v>
      </c>
      <c r="R131" s="43" t="n">
        <f aca="false">IF(K131="",0,INDEX(目次・前提!$B$35:$B$54,MIN(20,MAX(1,ROUND(K131,0)))))</f>
        <v>0.04</v>
      </c>
      <c r="S131" s="42" t="n">
        <f aca="false">MAX(0,P131*30*(R131-Q131))</f>
        <v>0.12</v>
      </c>
      <c r="T131" s="10" t="s">
        <v>416</v>
      </c>
      <c r="U131" s="10" t="s">
        <v>1101</v>
      </c>
      <c r="V131" s="13" t="s">
        <v>348</v>
      </c>
      <c r="W131" s="10" t="s">
        <v>1102</v>
      </c>
      <c r="X131" s="10" t="s">
        <v>1103</v>
      </c>
      <c r="Y131" s="10" t="s">
        <v>586</v>
      </c>
      <c r="Z131" s="10" t="s">
        <v>685</v>
      </c>
      <c r="AA131" s="10" t="s">
        <v>395</v>
      </c>
      <c r="AB131" s="13" t="s">
        <v>366</v>
      </c>
      <c r="AC131" s="13" t="s">
        <v>588</v>
      </c>
    </row>
    <row r="132" customFormat="false" ht="90" hidden="false" customHeight="true" outlineLevel="0" collapsed="false">
      <c r="A132" s="14" t="n">
        <v>128</v>
      </c>
      <c r="B132" s="56" t="s">
        <v>1001</v>
      </c>
      <c r="C132" s="12" t="s">
        <v>1002</v>
      </c>
      <c r="D132" s="28" t="s">
        <v>1104</v>
      </c>
      <c r="E132" s="10" t="s">
        <v>236</v>
      </c>
      <c r="F132" s="10" t="s">
        <v>1105</v>
      </c>
      <c r="G132" s="42" t="n">
        <v>5</v>
      </c>
      <c r="H132" s="42" t="n">
        <v>0</v>
      </c>
      <c r="I132" s="43" t="n">
        <f aca="false">IFERROR(H132/G132,0)</f>
        <v>0</v>
      </c>
      <c r="J132" s="44" t="n">
        <v>5.8</v>
      </c>
      <c r="K132" s="44" t="n">
        <v>9</v>
      </c>
      <c r="L132" s="44" t="n">
        <v>0</v>
      </c>
      <c r="M132" s="44" t="n">
        <v>0</v>
      </c>
      <c r="N132" s="45" t="s">
        <v>904</v>
      </c>
      <c r="O132" s="42" t="n">
        <f aca="false">M132*30</f>
        <v>0</v>
      </c>
      <c r="P132" s="46" t="n">
        <v>0.1</v>
      </c>
      <c r="Q132" s="43" t="n">
        <v>0</v>
      </c>
      <c r="R132" s="43" t="n">
        <f aca="false">IF(K132="",0,INDEX(目次・前提!$B$35:$B$54,MIN(20,MAX(1,ROUND(K132,0)))))</f>
        <v>0.04</v>
      </c>
      <c r="S132" s="42" t="n">
        <f aca="false">MAX(0,P132*30*(R132-Q132))</f>
        <v>0.12</v>
      </c>
      <c r="T132" s="10" t="s">
        <v>416</v>
      </c>
      <c r="U132" s="28" t="s">
        <v>1029</v>
      </c>
      <c r="V132" s="13" t="s">
        <v>372</v>
      </c>
      <c r="W132" s="10" t="s">
        <v>373</v>
      </c>
      <c r="X132" s="10" t="s">
        <v>953</v>
      </c>
      <c r="Y132" s="28" t="s">
        <v>903</v>
      </c>
      <c r="Z132" s="10" t="s">
        <v>954</v>
      </c>
      <c r="AA132" s="10" t="s">
        <v>386</v>
      </c>
      <c r="AB132" s="13" t="s">
        <v>366</v>
      </c>
      <c r="AC132" s="13" t="s">
        <v>588</v>
      </c>
    </row>
    <row r="133" customFormat="false" ht="90" hidden="false" customHeight="true" outlineLevel="0" collapsed="false">
      <c r="A133" s="14" t="n">
        <v>129</v>
      </c>
      <c r="B133" s="56" t="s">
        <v>1001</v>
      </c>
      <c r="C133" s="12" t="s">
        <v>1002</v>
      </c>
      <c r="D133" s="28" t="s">
        <v>1106</v>
      </c>
      <c r="E133" s="28" t="s">
        <v>535</v>
      </c>
      <c r="F133" s="28" t="s">
        <v>868</v>
      </c>
      <c r="G133" s="42" t="n">
        <v>1</v>
      </c>
      <c r="H133" s="42" t="n">
        <v>0</v>
      </c>
      <c r="I133" s="43" t="n">
        <f aca="false">IFERROR(H133/G133,0)</f>
        <v>0</v>
      </c>
      <c r="J133" s="44" t="n">
        <v>8</v>
      </c>
      <c r="K133" s="44"/>
      <c r="L133" s="44" t="n">
        <v>0</v>
      </c>
      <c r="M133" s="44" t="n">
        <v>0</v>
      </c>
      <c r="N133" s="45" t="s">
        <v>904</v>
      </c>
      <c r="O133" s="42" t="n">
        <f aca="false">M133*30</f>
        <v>0</v>
      </c>
      <c r="P133" s="46" t="n">
        <v>0</v>
      </c>
      <c r="Q133" s="43" t="n">
        <v>0</v>
      </c>
      <c r="R133" s="43" t="n">
        <f aca="false">IF(K133="",0,INDEX(目次・前提!$B$35:$B$54,MIN(20,MAX(1,ROUND(K133,0)))))</f>
        <v>0</v>
      </c>
      <c r="S133" s="42" t="n">
        <f aca="false">MAX(0,P133*30*(R133-Q133))</f>
        <v>0</v>
      </c>
      <c r="T133" s="10" t="s">
        <v>416</v>
      </c>
      <c r="U133" s="28" t="s">
        <v>1050</v>
      </c>
      <c r="V133" s="13" t="s">
        <v>366</v>
      </c>
      <c r="W133" s="10" t="s">
        <v>1107</v>
      </c>
      <c r="X133" s="10" t="s">
        <v>953</v>
      </c>
      <c r="Y133" s="28" t="s">
        <v>903</v>
      </c>
      <c r="Z133" s="10" t="s">
        <v>954</v>
      </c>
      <c r="AA133" s="10" t="s">
        <v>386</v>
      </c>
      <c r="AB133" s="13" t="s">
        <v>366</v>
      </c>
      <c r="AC133" s="13" t="s">
        <v>588</v>
      </c>
    </row>
    <row r="134" customFormat="false" ht="90" hidden="false" customHeight="true" outlineLevel="0" collapsed="false">
      <c r="A134" s="14" t="n">
        <v>130</v>
      </c>
      <c r="B134" s="56" t="s">
        <v>1001</v>
      </c>
      <c r="C134" s="12" t="s">
        <v>1002</v>
      </c>
      <c r="D134" s="28" t="s">
        <v>1108</v>
      </c>
      <c r="E134" s="28" t="s">
        <v>220</v>
      </c>
      <c r="F134" s="10" t="s">
        <v>699</v>
      </c>
      <c r="G134" s="42" t="n">
        <v>356</v>
      </c>
      <c r="H134" s="42" t="n">
        <v>4</v>
      </c>
      <c r="I134" s="43" t="n">
        <f aca="false">IFERROR(H134/G134,0)</f>
        <v>0.0112359550561798</v>
      </c>
      <c r="J134" s="44" t="n">
        <v>9.6</v>
      </c>
      <c r="K134" s="44"/>
      <c r="L134" s="44" t="n">
        <v>0.06</v>
      </c>
      <c r="M134" s="44" t="n">
        <v>0</v>
      </c>
      <c r="N134" s="45" t="s">
        <v>634</v>
      </c>
      <c r="O134" s="42" t="n">
        <f aca="false">M134*30</f>
        <v>0</v>
      </c>
      <c r="P134" s="46" t="n">
        <v>0</v>
      </c>
      <c r="Q134" s="43" t="n">
        <v>0</v>
      </c>
      <c r="R134" s="43" t="n">
        <f aca="false">IF(K134="",0,INDEX(目次・前提!$B$35:$B$54,MIN(20,MAX(1,ROUND(K134,0)))))</f>
        <v>0</v>
      </c>
      <c r="S134" s="42" t="n">
        <f aca="false">MAX(0,P134*30*(R134-Q134))</f>
        <v>0</v>
      </c>
      <c r="T134" s="10" t="s">
        <v>1109</v>
      </c>
      <c r="U134" s="28" t="s">
        <v>1110</v>
      </c>
      <c r="V134" s="13" t="s">
        <v>372</v>
      </c>
      <c r="W134" s="10" t="s">
        <v>373</v>
      </c>
      <c r="X134" s="10" t="s">
        <v>1111</v>
      </c>
      <c r="Y134" s="28" t="s">
        <v>1112</v>
      </c>
      <c r="Z134" s="10" t="s">
        <v>704</v>
      </c>
      <c r="AA134" s="10" t="s">
        <v>386</v>
      </c>
      <c r="AB134" s="13" t="s">
        <v>348</v>
      </c>
      <c r="AC134" s="13" t="s">
        <v>588</v>
      </c>
    </row>
    <row r="135" customFormat="false" ht="90" hidden="false" customHeight="true" outlineLevel="0" collapsed="false">
      <c r="A135" s="53" t="n">
        <v>131</v>
      </c>
      <c r="B135" s="54" t="s">
        <v>776</v>
      </c>
      <c r="C135" s="55" t="s">
        <v>777</v>
      </c>
      <c r="D135" s="28" t="s">
        <v>1113</v>
      </c>
      <c r="E135" s="10" t="s">
        <v>236</v>
      </c>
      <c r="F135" s="28" t="s">
        <v>398</v>
      </c>
      <c r="G135" s="42" t="n">
        <v>4</v>
      </c>
      <c r="H135" s="42" t="n">
        <v>0</v>
      </c>
      <c r="I135" s="43" t="n">
        <f aca="false">IFERROR(H135/G135,0)</f>
        <v>0</v>
      </c>
      <c r="J135" s="44" t="n">
        <v>5.8</v>
      </c>
      <c r="K135" s="44"/>
      <c r="L135" s="44" t="n">
        <v>0</v>
      </c>
      <c r="M135" s="44" t="n">
        <v>0</v>
      </c>
      <c r="N135" s="45" t="s">
        <v>904</v>
      </c>
      <c r="O135" s="42" t="n">
        <f aca="false">M135*30</f>
        <v>0</v>
      </c>
      <c r="P135" s="46" t="n">
        <v>0</v>
      </c>
      <c r="Q135" s="43" t="n">
        <v>0</v>
      </c>
      <c r="R135" s="43" t="n">
        <f aca="false">IF(K135="",0,INDEX(目次・前提!$B$35:$B$54,MIN(20,MAX(1,ROUND(K135,0)))))</f>
        <v>0</v>
      </c>
      <c r="S135" s="42" t="n">
        <f aca="false">MAX(0,P135*30*(R135-Q135))</f>
        <v>0</v>
      </c>
      <c r="T135" s="10" t="s">
        <v>416</v>
      </c>
      <c r="U135" s="28" t="s">
        <v>1114</v>
      </c>
      <c r="V135" s="13" t="s">
        <v>342</v>
      </c>
      <c r="W135" s="10" t="s">
        <v>1115</v>
      </c>
      <c r="X135" s="10" t="s">
        <v>1116</v>
      </c>
      <c r="Y135" s="28" t="s">
        <v>616</v>
      </c>
      <c r="Z135" s="10" t="s">
        <v>579</v>
      </c>
      <c r="AA135" s="10" t="s">
        <v>386</v>
      </c>
      <c r="AB135" s="13" t="s">
        <v>366</v>
      </c>
      <c r="AC135" s="13" t="s">
        <v>588</v>
      </c>
    </row>
    <row r="136" customFormat="false" ht="90" hidden="false" customHeight="true" outlineLevel="0" collapsed="false">
      <c r="A136" s="14" t="n">
        <v>132</v>
      </c>
      <c r="B136" s="56" t="s">
        <v>1001</v>
      </c>
      <c r="C136" s="12" t="s">
        <v>1002</v>
      </c>
      <c r="D136" s="28" t="s">
        <v>1117</v>
      </c>
      <c r="E136" s="10" t="s">
        <v>236</v>
      </c>
      <c r="F136" s="10" t="s">
        <v>1118</v>
      </c>
      <c r="G136" s="42" t="n">
        <v>1</v>
      </c>
      <c r="H136" s="42" t="n">
        <v>0</v>
      </c>
      <c r="I136" s="43" t="n">
        <f aca="false">IFERROR(H136/G136,0)</f>
        <v>0</v>
      </c>
      <c r="J136" s="44" t="n">
        <v>6</v>
      </c>
      <c r="K136" s="44"/>
      <c r="L136" s="44" t="n">
        <v>0</v>
      </c>
      <c r="M136" s="44" t="n">
        <v>0</v>
      </c>
      <c r="N136" s="45" t="s">
        <v>904</v>
      </c>
      <c r="O136" s="42" t="n">
        <f aca="false">M136*30</f>
        <v>0</v>
      </c>
      <c r="P136" s="46" t="n">
        <v>0</v>
      </c>
      <c r="Q136" s="43" t="n">
        <v>0</v>
      </c>
      <c r="R136" s="43" t="n">
        <f aca="false">IF(K136="",0,INDEX(目次・前提!$B$35:$B$54,MIN(20,MAX(1,ROUND(K136,0)))))</f>
        <v>0</v>
      </c>
      <c r="S136" s="42" t="n">
        <f aca="false">MAX(0,P136*30*(R136-Q136))</f>
        <v>0</v>
      </c>
      <c r="T136" s="10" t="s">
        <v>416</v>
      </c>
      <c r="U136" s="28" t="s">
        <v>1050</v>
      </c>
      <c r="V136" s="13" t="s">
        <v>372</v>
      </c>
      <c r="W136" s="10" t="s">
        <v>373</v>
      </c>
      <c r="X136" s="10" t="s">
        <v>953</v>
      </c>
      <c r="Y136" s="28" t="s">
        <v>903</v>
      </c>
      <c r="Z136" s="10" t="s">
        <v>954</v>
      </c>
      <c r="AA136" s="10" t="s">
        <v>386</v>
      </c>
      <c r="AB136" s="13" t="s">
        <v>366</v>
      </c>
      <c r="AC136" s="13" t="s">
        <v>588</v>
      </c>
    </row>
    <row r="137" customFormat="false" ht="90" hidden="false" customHeight="true" outlineLevel="0" collapsed="false">
      <c r="A137" s="14" t="n">
        <v>133</v>
      </c>
      <c r="B137" s="56" t="s">
        <v>1001</v>
      </c>
      <c r="C137" s="12" t="s">
        <v>1002</v>
      </c>
      <c r="D137" s="28" t="s">
        <v>1119</v>
      </c>
      <c r="E137" s="10" t="s">
        <v>236</v>
      </c>
      <c r="F137" s="10" t="s">
        <v>798</v>
      </c>
      <c r="G137" s="42" t="n">
        <v>24</v>
      </c>
      <c r="H137" s="42" t="n">
        <v>1</v>
      </c>
      <c r="I137" s="43" t="n">
        <f aca="false">IFERROR(H137/G137,0)</f>
        <v>0.0416666666666667</v>
      </c>
      <c r="J137" s="44" t="n">
        <v>10.6</v>
      </c>
      <c r="K137" s="44"/>
      <c r="L137" s="44" t="n">
        <v>0.02</v>
      </c>
      <c r="M137" s="44" t="n">
        <v>0</v>
      </c>
      <c r="N137" s="45" t="s">
        <v>904</v>
      </c>
      <c r="O137" s="42" t="n">
        <f aca="false">M137*30</f>
        <v>0</v>
      </c>
      <c r="P137" s="46" t="n">
        <v>0</v>
      </c>
      <c r="Q137" s="43" t="n">
        <v>0</v>
      </c>
      <c r="R137" s="43" t="n">
        <f aca="false">IF(K137="",0,INDEX(目次・前提!$B$35:$B$54,MIN(20,MAX(1,ROUND(K137,0)))))</f>
        <v>0</v>
      </c>
      <c r="S137" s="42" t="n">
        <f aca="false">MAX(0,P137*30*(R137-Q137))</f>
        <v>0</v>
      </c>
      <c r="T137" s="10" t="s">
        <v>416</v>
      </c>
      <c r="U137" s="28" t="s">
        <v>1120</v>
      </c>
      <c r="V137" s="13" t="s">
        <v>348</v>
      </c>
      <c r="W137" s="10" t="s">
        <v>1121</v>
      </c>
      <c r="X137" s="10" t="s">
        <v>1122</v>
      </c>
      <c r="Y137" s="28" t="s">
        <v>903</v>
      </c>
      <c r="Z137" s="10" t="s">
        <v>954</v>
      </c>
      <c r="AA137" s="10" t="s">
        <v>386</v>
      </c>
      <c r="AB137" s="13" t="s">
        <v>366</v>
      </c>
      <c r="AC137" s="13" t="s">
        <v>588</v>
      </c>
    </row>
    <row r="138" customFormat="false" ht="90" hidden="false" customHeight="true" outlineLevel="0" collapsed="false">
      <c r="A138" s="53" t="n">
        <v>134</v>
      </c>
      <c r="B138" s="54" t="s">
        <v>776</v>
      </c>
      <c r="C138" s="55" t="s">
        <v>777</v>
      </c>
      <c r="D138" s="28" t="s">
        <v>1123</v>
      </c>
      <c r="E138" s="10" t="s">
        <v>236</v>
      </c>
      <c r="F138" s="10" t="s">
        <v>489</v>
      </c>
      <c r="G138" s="42" t="n">
        <v>53</v>
      </c>
      <c r="H138" s="42" t="n">
        <v>0</v>
      </c>
      <c r="I138" s="43" t="n">
        <f aca="false">IFERROR(H138/G138,0)</f>
        <v>0</v>
      </c>
      <c r="J138" s="44" t="n">
        <v>11.6</v>
      </c>
      <c r="K138" s="44"/>
      <c r="L138" s="44" t="n">
        <v>0</v>
      </c>
      <c r="M138" s="44" t="n">
        <v>0</v>
      </c>
      <c r="N138" s="45" t="s">
        <v>339</v>
      </c>
      <c r="O138" s="42" t="n">
        <f aca="false">M138*30</f>
        <v>0</v>
      </c>
      <c r="P138" s="46" t="n">
        <v>0</v>
      </c>
      <c r="Q138" s="43" t="n">
        <v>0</v>
      </c>
      <c r="R138" s="43" t="n">
        <f aca="false">IF(K138="",0,INDEX(目次・前提!$B$35:$B$54,MIN(20,MAX(1,ROUND(K138,0)))))</f>
        <v>0</v>
      </c>
      <c r="S138" s="42" t="n">
        <f aca="false">MAX(0,P138*30*(R138-Q138))</f>
        <v>0</v>
      </c>
      <c r="T138" s="28" t="s">
        <v>1124</v>
      </c>
      <c r="U138" s="10" t="s">
        <v>1125</v>
      </c>
      <c r="V138" s="13" t="s">
        <v>342</v>
      </c>
      <c r="W138" s="10" t="s">
        <v>1126</v>
      </c>
      <c r="X138" s="10" t="s">
        <v>1127</v>
      </c>
      <c r="Y138" s="10" t="s">
        <v>1128</v>
      </c>
      <c r="Z138" s="10" t="s">
        <v>587</v>
      </c>
      <c r="AA138" s="10" t="s">
        <v>386</v>
      </c>
      <c r="AB138" s="13" t="s">
        <v>366</v>
      </c>
      <c r="AC138" s="13" t="s">
        <v>588</v>
      </c>
    </row>
    <row r="139" customFormat="false" ht="90" hidden="false" customHeight="true" outlineLevel="0" collapsed="false">
      <c r="A139" s="53" t="n">
        <v>135</v>
      </c>
      <c r="B139" s="54" t="s">
        <v>776</v>
      </c>
      <c r="C139" s="55" t="s">
        <v>777</v>
      </c>
      <c r="D139" s="28" t="s">
        <v>1129</v>
      </c>
      <c r="E139" s="10" t="s">
        <v>236</v>
      </c>
      <c r="F139" s="10" t="s">
        <v>489</v>
      </c>
      <c r="G139" s="42" t="n">
        <v>4</v>
      </c>
      <c r="H139" s="42" t="n">
        <v>0</v>
      </c>
      <c r="I139" s="43" t="n">
        <f aca="false">IFERROR(H139/G139,0)</f>
        <v>0</v>
      </c>
      <c r="J139" s="44" t="n">
        <v>7.5</v>
      </c>
      <c r="K139" s="44"/>
      <c r="L139" s="44" t="n">
        <v>0</v>
      </c>
      <c r="M139" s="44" t="n">
        <v>0</v>
      </c>
      <c r="N139" s="45" t="s">
        <v>904</v>
      </c>
      <c r="O139" s="42" t="n">
        <f aca="false">M139*30</f>
        <v>0</v>
      </c>
      <c r="P139" s="46" t="n">
        <v>0</v>
      </c>
      <c r="Q139" s="43" t="n">
        <v>0</v>
      </c>
      <c r="R139" s="43" t="n">
        <f aca="false">IF(K139="",0,INDEX(目次・前提!$B$35:$B$54,MIN(20,MAX(1,ROUND(K139,0)))))</f>
        <v>0</v>
      </c>
      <c r="S139" s="42" t="n">
        <f aca="false">MAX(0,P139*30*(R139-Q139))</f>
        <v>0</v>
      </c>
      <c r="T139" s="10" t="s">
        <v>1130</v>
      </c>
      <c r="U139" s="28" t="s">
        <v>1114</v>
      </c>
      <c r="V139" s="13" t="s">
        <v>342</v>
      </c>
      <c r="W139" s="10" t="s">
        <v>961</v>
      </c>
      <c r="X139" s="10" t="s">
        <v>638</v>
      </c>
      <c r="Y139" s="28" t="s">
        <v>616</v>
      </c>
      <c r="Z139" s="10" t="s">
        <v>579</v>
      </c>
      <c r="AA139" s="10" t="s">
        <v>386</v>
      </c>
      <c r="AB139" s="13" t="s">
        <v>366</v>
      </c>
      <c r="AC139" s="13" t="s">
        <v>588</v>
      </c>
    </row>
    <row r="140" customFormat="false" ht="90" hidden="false" customHeight="true" outlineLevel="0" collapsed="false">
      <c r="A140" s="14" t="n">
        <v>136</v>
      </c>
      <c r="B140" s="56" t="s">
        <v>1001</v>
      </c>
      <c r="C140" s="12" t="s">
        <v>1002</v>
      </c>
      <c r="D140" s="28" t="s">
        <v>1131</v>
      </c>
      <c r="E140" s="10" t="s">
        <v>224</v>
      </c>
      <c r="F140" s="28" t="s">
        <v>1132</v>
      </c>
      <c r="G140" s="42" t="n">
        <v>1</v>
      </c>
      <c r="H140" s="42" t="n">
        <v>0</v>
      </c>
      <c r="I140" s="43" t="n">
        <f aca="false">IFERROR(H140/G140,0)</f>
        <v>0</v>
      </c>
      <c r="J140" s="44" t="n">
        <v>7</v>
      </c>
      <c r="K140" s="44"/>
      <c r="L140" s="44" t="n">
        <v>0</v>
      </c>
      <c r="M140" s="44" t="n">
        <v>0</v>
      </c>
      <c r="N140" s="45" t="s">
        <v>904</v>
      </c>
      <c r="O140" s="42" t="n">
        <f aca="false">M140*30</f>
        <v>0</v>
      </c>
      <c r="P140" s="46" t="n">
        <v>0</v>
      </c>
      <c r="Q140" s="43" t="n">
        <v>0</v>
      </c>
      <c r="R140" s="43" t="n">
        <f aca="false">IF(K140="",0,INDEX(目次・前提!$B$35:$B$54,MIN(20,MAX(1,ROUND(K140,0)))))</f>
        <v>0</v>
      </c>
      <c r="S140" s="42" t="n">
        <f aca="false">MAX(0,P140*30*(R140-Q140))</f>
        <v>0</v>
      </c>
      <c r="T140" s="10" t="s">
        <v>416</v>
      </c>
      <c r="U140" s="28" t="s">
        <v>1050</v>
      </c>
      <c r="V140" s="13" t="s">
        <v>372</v>
      </c>
      <c r="W140" s="10" t="s">
        <v>373</v>
      </c>
      <c r="X140" s="10" t="s">
        <v>953</v>
      </c>
      <c r="Y140" s="28" t="s">
        <v>903</v>
      </c>
      <c r="Z140" s="10" t="s">
        <v>954</v>
      </c>
      <c r="AA140" s="10" t="s">
        <v>1133</v>
      </c>
      <c r="AB140" s="13" t="s">
        <v>366</v>
      </c>
      <c r="AC140" s="13" t="s">
        <v>588</v>
      </c>
    </row>
    <row r="141" customFormat="false" ht="90" hidden="false" customHeight="true" outlineLevel="0" collapsed="false">
      <c r="A141" s="53" t="n">
        <v>137</v>
      </c>
      <c r="B141" s="54" t="s">
        <v>776</v>
      </c>
      <c r="C141" s="55" t="s">
        <v>777</v>
      </c>
      <c r="D141" s="28" t="s">
        <v>1134</v>
      </c>
      <c r="E141" s="10" t="s">
        <v>527</v>
      </c>
      <c r="F141" s="28" t="s">
        <v>735</v>
      </c>
      <c r="G141" s="42" t="n">
        <v>24</v>
      </c>
      <c r="H141" s="42" t="n">
        <v>0</v>
      </c>
      <c r="I141" s="43" t="n">
        <f aca="false">IFERROR(H141/G141,0)</f>
        <v>0</v>
      </c>
      <c r="J141" s="44" t="n">
        <v>5.7</v>
      </c>
      <c r="K141" s="44"/>
      <c r="L141" s="44" t="n">
        <v>0</v>
      </c>
      <c r="M141" s="44" t="n">
        <v>0</v>
      </c>
      <c r="N141" s="45" t="s">
        <v>904</v>
      </c>
      <c r="O141" s="42" t="n">
        <f aca="false">M141*30</f>
        <v>0</v>
      </c>
      <c r="P141" s="46" t="n">
        <v>0</v>
      </c>
      <c r="Q141" s="43" t="n">
        <v>0</v>
      </c>
      <c r="R141" s="43" t="n">
        <f aca="false">IF(K141="",0,INDEX(目次・前提!$B$35:$B$54,MIN(20,MAX(1,ROUND(K141,0)))))</f>
        <v>0</v>
      </c>
      <c r="S141" s="42" t="n">
        <f aca="false">MAX(0,P141*30*(R141-Q141))</f>
        <v>0</v>
      </c>
      <c r="T141" s="10" t="s">
        <v>416</v>
      </c>
      <c r="U141" s="28" t="s">
        <v>1120</v>
      </c>
      <c r="V141" s="13" t="s">
        <v>348</v>
      </c>
      <c r="W141" s="10" t="s">
        <v>1135</v>
      </c>
      <c r="X141" s="10" t="s">
        <v>1099</v>
      </c>
      <c r="Y141" s="28" t="s">
        <v>616</v>
      </c>
      <c r="Z141" s="10" t="s">
        <v>579</v>
      </c>
      <c r="AA141" s="10" t="s">
        <v>395</v>
      </c>
      <c r="AB141" s="13" t="s">
        <v>366</v>
      </c>
      <c r="AC141" s="13" t="s">
        <v>588</v>
      </c>
    </row>
    <row r="142" customFormat="false" ht="90" hidden="false" customHeight="true" outlineLevel="0" collapsed="false">
      <c r="A142" s="14" t="n">
        <v>138</v>
      </c>
      <c r="B142" s="56" t="s">
        <v>1001</v>
      </c>
      <c r="C142" s="12" t="s">
        <v>1002</v>
      </c>
      <c r="D142" s="28" t="s">
        <v>1136</v>
      </c>
      <c r="E142" s="10" t="s">
        <v>902</v>
      </c>
      <c r="F142" s="28" t="s">
        <v>903</v>
      </c>
      <c r="G142" s="42" t="n">
        <v>2</v>
      </c>
      <c r="H142" s="42" t="n">
        <v>0</v>
      </c>
      <c r="I142" s="43" t="n">
        <f aca="false">IFERROR(H142/G142,0)</f>
        <v>0</v>
      </c>
      <c r="J142" s="44" t="n">
        <v>4</v>
      </c>
      <c r="K142" s="44"/>
      <c r="L142" s="44" t="n">
        <v>0</v>
      </c>
      <c r="M142" s="44" t="n">
        <v>0</v>
      </c>
      <c r="N142" s="45" t="s">
        <v>904</v>
      </c>
      <c r="O142" s="42" t="n">
        <f aca="false">M142*30</f>
        <v>0</v>
      </c>
      <c r="P142" s="46" t="n">
        <v>0</v>
      </c>
      <c r="Q142" s="43" t="n">
        <v>0</v>
      </c>
      <c r="R142" s="43" t="n">
        <f aca="false">IF(K142="",0,INDEX(目次・前提!$B$35:$B$54,MIN(20,MAX(1,ROUND(K142,0)))))</f>
        <v>0</v>
      </c>
      <c r="S142" s="42" t="n">
        <f aca="false">MAX(0,P142*30*(R142-Q142))</f>
        <v>0</v>
      </c>
      <c r="T142" s="10" t="s">
        <v>416</v>
      </c>
      <c r="U142" s="10" t="s">
        <v>1137</v>
      </c>
      <c r="V142" s="13" t="s">
        <v>372</v>
      </c>
      <c r="W142" s="10" t="s">
        <v>373</v>
      </c>
      <c r="X142" s="10" t="s">
        <v>1138</v>
      </c>
      <c r="Y142" s="28" t="s">
        <v>903</v>
      </c>
      <c r="Z142" s="10" t="s">
        <v>907</v>
      </c>
      <c r="AA142" s="28" t="s">
        <v>903</v>
      </c>
      <c r="AB142" s="13" t="s">
        <v>366</v>
      </c>
      <c r="AC142" s="13" t="s">
        <v>588</v>
      </c>
    </row>
    <row r="143" customFormat="false" ht="90" hidden="false" customHeight="true" outlineLevel="0" collapsed="false">
      <c r="A143" s="14" t="n">
        <v>139</v>
      </c>
      <c r="B143" s="56" t="s">
        <v>1001</v>
      </c>
      <c r="C143" s="12" t="s">
        <v>1002</v>
      </c>
      <c r="D143" s="28" t="s">
        <v>1139</v>
      </c>
      <c r="E143" s="10" t="s">
        <v>902</v>
      </c>
      <c r="F143" s="28" t="s">
        <v>903</v>
      </c>
      <c r="G143" s="42" t="n">
        <v>1</v>
      </c>
      <c r="H143" s="42" t="n">
        <v>0</v>
      </c>
      <c r="I143" s="43" t="n">
        <f aca="false">IFERROR(H143/G143,0)</f>
        <v>0</v>
      </c>
      <c r="J143" s="44" t="n">
        <v>5</v>
      </c>
      <c r="K143" s="44"/>
      <c r="L143" s="44" t="n">
        <v>0</v>
      </c>
      <c r="M143" s="44" t="n">
        <v>0</v>
      </c>
      <c r="N143" s="45" t="s">
        <v>904</v>
      </c>
      <c r="O143" s="42" t="n">
        <f aca="false">M143*30</f>
        <v>0</v>
      </c>
      <c r="P143" s="46" t="n">
        <v>0</v>
      </c>
      <c r="Q143" s="43" t="n">
        <v>0</v>
      </c>
      <c r="R143" s="43" t="n">
        <f aca="false">IF(K143="",0,INDEX(目次・前提!$B$35:$B$54,MIN(20,MAX(1,ROUND(K143,0)))))</f>
        <v>0</v>
      </c>
      <c r="S143" s="42" t="n">
        <f aca="false">MAX(0,P143*30*(R143-Q143))</f>
        <v>0</v>
      </c>
      <c r="T143" s="10" t="s">
        <v>416</v>
      </c>
      <c r="U143" s="10" t="s">
        <v>1137</v>
      </c>
      <c r="V143" s="13" t="s">
        <v>372</v>
      </c>
      <c r="W143" s="10" t="s">
        <v>373</v>
      </c>
      <c r="X143" s="10" t="s">
        <v>1138</v>
      </c>
      <c r="Y143" s="28" t="s">
        <v>903</v>
      </c>
      <c r="Z143" s="10" t="s">
        <v>907</v>
      </c>
      <c r="AA143" s="28" t="s">
        <v>903</v>
      </c>
      <c r="AB143" s="13" t="s">
        <v>366</v>
      </c>
      <c r="AC143" s="13" t="s">
        <v>588</v>
      </c>
    </row>
  </sheetData>
  <autoFilter ref="A4:AC143"/>
  <conditionalFormatting sqref="V5:V143">
    <cfRule type="cellIs" priority="2" operator="equal" aboveAverage="0" equalAverage="0" bottom="0" percent="0" rank="0" text="" dxfId="9">
      <formula>"強"</formula>
    </cfRule>
    <cfRule type="cellIs" priority="3" operator="equal" aboveAverage="0" equalAverage="0" bottom="0" percent="0" rank="0" text="" dxfId="10">
      <formula>"中"</formula>
    </cfRule>
  </conditionalFormatting>
  <printOptions headings="false" gridLines="false" gridLinesSet="true" horizontalCentered="false" verticalCentered="false"/>
  <pageMargins left="0.75" right="0.75" top="1" bottom="1" header="0.511811023622047" footer="0.511811023622047"/>
  <pageSetup paperSize="8" scale="100" fitToWidth="2"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9.4" hidden="false" customHeight="false" outlineLevel="0" collapsed="false">
      <c r="A1" s="1" t="s">
        <v>1140</v>
      </c>
    </row>
    <row r="2" customFormat="false" ht="15" hidden="false" customHeight="false" outlineLevel="0" collapsed="false">
      <c r="A2" s="2" t="s">
        <v>1141</v>
      </c>
    </row>
    <row r="4" customFormat="false" ht="17.15" hidden="false" customHeight="false" outlineLevel="0" collapsed="false">
      <c r="A4" s="57" t="s">
        <v>1142</v>
      </c>
      <c r="B4" s="57"/>
    </row>
    <row r="5" customFormat="false" ht="18" hidden="false" customHeight="true" outlineLevel="0" collapsed="false">
      <c r="A5" s="58" t="s">
        <v>1143</v>
      </c>
      <c r="B5" s="28" t="s">
        <v>1144</v>
      </c>
    </row>
    <row r="6" customFormat="false" ht="18" hidden="false" customHeight="true" outlineLevel="0" collapsed="false">
      <c r="A6" s="58" t="s">
        <v>1145</v>
      </c>
      <c r="B6" s="28" t="s">
        <v>1146</v>
      </c>
    </row>
    <row r="7" customFormat="false" ht="30" hidden="false" customHeight="true" outlineLevel="0" collapsed="false">
      <c r="A7" s="58" t="s">
        <v>1147</v>
      </c>
      <c r="B7" s="28" t="s">
        <v>341</v>
      </c>
    </row>
    <row r="8" customFormat="false" ht="90" hidden="false" customHeight="true" outlineLevel="0" collapsed="false">
      <c r="A8" s="58" t="s">
        <v>1148</v>
      </c>
      <c r="B8" s="10" t="s">
        <v>1149</v>
      </c>
    </row>
    <row r="9" customFormat="false" ht="60" hidden="false" customHeight="true" outlineLevel="0" collapsed="false">
      <c r="A9" s="59" t="s">
        <v>1150</v>
      </c>
      <c r="B9" s="10" t="s">
        <v>345</v>
      </c>
    </row>
    <row r="10" customFormat="false" ht="105" hidden="false" customHeight="true" outlineLevel="0" collapsed="false">
      <c r="A10" s="58" t="s">
        <v>1151</v>
      </c>
      <c r="B10" s="10" t="s">
        <v>346</v>
      </c>
    </row>
    <row r="11" customFormat="false" ht="18" hidden="false" customHeight="true" outlineLevel="0" collapsed="false">
      <c r="A11" s="58" t="s">
        <v>1152</v>
      </c>
      <c r="B11" s="10" t="s">
        <v>347</v>
      </c>
    </row>
    <row r="12" customFormat="false" ht="30" hidden="false" customHeight="true" outlineLevel="0" collapsed="false">
      <c r="A12" s="58" t="s">
        <v>1153</v>
      </c>
      <c r="B12" s="10" t="s">
        <v>340</v>
      </c>
    </row>
    <row r="14" customFormat="false" ht="17.15" hidden="false" customHeight="false" outlineLevel="0" collapsed="false">
      <c r="A14" s="57" t="s">
        <v>1154</v>
      </c>
      <c r="B14" s="57"/>
    </row>
    <row r="15" customFormat="false" ht="18" hidden="false" customHeight="true" outlineLevel="0" collapsed="false">
      <c r="A15" s="58" t="s">
        <v>1143</v>
      </c>
      <c r="B15" s="28" t="s">
        <v>1155</v>
      </c>
    </row>
    <row r="16" customFormat="false" ht="18" hidden="false" customHeight="true" outlineLevel="0" collapsed="false">
      <c r="A16" s="58" t="s">
        <v>1145</v>
      </c>
      <c r="B16" s="28" t="s">
        <v>1156</v>
      </c>
    </row>
    <row r="17" customFormat="false" ht="30" hidden="false" customHeight="true" outlineLevel="0" collapsed="false">
      <c r="A17" s="58" t="s">
        <v>1147</v>
      </c>
      <c r="B17" s="28" t="s">
        <v>353</v>
      </c>
    </row>
    <row r="18" customFormat="false" ht="105" hidden="false" customHeight="true" outlineLevel="0" collapsed="false">
      <c r="A18" s="58" t="s">
        <v>1148</v>
      </c>
      <c r="B18" s="10" t="s">
        <v>1157</v>
      </c>
    </row>
    <row r="19" customFormat="false" ht="75" hidden="false" customHeight="true" outlineLevel="0" collapsed="false">
      <c r="A19" s="59" t="s">
        <v>1150</v>
      </c>
      <c r="B19" s="10" t="s">
        <v>356</v>
      </c>
    </row>
    <row r="20" customFormat="false" ht="75" hidden="false" customHeight="true" outlineLevel="0" collapsed="false">
      <c r="A20" s="58" t="s">
        <v>1151</v>
      </c>
      <c r="B20" s="10" t="s">
        <v>357</v>
      </c>
    </row>
    <row r="21" customFormat="false" ht="18" hidden="false" customHeight="true" outlineLevel="0" collapsed="false">
      <c r="A21" s="58" t="s">
        <v>1152</v>
      </c>
      <c r="B21" s="10" t="s">
        <v>347</v>
      </c>
    </row>
    <row r="22" customFormat="false" ht="30" hidden="false" customHeight="true" outlineLevel="0" collapsed="false">
      <c r="A22" s="58" t="s">
        <v>1153</v>
      </c>
      <c r="B22" s="28" t="s">
        <v>352</v>
      </c>
    </row>
    <row r="24" customFormat="false" ht="17.15" hidden="false" customHeight="false" outlineLevel="0" collapsed="false">
      <c r="A24" s="57" t="s">
        <v>1158</v>
      </c>
      <c r="B24" s="57"/>
    </row>
    <row r="25" customFormat="false" ht="18" hidden="false" customHeight="true" outlineLevel="0" collapsed="false">
      <c r="A25" s="58" t="s">
        <v>1143</v>
      </c>
      <c r="B25" s="28" t="s">
        <v>1159</v>
      </c>
    </row>
    <row r="26" customFormat="false" ht="18" hidden="false" customHeight="true" outlineLevel="0" collapsed="false">
      <c r="A26" s="58" t="s">
        <v>1145</v>
      </c>
      <c r="B26" s="28" t="s">
        <v>1160</v>
      </c>
    </row>
    <row r="27" customFormat="false" ht="30" hidden="false" customHeight="true" outlineLevel="0" collapsed="false">
      <c r="A27" s="58" t="s">
        <v>1147</v>
      </c>
      <c r="B27" s="10" t="s">
        <v>360</v>
      </c>
    </row>
    <row r="28" customFormat="false" ht="105" hidden="false" customHeight="true" outlineLevel="0" collapsed="false">
      <c r="A28" s="58" t="s">
        <v>1148</v>
      </c>
      <c r="B28" s="10" t="s">
        <v>1161</v>
      </c>
    </row>
    <row r="29" customFormat="false" ht="18" hidden="false" customHeight="true" outlineLevel="0" collapsed="false">
      <c r="A29" s="59" t="s">
        <v>1150</v>
      </c>
      <c r="B29" s="10" t="s">
        <v>363</v>
      </c>
    </row>
    <row r="30" customFormat="false" ht="75" hidden="false" customHeight="true" outlineLevel="0" collapsed="false">
      <c r="A30" s="58" t="s">
        <v>1151</v>
      </c>
      <c r="B30" s="10" t="s">
        <v>364</v>
      </c>
    </row>
    <row r="31" customFormat="false" ht="18" hidden="false" customHeight="true" outlineLevel="0" collapsed="false">
      <c r="A31" s="58" t="s">
        <v>1152</v>
      </c>
      <c r="B31" s="10" t="s">
        <v>365</v>
      </c>
    </row>
    <row r="32" customFormat="false" ht="30" hidden="false" customHeight="true" outlineLevel="0" collapsed="false">
      <c r="A32" s="58" t="s">
        <v>1153</v>
      </c>
      <c r="B32" s="10" t="s">
        <v>359</v>
      </c>
    </row>
    <row r="34" customFormat="false" ht="17.15" hidden="false" customHeight="false" outlineLevel="0" collapsed="false">
      <c r="A34" s="57" t="s">
        <v>1162</v>
      </c>
      <c r="B34" s="57"/>
    </row>
    <row r="35" customFormat="false" ht="18" hidden="false" customHeight="true" outlineLevel="0" collapsed="false">
      <c r="A35" s="58" t="s">
        <v>1143</v>
      </c>
      <c r="B35" s="28" t="s">
        <v>1163</v>
      </c>
    </row>
    <row r="36" customFormat="false" ht="18" hidden="false" customHeight="true" outlineLevel="0" collapsed="false">
      <c r="A36" s="58" t="s">
        <v>1145</v>
      </c>
      <c r="B36" s="28" t="s">
        <v>1164</v>
      </c>
    </row>
    <row r="37" customFormat="false" ht="30" hidden="false" customHeight="true" outlineLevel="0" collapsed="false">
      <c r="A37" s="58" t="s">
        <v>1147</v>
      </c>
      <c r="B37" s="10" t="s">
        <v>371</v>
      </c>
    </row>
    <row r="38" customFormat="false" ht="60" hidden="false" customHeight="true" outlineLevel="0" collapsed="false">
      <c r="A38" s="58" t="s">
        <v>1148</v>
      </c>
      <c r="B38" s="10" t="s">
        <v>1165</v>
      </c>
    </row>
    <row r="39" customFormat="false" ht="60" hidden="false" customHeight="true" outlineLevel="0" collapsed="false">
      <c r="A39" s="59" t="s">
        <v>1150</v>
      </c>
      <c r="B39" s="10" t="s">
        <v>375</v>
      </c>
    </row>
    <row r="40" customFormat="false" ht="90" hidden="false" customHeight="true" outlineLevel="0" collapsed="false">
      <c r="A40" s="58" t="s">
        <v>1151</v>
      </c>
      <c r="B40" s="10" t="s">
        <v>376</v>
      </c>
    </row>
    <row r="41" customFormat="false" ht="18" hidden="false" customHeight="true" outlineLevel="0" collapsed="false">
      <c r="A41" s="58" t="s">
        <v>1152</v>
      </c>
      <c r="B41" s="28" t="s">
        <v>377</v>
      </c>
    </row>
    <row r="42" customFormat="false" ht="30" hidden="false" customHeight="true" outlineLevel="0" collapsed="false">
      <c r="A42" s="58" t="s">
        <v>1153</v>
      </c>
      <c r="B42" s="10" t="s">
        <v>370</v>
      </c>
    </row>
    <row r="44" customFormat="false" ht="17.15" hidden="false" customHeight="false" outlineLevel="0" collapsed="false">
      <c r="A44" s="57" t="s">
        <v>1166</v>
      </c>
      <c r="B44" s="57"/>
    </row>
    <row r="45" customFormat="false" ht="18" hidden="false" customHeight="true" outlineLevel="0" collapsed="false">
      <c r="A45" s="58" t="s">
        <v>1143</v>
      </c>
      <c r="B45" s="28" t="s">
        <v>1167</v>
      </c>
    </row>
    <row r="46" customFormat="false" ht="18" hidden="false" customHeight="true" outlineLevel="0" collapsed="false">
      <c r="A46" s="58" t="s">
        <v>1145</v>
      </c>
      <c r="B46" s="28" t="s">
        <v>1168</v>
      </c>
    </row>
    <row r="47" customFormat="false" ht="30" hidden="false" customHeight="true" outlineLevel="0" collapsed="false">
      <c r="A47" s="58" t="s">
        <v>1147</v>
      </c>
      <c r="B47" s="10" t="s">
        <v>381</v>
      </c>
    </row>
    <row r="48" customFormat="false" ht="75" hidden="false" customHeight="true" outlineLevel="0" collapsed="false">
      <c r="A48" s="58" t="s">
        <v>1148</v>
      </c>
      <c r="B48" s="10" t="s">
        <v>1169</v>
      </c>
    </row>
    <row r="49" customFormat="false" ht="60" hidden="false" customHeight="true" outlineLevel="0" collapsed="false">
      <c r="A49" s="59" t="s">
        <v>1150</v>
      </c>
      <c r="B49" s="10" t="s">
        <v>384</v>
      </c>
    </row>
    <row r="50" customFormat="false" ht="90" hidden="false" customHeight="true" outlineLevel="0" collapsed="false">
      <c r="A50" s="58" t="s">
        <v>1151</v>
      </c>
      <c r="B50" s="10" t="s">
        <v>385</v>
      </c>
    </row>
    <row r="51" customFormat="false" ht="18" hidden="false" customHeight="true" outlineLevel="0" collapsed="false">
      <c r="A51" s="58" t="s">
        <v>1152</v>
      </c>
      <c r="B51" s="10" t="s">
        <v>386</v>
      </c>
    </row>
    <row r="52" customFormat="false" ht="30" hidden="false" customHeight="true" outlineLevel="0" collapsed="false">
      <c r="A52" s="58" t="s">
        <v>1153</v>
      </c>
      <c r="B52" s="10" t="s">
        <v>380</v>
      </c>
    </row>
    <row r="54" customFormat="false" ht="17.15" hidden="false" customHeight="false" outlineLevel="0" collapsed="false">
      <c r="A54" s="57" t="s">
        <v>1170</v>
      </c>
      <c r="B54" s="57"/>
    </row>
    <row r="55" customFormat="false" ht="18" hidden="false" customHeight="true" outlineLevel="0" collapsed="false">
      <c r="A55" s="58" t="s">
        <v>1143</v>
      </c>
      <c r="B55" s="28" t="s">
        <v>1171</v>
      </c>
    </row>
    <row r="56" customFormat="false" ht="18" hidden="false" customHeight="true" outlineLevel="0" collapsed="false">
      <c r="A56" s="58" t="s">
        <v>1145</v>
      </c>
      <c r="B56" s="28" t="s">
        <v>1172</v>
      </c>
    </row>
    <row r="57" customFormat="false" ht="30" hidden="false" customHeight="true" outlineLevel="0" collapsed="false">
      <c r="A57" s="58" t="s">
        <v>1147</v>
      </c>
      <c r="B57" s="28" t="s">
        <v>390</v>
      </c>
    </row>
    <row r="58" customFormat="false" ht="90" hidden="false" customHeight="true" outlineLevel="0" collapsed="false">
      <c r="A58" s="58" t="s">
        <v>1148</v>
      </c>
      <c r="B58" s="10" t="s">
        <v>1173</v>
      </c>
    </row>
    <row r="59" customFormat="false" ht="90" hidden="false" customHeight="true" outlineLevel="0" collapsed="false">
      <c r="A59" s="59" t="s">
        <v>1150</v>
      </c>
      <c r="B59" s="10" t="s">
        <v>393</v>
      </c>
    </row>
    <row r="60" customFormat="false" ht="60" hidden="false" customHeight="true" outlineLevel="0" collapsed="false">
      <c r="A60" s="58" t="s">
        <v>1151</v>
      </c>
      <c r="B60" s="10" t="s">
        <v>394</v>
      </c>
    </row>
    <row r="61" customFormat="false" ht="18" hidden="false" customHeight="true" outlineLevel="0" collapsed="false">
      <c r="A61" s="58" t="s">
        <v>1152</v>
      </c>
      <c r="B61" s="10" t="s">
        <v>395</v>
      </c>
    </row>
    <row r="62" customFormat="false" ht="30" hidden="false" customHeight="true" outlineLevel="0" collapsed="false">
      <c r="A62" s="58" t="s">
        <v>1153</v>
      </c>
      <c r="B62" s="10" t="s">
        <v>389</v>
      </c>
    </row>
    <row r="64" customFormat="false" ht="17.15" hidden="false" customHeight="false" outlineLevel="0" collapsed="false">
      <c r="A64" s="57" t="s">
        <v>1174</v>
      </c>
      <c r="B64" s="57"/>
    </row>
    <row r="65" customFormat="false" ht="18" hidden="false" customHeight="true" outlineLevel="0" collapsed="false">
      <c r="A65" s="58" t="s">
        <v>1143</v>
      </c>
      <c r="B65" s="28" t="s">
        <v>1175</v>
      </c>
    </row>
    <row r="66" customFormat="false" ht="18" hidden="false" customHeight="true" outlineLevel="0" collapsed="false">
      <c r="A66" s="58" t="s">
        <v>1145</v>
      </c>
      <c r="B66" s="28" t="s">
        <v>1176</v>
      </c>
    </row>
    <row r="67" customFormat="false" ht="45" hidden="false" customHeight="true" outlineLevel="0" collapsed="false">
      <c r="A67" s="58" t="s">
        <v>1147</v>
      </c>
      <c r="B67" s="28" t="s">
        <v>400</v>
      </c>
    </row>
    <row r="68" customFormat="false" ht="120" hidden="false" customHeight="true" outlineLevel="0" collapsed="false">
      <c r="A68" s="58" t="s">
        <v>1148</v>
      </c>
      <c r="B68" s="10" t="s">
        <v>1177</v>
      </c>
    </row>
    <row r="69" customFormat="false" ht="60" hidden="false" customHeight="true" outlineLevel="0" collapsed="false">
      <c r="A69" s="59" t="s">
        <v>1150</v>
      </c>
      <c r="B69" s="10" t="s">
        <v>403</v>
      </c>
    </row>
    <row r="70" customFormat="false" ht="45" hidden="false" customHeight="true" outlineLevel="0" collapsed="false">
      <c r="A70" s="58" t="s">
        <v>1151</v>
      </c>
      <c r="B70" s="10" t="s">
        <v>404</v>
      </c>
    </row>
    <row r="71" customFormat="false" ht="18" hidden="false" customHeight="true" outlineLevel="0" collapsed="false">
      <c r="A71" s="58" t="s">
        <v>1152</v>
      </c>
      <c r="B71" s="10" t="s">
        <v>386</v>
      </c>
    </row>
    <row r="72" customFormat="false" ht="30" hidden="false" customHeight="true" outlineLevel="0" collapsed="false">
      <c r="A72" s="58" t="s">
        <v>1153</v>
      </c>
      <c r="B72" s="10" t="s">
        <v>399</v>
      </c>
    </row>
    <row r="74" customFormat="false" ht="17.15" hidden="false" customHeight="false" outlineLevel="0" collapsed="false">
      <c r="A74" s="57" t="s">
        <v>1178</v>
      </c>
      <c r="B74" s="57"/>
    </row>
    <row r="75" customFormat="false" ht="18" hidden="false" customHeight="true" outlineLevel="0" collapsed="false">
      <c r="A75" s="58" t="s">
        <v>1143</v>
      </c>
      <c r="B75" s="28" t="s">
        <v>1179</v>
      </c>
    </row>
    <row r="76" customFormat="false" ht="18" hidden="false" customHeight="true" outlineLevel="0" collapsed="false">
      <c r="A76" s="58" t="s">
        <v>1145</v>
      </c>
      <c r="B76" s="28" t="s">
        <v>1180</v>
      </c>
    </row>
    <row r="77" customFormat="false" ht="30" hidden="false" customHeight="true" outlineLevel="0" collapsed="false">
      <c r="A77" s="58" t="s">
        <v>1147</v>
      </c>
      <c r="B77" s="10" t="s">
        <v>409</v>
      </c>
    </row>
    <row r="78" customFormat="false" ht="75" hidden="false" customHeight="true" outlineLevel="0" collapsed="false">
      <c r="A78" s="58" t="s">
        <v>1148</v>
      </c>
      <c r="B78" s="10" t="s">
        <v>1181</v>
      </c>
    </row>
    <row r="79" customFormat="false" ht="60" hidden="false" customHeight="true" outlineLevel="0" collapsed="false">
      <c r="A79" s="59" t="s">
        <v>1150</v>
      </c>
      <c r="B79" s="10" t="s">
        <v>412</v>
      </c>
    </row>
    <row r="80" customFormat="false" ht="60" hidden="false" customHeight="true" outlineLevel="0" collapsed="false">
      <c r="A80" s="58" t="s">
        <v>1151</v>
      </c>
      <c r="B80" s="10" t="s">
        <v>413</v>
      </c>
    </row>
    <row r="81" customFormat="false" ht="18" hidden="false" customHeight="true" outlineLevel="0" collapsed="false">
      <c r="A81" s="58" t="s">
        <v>1152</v>
      </c>
      <c r="B81" s="10" t="s">
        <v>365</v>
      </c>
    </row>
    <row r="82" customFormat="false" ht="18" hidden="false" customHeight="true" outlineLevel="0" collapsed="false">
      <c r="A82" s="58" t="s">
        <v>1153</v>
      </c>
      <c r="B82" s="10" t="s">
        <v>408</v>
      </c>
    </row>
    <row r="84" customFormat="false" ht="17.15" hidden="false" customHeight="false" outlineLevel="0" collapsed="false">
      <c r="A84" s="57" t="s">
        <v>1182</v>
      </c>
      <c r="B84" s="57"/>
    </row>
    <row r="85" customFormat="false" ht="18" hidden="false" customHeight="true" outlineLevel="0" collapsed="false">
      <c r="A85" s="58" t="s">
        <v>1143</v>
      </c>
      <c r="B85" s="28" t="s">
        <v>1183</v>
      </c>
    </row>
    <row r="86" customFormat="false" ht="18" hidden="false" customHeight="true" outlineLevel="0" collapsed="false">
      <c r="A86" s="58" t="s">
        <v>1145</v>
      </c>
      <c r="B86" s="28" t="s">
        <v>1184</v>
      </c>
    </row>
    <row r="87" customFormat="false" ht="30" hidden="false" customHeight="true" outlineLevel="0" collapsed="false">
      <c r="A87" s="58" t="s">
        <v>1147</v>
      </c>
      <c r="B87" s="28" t="s">
        <v>417</v>
      </c>
    </row>
    <row r="88" customFormat="false" ht="75" hidden="false" customHeight="true" outlineLevel="0" collapsed="false">
      <c r="A88" s="58" t="s">
        <v>1148</v>
      </c>
      <c r="B88" s="10" t="s">
        <v>1185</v>
      </c>
    </row>
    <row r="89" customFormat="false" ht="45" hidden="false" customHeight="true" outlineLevel="0" collapsed="false">
      <c r="A89" s="59" t="s">
        <v>1150</v>
      </c>
      <c r="B89" s="10" t="s">
        <v>420</v>
      </c>
    </row>
    <row r="90" customFormat="false" ht="90" hidden="false" customHeight="true" outlineLevel="0" collapsed="false">
      <c r="A90" s="58" t="s">
        <v>1151</v>
      </c>
      <c r="B90" s="10" t="s">
        <v>421</v>
      </c>
    </row>
    <row r="91" customFormat="false" ht="18" hidden="false" customHeight="true" outlineLevel="0" collapsed="false">
      <c r="A91" s="58" t="s">
        <v>1152</v>
      </c>
      <c r="B91" s="10" t="s">
        <v>422</v>
      </c>
    </row>
    <row r="92" customFormat="false" ht="18" hidden="false" customHeight="true" outlineLevel="0" collapsed="false">
      <c r="A92" s="58" t="s">
        <v>1153</v>
      </c>
      <c r="B92" s="10"/>
    </row>
  </sheetData>
  <mergeCells count="9">
    <mergeCell ref="A4:B4"/>
    <mergeCell ref="A14:B14"/>
    <mergeCell ref="A24:B24"/>
    <mergeCell ref="A34:B34"/>
    <mergeCell ref="A44:B44"/>
    <mergeCell ref="A54:B54"/>
    <mergeCell ref="A64:B64"/>
    <mergeCell ref="A74:B74"/>
    <mergeCell ref="A84:B8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H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7"/>
    <col collapsed="false" customWidth="true" hidden="false" outlineLevel="0" max="4" min="4" style="0" width="12"/>
    <col collapsed="false" customWidth="true" hidden="false" outlineLevel="0" max="5" min="5" style="0" width="52"/>
    <col collapsed="false" customWidth="true" hidden="false" outlineLevel="0" max="6" min="6" style="0" width="60"/>
    <col collapsed="false" customWidth="true" hidden="false" outlineLevel="0" max="7" min="7" style="0" width="70"/>
    <col collapsed="false" customWidth="true" hidden="false" outlineLevel="0" max="8" min="8" style="0" width="36"/>
  </cols>
  <sheetData>
    <row r="1" customFormat="false" ht="17.35" hidden="false" customHeight="false" outlineLevel="0" collapsed="false">
      <c r="A1" s="1" t="s">
        <v>1186</v>
      </c>
    </row>
    <row r="2" customFormat="false" ht="15" hidden="false" customHeight="false" outlineLevel="0" collapsed="false">
      <c r="A2" s="2" t="s">
        <v>1187</v>
      </c>
    </row>
    <row r="3" customFormat="false" ht="26.85" hidden="false" customHeight="false" outlineLevel="0" collapsed="false">
      <c r="A3" s="8" t="s">
        <v>313</v>
      </c>
      <c r="B3" s="8" t="s">
        <v>89</v>
      </c>
      <c r="C3" s="8" t="s">
        <v>211</v>
      </c>
      <c r="D3" s="18" t="s">
        <v>1188</v>
      </c>
      <c r="E3" s="8" t="s">
        <v>1189</v>
      </c>
      <c r="F3" s="8" t="s">
        <v>90</v>
      </c>
      <c r="G3" s="8" t="s">
        <v>1190</v>
      </c>
      <c r="H3" s="18" t="s">
        <v>1191</v>
      </c>
    </row>
    <row r="4" customFormat="false" ht="60" hidden="false" customHeight="true" outlineLevel="0" collapsed="false">
      <c r="A4" s="13" t="s">
        <v>338</v>
      </c>
      <c r="B4" s="60" t="s">
        <v>342</v>
      </c>
      <c r="C4" s="13" t="n">
        <v>4</v>
      </c>
      <c r="D4" s="19" t="n">
        <v>28561</v>
      </c>
      <c r="E4" s="28" t="s">
        <v>1192</v>
      </c>
      <c r="F4" s="28" t="s">
        <v>1193</v>
      </c>
      <c r="G4" s="10" t="s">
        <v>1194</v>
      </c>
      <c r="H4" s="10" t="s">
        <v>1195</v>
      </c>
    </row>
    <row r="5" customFormat="false" ht="60" hidden="false" customHeight="true" outlineLevel="0" collapsed="false">
      <c r="A5" s="13" t="s">
        <v>379</v>
      </c>
      <c r="B5" s="60" t="s">
        <v>342</v>
      </c>
      <c r="C5" s="13" t="n">
        <v>2</v>
      </c>
      <c r="D5" s="19" t="n">
        <v>2891</v>
      </c>
      <c r="E5" s="28" t="s">
        <v>1196</v>
      </c>
      <c r="F5" s="10" t="s">
        <v>1197</v>
      </c>
      <c r="G5" s="28" t="s">
        <v>1198</v>
      </c>
      <c r="H5" s="10" t="s">
        <v>1199</v>
      </c>
    </row>
    <row r="6" customFormat="false" ht="60" hidden="false" customHeight="true" outlineLevel="0" collapsed="false">
      <c r="A6" s="9" t="s">
        <v>398</v>
      </c>
      <c r="B6" s="60" t="s">
        <v>342</v>
      </c>
      <c r="C6" s="13" t="n">
        <v>4</v>
      </c>
      <c r="D6" s="19" t="n">
        <v>3980</v>
      </c>
      <c r="E6" s="28" t="s">
        <v>1200</v>
      </c>
      <c r="F6" s="28" t="s">
        <v>1201</v>
      </c>
      <c r="G6" s="28" t="s">
        <v>1202</v>
      </c>
      <c r="H6" s="10" t="s">
        <v>1203</v>
      </c>
    </row>
    <row r="7" customFormat="false" ht="120" hidden="false" customHeight="true" outlineLevel="0" collapsed="false">
      <c r="A7" s="13" t="s">
        <v>489</v>
      </c>
      <c r="B7" s="60" t="s">
        <v>342</v>
      </c>
      <c r="C7" s="13" t="n">
        <v>8</v>
      </c>
      <c r="D7" s="19" t="n">
        <v>3282</v>
      </c>
      <c r="E7" s="28" t="s">
        <v>1204</v>
      </c>
      <c r="F7" s="28" t="s">
        <v>1205</v>
      </c>
      <c r="G7" s="28" t="s">
        <v>1206</v>
      </c>
      <c r="H7" s="10" t="s">
        <v>1207</v>
      </c>
    </row>
    <row r="8" customFormat="false" ht="60" hidden="false" customHeight="true" outlineLevel="0" collapsed="false">
      <c r="A8" s="13" t="s">
        <v>536</v>
      </c>
      <c r="B8" s="60" t="s">
        <v>342</v>
      </c>
      <c r="C8" s="13" t="n">
        <v>2</v>
      </c>
      <c r="D8" s="19" t="n">
        <v>940</v>
      </c>
      <c r="E8" s="28" t="s">
        <v>1208</v>
      </c>
      <c r="F8" s="10" t="s">
        <v>1209</v>
      </c>
      <c r="G8" s="28" t="s">
        <v>1210</v>
      </c>
      <c r="H8" s="10" t="s">
        <v>1211</v>
      </c>
    </row>
    <row r="9" customFormat="false" ht="60" hidden="false" customHeight="true" outlineLevel="0" collapsed="false">
      <c r="A9" s="13" t="s">
        <v>573</v>
      </c>
      <c r="B9" s="60" t="s">
        <v>342</v>
      </c>
      <c r="C9" s="13" t="n">
        <v>2</v>
      </c>
      <c r="D9" s="19" t="n">
        <v>1084</v>
      </c>
      <c r="E9" s="28" t="s">
        <v>1212</v>
      </c>
      <c r="F9" s="28" t="s">
        <v>1213</v>
      </c>
      <c r="G9" s="28" t="s">
        <v>1214</v>
      </c>
      <c r="H9" s="10" t="s">
        <v>1215</v>
      </c>
    </row>
    <row r="10" customFormat="false" ht="60" hidden="false" customHeight="true" outlineLevel="0" collapsed="false">
      <c r="A10" s="13" t="s">
        <v>595</v>
      </c>
      <c r="B10" s="60" t="s">
        <v>342</v>
      </c>
      <c r="C10" s="13" t="n">
        <v>2</v>
      </c>
      <c r="D10" s="19" t="n">
        <v>242</v>
      </c>
      <c r="E10" s="28" t="s">
        <v>1216</v>
      </c>
      <c r="F10" s="28" t="s">
        <v>1217</v>
      </c>
      <c r="G10" s="10" t="s">
        <v>1218</v>
      </c>
      <c r="H10" s="10" t="s">
        <v>1219</v>
      </c>
    </row>
    <row r="11" customFormat="false" ht="75" hidden="false" customHeight="true" outlineLevel="0" collapsed="false">
      <c r="A11" s="9" t="s">
        <v>351</v>
      </c>
      <c r="B11" s="61" t="s">
        <v>348</v>
      </c>
      <c r="C11" s="13" t="n">
        <v>5</v>
      </c>
      <c r="D11" s="19" t="n">
        <v>47912</v>
      </c>
      <c r="E11" s="28" t="s">
        <v>1220</v>
      </c>
      <c r="F11" s="10" t="s">
        <v>1221</v>
      </c>
      <c r="G11" s="28" t="s">
        <v>1222</v>
      </c>
      <c r="H11" s="10" t="s">
        <v>1223</v>
      </c>
    </row>
    <row r="12" customFormat="false" ht="60" hidden="false" customHeight="true" outlineLevel="0" collapsed="false">
      <c r="A12" s="13" t="s">
        <v>721</v>
      </c>
      <c r="B12" s="61" t="s">
        <v>348</v>
      </c>
      <c r="C12" s="13" t="n">
        <v>2</v>
      </c>
      <c r="D12" s="19" t="n">
        <v>462</v>
      </c>
      <c r="E12" s="28" t="s">
        <v>1224</v>
      </c>
      <c r="F12" s="10" t="s">
        <v>1225</v>
      </c>
      <c r="G12" s="28" t="s">
        <v>1226</v>
      </c>
      <c r="H12" s="10" t="s">
        <v>1227</v>
      </c>
    </row>
    <row r="13" customFormat="false" ht="60" hidden="false" customHeight="true" outlineLevel="0" collapsed="false">
      <c r="A13" s="13" t="s">
        <v>681</v>
      </c>
      <c r="B13" s="61" t="s">
        <v>348</v>
      </c>
      <c r="C13" s="13" t="n">
        <v>3</v>
      </c>
      <c r="D13" s="19" t="n">
        <v>531</v>
      </c>
      <c r="E13" s="28" t="s">
        <v>1228</v>
      </c>
      <c r="F13" s="28" t="s">
        <v>1229</v>
      </c>
      <c r="G13" s="28" t="s">
        <v>1230</v>
      </c>
      <c r="H13" s="10" t="s">
        <v>1231</v>
      </c>
    </row>
    <row r="14" customFormat="false" ht="60" hidden="false" customHeight="true" outlineLevel="0" collapsed="false">
      <c r="A14" s="9" t="s">
        <v>714</v>
      </c>
      <c r="B14" s="61" t="s">
        <v>348</v>
      </c>
      <c r="C14" s="13" t="n">
        <v>4</v>
      </c>
      <c r="D14" s="19" t="n">
        <v>1452</v>
      </c>
      <c r="E14" s="28" t="s">
        <v>1232</v>
      </c>
      <c r="F14" s="10" t="s">
        <v>1233</v>
      </c>
      <c r="G14" s="28" t="s">
        <v>1234</v>
      </c>
      <c r="H14" s="28" t="s">
        <v>1235</v>
      </c>
    </row>
    <row r="15" customFormat="false" ht="60" hidden="false" customHeight="true" outlineLevel="0" collapsed="false">
      <c r="A15" s="9" t="s">
        <v>388</v>
      </c>
      <c r="B15" s="61" t="s">
        <v>348</v>
      </c>
      <c r="C15" s="13" t="n">
        <v>4</v>
      </c>
      <c r="D15" s="19" t="n">
        <v>24161</v>
      </c>
      <c r="E15" s="28" t="s">
        <v>1236</v>
      </c>
      <c r="F15" s="10" t="s">
        <v>1237</v>
      </c>
      <c r="G15" s="10" t="s">
        <v>1238</v>
      </c>
      <c r="H15" s="10" t="s">
        <v>1239</v>
      </c>
    </row>
    <row r="16" customFormat="false" ht="60" hidden="false" customHeight="true" outlineLevel="0" collapsed="false">
      <c r="A16" s="9" t="s">
        <v>625</v>
      </c>
      <c r="B16" s="61" t="s">
        <v>348</v>
      </c>
      <c r="C16" s="13" t="n">
        <v>4</v>
      </c>
      <c r="D16" s="19" t="n">
        <v>3712</v>
      </c>
      <c r="E16" s="28" t="s">
        <v>1240</v>
      </c>
      <c r="F16" s="10" t="s">
        <v>1241</v>
      </c>
      <c r="G16" s="28" t="s">
        <v>1242</v>
      </c>
      <c r="H16" s="28" t="s">
        <v>1243</v>
      </c>
    </row>
    <row r="17" customFormat="false" ht="60" hidden="false" customHeight="true" outlineLevel="0" collapsed="false">
      <c r="A17" s="9" t="s">
        <v>728</v>
      </c>
      <c r="B17" s="61" t="s">
        <v>348</v>
      </c>
      <c r="C17" s="13" t="n">
        <v>2</v>
      </c>
      <c r="D17" s="19" t="n">
        <v>1890</v>
      </c>
      <c r="E17" s="28" t="s">
        <v>1244</v>
      </c>
      <c r="F17" s="10" t="s">
        <v>1245</v>
      </c>
      <c r="G17" s="10" t="s">
        <v>1246</v>
      </c>
      <c r="H17" s="28" t="s">
        <v>1247</v>
      </c>
    </row>
    <row r="18" customFormat="false" ht="60" hidden="false" customHeight="true" outlineLevel="0" collapsed="false">
      <c r="A18" s="13" t="s">
        <v>415</v>
      </c>
      <c r="B18" s="61" t="s">
        <v>348</v>
      </c>
      <c r="C18" s="13" t="n">
        <v>2</v>
      </c>
      <c r="D18" s="19" t="n">
        <v>73</v>
      </c>
      <c r="E18" s="28" t="s">
        <v>1248</v>
      </c>
      <c r="F18" s="28" t="s">
        <v>1249</v>
      </c>
      <c r="G18" s="28" t="s">
        <v>1250</v>
      </c>
      <c r="H18" s="28" t="s">
        <v>1251</v>
      </c>
    </row>
    <row r="19" customFormat="false" ht="90" hidden="false" customHeight="true" outlineLevel="0" collapsed="false">
      <c r="A19" s="13" t="s">
        <v>798</v>
      </c>
      <c r="B19" s="61" t="s">
        <v>348</v>
      </c>
      <c r="C19" s="13" t="n">
        <v>6</v>
      </c>
      <c r="D19" s="19" t="n">
        <v>499</v>
      </c>
      <c r="E19" s="28" t="s">
        <v>1252</v>
      </c>
      <c r="F19" s="10" t="s">
        <v>1253</v>
      </c>
      <c r="G19" s="10" t="s">
        <v>1254</v>
      </c>
      <c r="H19" s="10" t="s">
        <v>1255</v>
      </c>
    </row>
    <row r="20" customFormat="false" ht="60" hidden="false" customHeight="true" outlineLevel="0" collapsed="false">
      <c r="A20" s="13" t="s">
        <v>816</v>
      </c>
      <c r="B20" s="61" t="s">
        <v>348</v>
      </c>
      <c r="C20" s="13" t="n">
        <v>2</v>
      </c>
      <c r="D20" s="19" t="n">
        <v>242</v>
      </c>
      <c r="E20" s="28" t="s">
        <v>1256</v>
      </c>
      <c r="F20" s="28" t="s">
        <v>1257</v>
      </c>
      <c r="G20" s="28" t="s">
        <v>1258</v>
      </c>
      <c r="H20" s="10" t="s">
        <v>1259</v>
      </c>
    </row>
    <row r="21" customFormat="false" ht="60" hidden="false" customHeight="true" outlineLevel="0" collapsed="false">
      <c r="A21" s="13" t="s">
        <v>706</v>
      </c>
      <c r="B21" s="61" t="s">
        <v>348</v>
      </c>
      <c r="C21" s="13" t="n">
        <v>2</v>
      </c>
      <c r="D21" s="19" t="n">
        <v>903</v>
      </c>
      <c r="E21" s="28" t="s">
        <v>1260</v>
      </c>
      <c r="F21" s="28" t="s">
        <v>1261</v>
      </c>
      <c r="G21" s="28" t="s">
        <v>1262</v>
      </c>
      <c r="H21" s="10" t="s">
        <v>1263</v>
      </c>
    </row>
    <row r="22" customFormat="false" ht="60" hidden="false" customHeight="true" outlineLevel="0" collapsed="false">
      <c r="A22" s="9" t="s">
        <v>735</v>
      </c>
      <c r="B22" s="61" t="s">
        <v>348</v>
      </c>
      <c r="C22" s="13" t="n">
        <v>3</v>
      </c>
      <c r="D22" s="19" t="n">
        <v>387</v>
      </c>
      <c r="E22" s="28" t="s">
        <v>1264</v>
      </c>
      <c r="F22" s="28" t="s">
        <v>1265</v>
      </c>
      <c r="G22" s="28" t="s">
        <v>1266</v>
      </c>
      <c r="H22" s="10" t="s">
        <v>1267</v>
      </c>
    </row>
    <row r="23" customFormat="false" ht="60" hidden="false" customHeight="true" outlineLevel="0" collapsed="false">
      <c r="A23" s="13" t="s">
        <v>792</v>
      </c>
      <c r="B23" s="61" t="s">
        <v>348</v>
      </c>
      <c r="C23" s="13" t="n">
        <v>2</v>
      </c>
      <c r="D23" s="19" t="n">
        <v>199</v>
      </c>
      <c r="E23" s="28" t="s">
        <v>1268</v>
      </c>
      <c r="F23" s="10" t="s">
        <v>1269</v>
      </c>
      <c r="G23" s="28" t="s">
        <v>1270</v>
      </c>
      <c r="H23" s="10" t="s">
        <v>1271</v>
      </c>
    </row>
    <row r="24" customFormat="false" ht="60" hidden="false" customHeight="true" outlineLevel="0" collapsed="false">
      <c r="A24" s="9" t="s">
        <v>868</v>
      </c>
      <c r="B24" s="62" t="s">
        <v>366</v>
      </c>
      <c r="C24" s="13" t="n">
        <v>3</v>
      </c>
      <c r="D24" s="19" t="n">
        <v>769</v>
      </c>
      <c r="E24" s="28" t="s">
        <v>1272</v>
      </c>
      <c r="F24" s="10" t="s">
        <v>1273</v>
      </c>
      <c r="G24" s="10" t="s">
        <v>1274</v>
      </c>
      <c r="H24" s="10" t="s">
        <v>1275</v>
      </c>
    </row>
    <row r="25" customFormat="false" ht="60" hidden="false" customHeight="true" outlineLevel="0" collapsed="false">
      <c r="A25" s="9" t="s">
        <v>519</v>
      </c>
      <c r="B25" s="62" t="s">
        <v>366</v>
      </c>
      <c r="C25" s="13" t="n">
        <v>3</v>
      </c>
      <c r="D25" s="19" t="n">
        <v>9576</v>
      </c>
      <c r="E25" s="28" t="s">
        <v>1276</v>
      </c>
      <c r="F25" s="10" t="s">
        <v>1277</v>
      </c>
      <c r="G25" s="28" t="s">
        <v>1278</v>
      </c>
      <c r="H25" s="28" t="s">
        <v>1279</v>
      </c>
    </row>
    <row r="26" customFormat="false" ht="60" hidden="false" customHeight="true" outlineLevel="0" collapsed="false">
      <c r="A26" s="13" t="s">
        <v>969</v>
      </c>
      <c r="B26" s="62" t="s">
        <v>366</v>
      </c>
      <c r="C26" s="13" t="n">
        <v>2</v>
      </c>
      <c r="D26" s="19" t="n">
        <v>1006</v>
      </c>
      <c r="E26" s="28" t="s">
        <v>1280</v>
      </c>
      <c r="F26" s="10" t="s">
        <v>1281</v>
      </c>
      <c r="G26" s="10" t="s">
        <v>1282</v>
      </c>
      <c r="H26" s="28" t="s">
        <v>903</v>
      </c>
    </row>
    <row r="27" customFormat="false" ht="60" hidden="false" customHeight="true" outlineLevel="0" collapsed="false">
      <c r="A27" s="13" t="s">
        <v>748</v>
      </c>
      <c r="B27" s="62" t="s">
        <v>366</v>
      </c>
      <c r="C27" s="13" t="n">
        <v>3</v>
      </c>
      <c r="D27" s="19" t="n">
        <v>981</v>
      </c>
      <c r="E27" s="28" t="s">
        <v>1283</v>
      </c>
      <c r="F27" s="10" t="s">
        <v>1284</v>
      </c>
      <c r="G27" s="10" t="s">
        <v>1285</v>
      </c>
      <c r="H27" s="10" t="s">
        <v>1286</v>
      </c>
    </row>
    <row r="28" customFormat="false" ht="90" hidden="false" customHeight="true" outlineLevel="0" collapsed="false">
      <c r="A28" s="13" t="s">
        <v>565</v>
      </c>
      <c r="B28" s="62" t="s">
        <v>366</v>
      </c>
      <c r="C28" s="13" t="n">
        <v>6</v>
      </c>
      <c r="D28" s="19" t="n">
        <v>14443</v>
      </c>
      <c r="E28" s="28" t="s">
        <v>1287</v>
      </c>
      <c r="F28" s="10" t="s">
        <v>1288</v>
      </c>
      <c r="G28" s="10" t="s">
        <v>1289</v>
      </c>
      <c r="H28" s="28" t="s">
        <v>903</v>
      </c>
    </row>
    <row r="29" customFormat="false" ht="60" hidden="false" customHeight="true" outlineLevel="0" collapsed="false">
      <c r="A29" s="13" t="s">
        <v>406</v>
      </c>
      <c r="B29" s="62" t="s">
        <v>366</v>
      </c>
      <c r="C29" s="13" t="n">
        <v>2</v>
      </c>
      <c r="D29" s="19" t="n">
        <v>10258</v>
      </c>
      <c r="E29" s="28" t="s">
        <v>1290</v>
      </c>
      <c r="F29" s="28" t="s">
        <v>1291</v>
      </c>
      <c r="G29" s="10" t="s">
        <v>1292</v>
      </c>
      <c r="H29" s="10" t="s">
        <v>1293</v>
      </c>
    </row>
    <row r="30" customFormat="false" ht="90" hidden="false" customHeight="true" outlineLevel="0" collapsed="false">
      <c r="A30" s="13" t="s">
        <v>505</v>
      </c>
      <c r="B30" s="14" t="s">
        <v>372</v>
      </c>
      <c r="C30" s="13" t="n">
        <v>6</v>
      </c>
      <c r="D30" s="19" t="n">
        <v>18364</v>
      </c>
      <c r="E30" s="28" t="s">
        <v>1294</v>
      </c>
      <c r="F30" s="10" t="s">
        <v>1295</v>
      </c>
      <c r="G30" s="10" t="s">
        <v>1296</v>
      </c>
      <c r="H30" s="28" t="s">
        <v>903</v>
      </c>
    </row>
    <row r="32" customFormat="false" ht="17.15" hidden="false" customHeight="false" outlineLevel="0" collapsed="false">
      <c r="A32" s="32" t="s">
        <v>1297</v>
      </c>
    </row>
    <row r="33" customFormat="false" ht="14.15" hidden="false" customHeight="false" outlineLevel="0" collapsed="false">
      <c r="A33" s="63" t="s">
        <v>1298</v>
      </c>
      <c r="B33" s="63"/>
      <c r="C33" s="63"/>
      <c r="D33" s="63"/>
      <c r="E33" s="63"/>
      <c r="F33" s="63"/>
      <c r="G33" s="63"/>
      <c r="H33" s="63"/>
    </row>
    <row r="34" customFormat="false" ht="14.15" hidden="false" customHeight="false" outlineLevel="0" collapsed="false">
      <c r="A34" s="63" t="s">
        <v>1299</v>
      </c>
      <c r="B34" s="63"/>
      <c r="C34" s="63"/>
      <c r="D34" s="63"/>
      <c r="E34" s="63"/>
      <c r="F34" s="63"/>
      <c r="G34" s="63"/>
      <c r="H34" s="63"/>
    </row>
    <row r="35" customFormat="false" ht="14.15" hidden="false" customHeight="false" outlineLevel="0" collapsed="false">
      <c r="A35" s="63" t="s">
        <v>1300</v>
      </c>
      <c r="B35" s="63"/>
      <c r="C35" s="63"/>
      <c r="D35" s="63"/>
      <c r="E35" s="63"/>
      <c r="F35" s="63"/>
      <c r="G35" s="63"/>
      <c r="H35" s="63"/>
    </row>
    <row r="36" customFormat="false" ht="14.15" hidden="false" customHeight="false" outlineLevel="0" collapsed="false">
      <c r="A36" s="63" t="s">
        <v>1301</v>
      </c>
      <c r="B36" s="63"/>
      <c r="C36" s="63"/>
      <c r="D36" s="63"/>
      <c r="E36" s="63"/>
      <c r="F36" s="63"/>
      <c r="G36" s="63"/>
      <c r="H36" s="63"/>
    </row>
    <row r="38" customFormat="false" ht="17.15" hidden="false" customHeight="false" outlineLevel="0" collapsed="false">
      <c r="A38" s="3" t="s">
        <v>1302</v>
      </c>
    </row>
    <row r="39" customFormat="false" ht="26.85" hidden="false" customHeight="false" outlineLevel="0" collapsed="false">
      <c r="A39" s="8" t="s">
        <v>1303</v>
      </c>
      <c r="B39" s="8" t="s">
        <v>76</v>
      </c>
      <c r="C39" s="8" t="s">
        <v>68</v>
      </c>
      <c r="D39" s="18" t="s">
        <v>49</v>
      </c>
      <c r="E39" s="8" t="s">
        <v>1304</v>
      </c>
      <c r="F39" s="8" t="s">
        <v>1305</v>
      </c>
    </row>
    <row r="40" customFormat="false" ht="25.35" hidden="false" customHeight="false" outlineLevel="0" collapsed="false">
      <c r="A40" s="10" t="s">
        <v>1306</v>
      </c>
      <c r="B40" s="19" t="n">
        <v>419</v>
      </c>
      <c r="C40" s="13" t="n">
        <v>206</v>
      </c>
      <c r="D40" s="20" t="n">
        <f aca="false">IFERROR(C40/B40,0)</f>
        <v>0.491646778042959</v>
      </c>
      <c r="E40" s="64" t="n">
        <v>1.1</v>
      </c>
      <c r="F40" s="28" t="s">
        <v>1307</v>
      </c>
    </row>
    <row r="41" customFormat="false" ht="25.35" hidden="false" customHeight="false" outlineLevel="0" collapsed="false">
      <c r="A41" s="29" t="s">
        <v>1308</v>
      </c>
      <c r="B41" s="23" t="n">
        <v>247</v>
      </c>
      <c r="C41" s="14" t="n">
        <v>0</v>
      </c>
      <c r="D41" s="24" t="n">
        <f aca="false">IFERROR(C41/B41,0)</f>
        <v>0</v>
      </c>
      <c r="E41" s="65" t="n">
        <v>42.8</v>
      </c>
      <c r="F41" s="29" t="s">
        <v>1309</v>
      </c>
    </row>
    <row r="42" customFormat="false" ht="26.85" hidden="false" customHeight="false" outlineLevel="0" collapsed="false">
      <c r="A42" s="10" t="s">
        <v>1310</v>
      </c>
      <c r="B42" s="19" t="n">
        <v>182</v>
      </c>
      <c r="C42" s="13" t="n">
        <v>23</v>
      </c>
      <c r="D42" s="20" t="n">
        <f aca="false">IFERROR(C42/B42,0)</f>
        <v>0.126373626373626</v>
      </c>
      <c r="E42" s="64" t="n">
        <v>3.9</v>
      </c>
      <c r="F42" s="28" t="s">
        <v>1307</v>
      </c>
    </row>
    <row r="43" customFormat="false" ht="25.35" hidden="false" customHeight="false" outlineLevel="0" collapsed="false">
      <c r="A43" s="29" t="s">
        <v>1311</v>
      </c>
      <c r="B43" s="23" t="n">
        <v>134</v>
      </c>
      <c r="C43" s="14" t="n">
        <v>10</v>
      </c>
      <c r="D43" s="24" t="n">
        <f aca="false">IFERROR(C43/B43,0)</f>
        <v>0.0746268656716418</v>
      </c>
      <c r="E43" s="65" t="n">
        <v>4.6</v>
      </c>
      <c r="F43" s="29" t="s">
        <v>1312</v>
      </c>
    </row>
    <row r="44" customFormat="false" ht="26.85" hidden="false" customHeight="false" outlineLevel="0" collapsed="false">
      <c r="A44" s="28" t="s">
        <v>1313</v>
      </c>
      <c r="B44" s="19" t="n">
        <v>117</v>
      </c>
      <c r="C44" s="13" t="n">
        <v>10</v>
      </c>
      <c r="D44" s="20" t="n">
        <f aca="false">IFERROR(C44/B44,0)</f>
        <v>0.0854700854700855</v>
      </c>
      <c r="E44" s="64" t="n">
        <v>7.1</v>
      </c>
      <c r="F44" s="28" t="s">
        <v>1314</v>
      </c>
    </row>
    <row r="45" customFormat="false" ht="26.85" hidden="false" customHeight="false" outlineLevel="0" collapsed="false">
      <c r="A45" s="12" t="s">
        <v>1315</v>
      </c>
      <c r="B45" s="23" t="n">
        <v>104</v>
      </c>
      <c r="C45" s="14" t="n">
        <v>26</v>
      </c>
      <c r="D45" s="24" t="n">
        <f aca="false">IFERROR(C45/B45,0)</f>
        <v>0.25</v>
      </c>
      <c r="E45" s="65" t="n">
        <v>2.1</v>
      </c>
      <c r="F45" s="29" t="s">
        <v>1316</v>
      </c>
    </row>
    <row r="46" customFormat="false" ht="25.35" hidden="false" customHeight="false" outlineLevel="0" collapsed="false">
      <c r="A46" s="28" t="s">
        <v>1317</v>
      </c>
      <c r="B46" s="19" t="n">
        <v>97</v>
      </c>
      <c r="C46" s="13" t="n">
        <v>42</v>
      </c>
      <c r="D46" s="20" t="n">
        <f aca="false">IFERROR(C46/B46,0)</f>
        <v>0.43298969072165</v>
      </c>
      <c r="E46" s="64" t="n">
        <v>2.3</v>
      </c>
      <c r="F46" s="28" t="s">
        <v>1307</v>
      </c>
    </row>
    <row r="47" customFormat="false" ht="26.85" hidden="false" customHeight="false" outlineLevel="0" collapsed="false">
      <c r="A47" s="29" t="s">
        <v>1318</v>
      </c>
      <c r="B47" s="23" t="n">
        <v>89</v>
      </c>
      <c r="C47" s="14" t="n">
        <v>1</v>
      </c>
      <c r="D47" s="24" t="n">
        <f aca="false">IFERROR(C47/B47,0)</f>
        <v>0.0112359550561798</v>
      </c>
      <c r="E47" s="65" t="n">
        <v>8.8</v>
      </c>
      <c r="F47" s="29" t="s">
        <v>1319</v>
      </c>
    </row>
    <row r="48" customFormat="false" ht="25.35" hidden="false" customHeight="false" outlineLevel="0" collapsed="false">
      <c r="A48" s="10" t="s">
        <v>1320</v>
      </c>
      <c r="B48" s="19" t="n">
        <v>85</v>
      </c>
      <c r="C48" s="13" t="n">
        <v>41</v>
      </c>
      <c r="D48" s="20" t="n">
        <f aca="false">IFERROR(C48/B48,0)</f>
        <v>0.482352941176471</v>
      </c>
      <c r="E48" s="64" t="n">
        <v>1.1</v>
      </c>
      <c r="F48" s="28" t="s">
        <v>1307</v>
      </c>
    </row>
    <row r="49" customFormat="false" ht="26.85" hidden="false" customHeight="false" outlineLevel="0" collapsed="false">
      <c r="A49" s="12" t="s">
        <v>1321</v>
      </c>
      <c r="B49" s="23" t="n">
        <v>81</v>
      </c>
      <c r="C49" s="14" t="n">
        <v>43</v>
      </c>
      <c r="D49" s="24" t="n">
        <f aca="false">IFERROR(C49/B49,0)</f>
        <v>0.530864197530864</v>
      </c>
      <c r="E49" s="65" t="n">
        <v>1.1</v>
      </c>
      <c r="F49" s="29" t="s">
        <v>1316</v>
      </c>
    </row>
    <row r="50" customFormat="false" ht="26.85" hidden="false" customHeight="false" outlineLevel="0" collapsed="false">
      <c r="A50" s="28" t="s">
        <v>1322</v>
      </c>
      <c r="B50" s="19" t="n">
        <v>79</v>
      </c>
      <c r="C50" s="13" t="n">
        <v>2</v>
      </c>
      <c r="D50" s="20" t="n">
        <f aca="false">IFERROR(C50/B50,0)</f>
        <v>0.0253164556962025</v>
      </c>
      <c r="E50" s="64" t="n">
        <v>9.7</v>
      </c>
      <c r="F50" s="28" t="s">
        <v>1314</v>
      </c>
    </row>
    <row r="51" customFormat="false" ht="26.85" hidden="false" customHeight="false" outlineLevel="0" collapsed="false">
      <c r="A51" s="29" t="s">
        <v>1323</v>
      </c>
      <c r="B51" s="23" t="n">
        <v>77</v>
      </c>
      <c r="C51" s="14" t="n">
        <v>1</v>
      </c>
      <c r="D51" s="24" t="n">
        <f aca="false">IFERROR(C51/B51,0)</f>
        <v>0.012987012987013</v>
      </c>
      <c r="E51" s="65" t="n">
        <v>8.7</v>
      </c>
      <c r="F51" s="29" t="s">
        <v>1307</v>
      </c>
    </row>
    <row r="52" customFormat="false" ht="26.85" hidden="false" customHeight="false" outlineLevel="0" collapsed="false">
      <c r="A52" s="10" t="s">
        <v>1324</v>
      </c>
      <c r="B52" s="19" t="n">
        <v>67</v>
      </c>
      <c r="C52" s="13" t="n">
        <v>2</v>
      </c>
      <c r="D52" s="20" t="n">
        <f aca="false">IFERROR(C52/B52,0)</f>
        <v>0.0298507462686567</v>
      </c>
      <c r="E52" s="64" t="n">
        <v>10.9</v>
      </c>
      <c r="F52" s="28" t="s">
        <v>1325</v>
      </c>
    </row>
    <row r="53" customFormat="false" ht="26.85" hidden="false" customHeight="false" outlineLevel="0" collapsed="false">
      <c r="A53" s="12" t="s">
        <v>1326</v>
      </c>
      <c r="B53" s="23" t="n">
        <v>55</v>
      </c>
      <c r="C53" s="14" t="n">
        <v>5</v>
      </c>
      <c r="D53" s="24" t="n">
        <f aca="false">IFERROR(C53/B53,0)</f>
        <v>0.0909090909090909</v>
      </c>
      <c r="E53" s="65" t="n">
        <v>4.1</v>
      </c>
      <c r="F53" s="29" t="s">
        <v>1327</v>
      </c>
    </row>
    <row r="54" customFormat="false" ht="25.35" hidden="false" customHeight="false" outlineLevel="0" collapsed="false">
      <c r="A54" s="28" t="s">
        <v>1328</v>
      </c>
      <c r="B54" s="19" t="n">
        <v>55</v>
      </c>
      <c r="C54" s="13" t="n">
        <v>0</v>
      </c>
      <c r="D54" s="20" t="n">
        <f aca="false">IFERROR(C54/B54,0)</f>
        <v>0</v>
      </c>
      <c r="E54" s="64" t="n">
        <v>10</v>
      </c>
      <c r="F54" s="28" t="s">
        <v>1329</v>
      </c>
    </row>
    <row r="55" customFormat="false" ht="26.85" hidden="false" customHeight="false" outlineLevel="0" collapsed="false">
      <c r="A55" s="29" t="s">
        <v>1330</v>
      </c>
      <c r="B55" s="23" t="n">
        <v>53</v>
      </c>
      <c r="C55" s="14" t="n">
        <v>3</v>
      </c>
      <c r="D55" s="24" t="n">
        <f aca="false">IFERROR(C55/B55,0)</f>
        <v>0.0566037735849057</v>
      </c>
      <c r="E55" s="65" t="n">
        <v>7.6</v>
      </c>
      <c r="F55" s="29" t="s">
        <v>1314</v>
      </c>
    </row>
    <row r="56" customFormat="false" ht="26.85" hidden="false" customHeight="false" outlineLevel="0" collapsed="false">
      <c r="A56" s="10" t="s">
        <v>1331</v>
      </c>
      <c r="B56" s="19" t="n">
        <v>53</v>
      </c>
      <c r="C56" s="13" t="n">
        <v>0</v>
      </c>
      <c r="D56" s="20" t="n">
        <f aca="false">IFERROR(C56/B56,0)</f>
        <v>0</v>
      </c>
      <c r="E56" s="64" t="n">
        <v>26.7</v>
      </c>
      <c r="F56" s="28" t="s">
        <v>1332</v>
      </c>
    </row>
    <row r="57" customFormat="false" ht="39.55" hidden="false" customHeight="false" outlineLevel="0" collapsed="false">
      <c r="A57" s="12" t="s">
        <v>1333</v>
      </c>
      <c r="B57" s="23" t="n">
        <v>52</v>
      </c>
      <c r="C57" s="14" t="n">
        <v>11</v>
      </c>
      <c r="D57" s="24" t="n">
        <f aca="false">IFERROR(C57/B57,0)</f>
        <v>0.211538461538462</v>
      </c>
      <c r="E57" s="65" t="n">
        <v>3.9</v>
      </c>
      <c r="F57" s="29" t="s">
        <v>1334</v>
      </c>
    </row>
    <row r="58" customFormat="false" ht="25.35" hidden="false" customHeight="false" outlineLevel="0" collapsed="false">
      <c r="A58" s="28" t="s">
        <v>1335</v>
      </c>
      <c r="B58" s="19" t="n">
        <v>50</v>
      </c>
      <c r="C58" s="13" t="n">
        <v>0</v>
      </c>
      <c r="D58" s="20" t="n">
        <f aca="false">IFERROR(C58/B58,0)</f>
        <v>0</v>
      </c>
      <c r="E58" s="64" t="n">
        <v>8.6</v>
      </c>
      <c r="F58" s="28" t="s">
        <v>1307</v>
      </c>
    </row>
    <row r="59" customFormat="false" ht="25.35" hidden="false" customHeight="false" outlineLevel="0" collapsed="false">
      <c r="A59" s="29" t="s">
        <v>1336</v>
      </c>
      <c r="B59" s="23" t="n">
        <v>49</v>
      </c>
      <c r="C59" s="14" t="n">
        <v>0</v>
      </c>
      <c r="D59" s="24" t="n">
        <f aca="false">IFERROR(C59/B59,0)</f>
        <v>0</v>
      </c>
      <c r="E59" s="65" t="n">
        <v>9.8</v>
      </c>
      <c r="F59" s="29" t="s">
        <v>1337</v>
      </c>
    </row>
    <row r="60" customFormat="false" ht="39.55" hidden="false" customHeight="false" outlineLevel="0" collapsed="false">
      <c r="A60" s="10" t="s">
        <v>1338</v>
      </c>
      <c r="B60" s="19" t="n">
        <v>49</v>
      </c>
      <c r="C60" s="13" t="n">
        <v>11</v>
      </c>
      <c r="D60" s="20" t="n">
        <f aca="false">IFERROR(C60/B60,0)</f>
        <v>0.224489795918367</v>
      </c>
      <c r="E60" s="64" t="n">
        <v>3.9</v>
      </c>
      <c r="F60" s="28" t="s">
        <v>1334</v>
      </c>
    </row>
    <row r="61" customFormat="false" ht="26.85" hidden="false" customHeight="false" outlineLevel="0" collapsed="false">
      <c r="A61" s="12" t="s">
        <v>1339</v>
      </c>
      <c r="B61" s="23" t="n">
        <v>46</v>
      </c>
      <c r="C61" s="14" t="n">
        <v>0</v>
      </c>
      <c r="D61" s="24" t="n">
        <f aca="false">IFERROR(C61/B61,0)</f>
        <v>0</v>
      </c>
      <c r="E61" s="65" t="n">
        <v>8.7</v>
      </c>
      <c r="F61" s="29" t="s">
        <v>1340</v>
      </c>
    </row>
    <row r="62" customFormat="false" ht="26.85" hidden="false" customHeight="false" outlineLevel="0" collapsed="false">
      <c r="A62" s="10" t="s">
        <v>1341</v>
      </c>
      <c r="B62" s="19" t="n">
        <v>44</v>
      </c>
      <c r="C62" s="13" t="n">
        <v>1</v>
      </c>
      <c r="D62" s="20" t="n">
        <f aca="false">IFERROR(C62/B62,0)</f>
        <v>0.0227272727272727</v>
      </c>
      <c r="E62" s="64" t="n">
        <v>4.3</v>
      </c>
      <c r="F62" s="28" t="s">
        <v>1334</v>
      </c>
    </row>
    <row r="63" customFormat="false" ht="26.85" hidden="false" customHeight="false" outlineLevel="0" collapsed="false">
      <c r="A63" s="29" t="s">
        <v>1342</v>
      </c>
      <c r="B63" s="23" t="n">
        <v>42</v>
      </c>
      <c r="C63" s="14" t="n">
        <v>2</v>
      </c>
      <c r="D63" s="24" t="n">
        <f aca="false">IFERROR(C63/B63,0)</f>
        <v>0.0476190476190476</v>
      </c>
      <c r="E63" s="65" t="n">
        <v>7.8</v>
      </c>
      <c r="F63" s="29" t="s">
        <v>1343</v>
      </c>
    </row>
    <row r="64" customFormat="false" ht="26.85" hidden="false" customHeight="false" outlineLevel="0" collapsed="false">
      <c r="A64" s="28" t="s">
        <v>1344</v>
      </c>
      <c r="B64" s="19" t="n">
        <v>38</v>
      </c>
      <c r="C64" s="13" t="n">
        <v>2</v>
      </c>
      <c r="D64" s="20" t="n">
        <f aca="false">IFERROR(C64/B64,0)</f>
        <v>0.0526315789473684</v>
      </c>
      <c r="E64" s="64" t="n">
        <v>9.1</v>
      </c>
      <c r="F64" s="28" t="s">
        <v>1340</v>
      </c>
    </row>
    <row r="65" customFormat="false" ht="39.55" hidden="false" customHeight="false" outlineLevel="0" collapsed="false">
      <c r="A65" s="12" t="s">
        <v>1345</v>
      </c>
      <c r="B65" s="23" t="n">
        <v>36</v>
      </c>
      <c r="C65" s="14" t="n">
        <v>4</v>
      </c>
      <c r="D65" s="24" t="n">
        <f aca="false">IFERROR(C65/B65,0)</f>
        <v>0.111111111111111</v>
      </c>
      <c r="E65" s="65" t="n">
        <v>3.9</v>
      </c>
      <c r="F65" s="29" t="s">
        <v>1334</v>
      </c>
    </row>
    <row r="66" customFormat="false" ht="26.85" hidden="false" customHeight="false" outlineLevel="0" collapsed="false">
      <c r="A66" s="10" t="s">
        <v>1346</v>
      </c>
      <c r="B66" s="19" t="n">
        <v>32</v>
      </c>
      <c r="C66" s="13" t="n">
        <v>0</v>
      </c>
      <c r="D66" s="20" t="n">
        <f aca="false">IFERROR(C66/B66,0)</f>
        <v>0</v>
      </c>
      <c r="E66" s="64" t="n">
        <v>8.4</v>
      </c>
      <c r="F66" s="28" t="s">
        <v>1340</v>
      </c>
    </row>
    <row r="67" customFormat="false" ht="26.85" hidden="false" customHeight="false" outlineLevel="0" collapsed="false">
      <c r="A67" s="12" t="s">
        <v>1347</v>
      </c>
      <c r="B67" s="23" t="n">
        <v>32</v>
      </c>
      <c r="C67" s="14" t="n">
        <v>8</v>
      </c>
      <c r="D67" s="24" t="n">
        <f aca="false">IFERROR(C67/B67,0)</f>
        <v>0.25</v>
      </c>
      <c r="E67" s="65" t="n">
        <v>2.2</v>
      </c>
      <c r="F67" s="29" t="s">
        <v>1316</v>
      </c>
    </row>
    <row r="68" customFormat="false" ht="26.85" hidden="false" customHeight="false" outlineLevel="0" collapsed="false">
      <c r="A68" s="10" t="s">
        <v>1348</v>
      </c>
      <c r="B68" s="19" t="n">
        <v>31</v>
      </c>
      <c r="C68" s="13" t="n">
        <v>4</v>
      </c>
      <c r="D68" s="20" t="n">
        <f aca="false">IFERROR(C68/B68,0)</f>
        <v>0.129032258064516</v>
      </c>
      <c r="E68" s="64" t="n">
        <v>3</v>
      </c>
      <c r="F68" s="28" t="s">
        <v>1349</v>
      </c>
    </row>
    <row r="69" customFormat="false" ht="25.35" hidden="false" customHeight="false" outlineLevel="0" collapsed="false">
      <c r="A69" s="12" t="s">
        <v>1350</v>
      </c>
      <c r="B69" s="23" t="n">
        <v>31</v>
      </c>
      <c r="C69" s="14" t="n">
        <v>1</v>
      </c>
      <c r="D69" s="24" t="n">
        <f aca="false">IFERROR(C69/B69,0)</f>
        <v>0.032258064516129</v>
      </c>
      <c r="E69" s="65" t="n">
        <v>4.5</v>
      </c>
      <c r="F69" s="29" t="s">
        <v>1307</v>
      </c>
    </row>
    <row r="70" customFormat="false" ht="26.85" hidden="false" customHeight="false" outlineLevel="0" collapsed="false">
      <c r="A70" s="28" t="s">
        <v>1351</v>
      </c>
      <c r="B70" s="19" t="n">
        <v>31</v>
      </c>
      <c r="C70" s="13" t="n">
        <v>5</v>
      </c>
      <c r="D70" s="20" t="n">
        <f aca="false">IFERROR(C70/B70,0)</f>
        <v>0.161290322580645</v>
      </c>
      <c r="E70" s="64" t="n">
        <v>6.1</v>
      </c>
      <c r="F70" s="28" t="s">
        <v>1314</v>
      </c>
    </row>
    <row r="71" customFormat="false" ht="52.2" hidden="false" customHeight="false" outlineLevel="0" collapsed="false">
      <c r="A71" s="12" t="s">
        <v>1352</v>
      </c>
      <c r="B71" s="23" t="n">
        <v>31</v>
      </c>
      <c r="C71" s="14" t="n">
        <v>1</v>
      </c>
      <c r="D71" s="24" t="n">
        <f aca="false">IFERROR(C71/B71,0)</f>
        <v>0.032258064516129</v>
      </c>
      <c r="E71" s="65" t="n">
        <v>7.5</v>
      </c>
      <c r="F71" s="29" t="s">
        <v>1353</v>
      </c>
    </row>
    <row r="72" customFormat="false" ht="26.85" hidden="false" customHeight="false" outlineLevel="0" collapsed="false">
      <c r="A72" s="28" t="s">
        <v>1354</v>
      </c>
      <c r="B72" s="19" t="n">
        <v>29</v>
      </c>
      <c r="C72" s="13" t="n">
        <v>1</v>
      </c>
      <c r="D72" s="20" t="n">
        <f aca="false">IFERROR(C72/B72,0)</f>
        <v>0.0344827586206897</v>
      </c>
      <c r="E72" s="64" t="n">
        <v>6.7</v>
      </c>
      <c r="F72" s="28" t="s">
        <v>1314</v>
      </c>
    </row>
    <row r="73" customFormat="false" ht="26.85" hidden="false" customHeight="false" outlineLevel="0" collapsed="false">
      <c r="A73" s="29" t="s">
        <v>1355</v>
      </c>
      <c r="B73" s="23" t="n">
        <v>29</v>
      </c>
      <c r="C73" s="14" t="n">
        <v>1</v>
      </c>
      <c r="D73" s="24" t="n">
        <f aca="false">IFERROR(C73/B73,0)</f>
        <v>0.0344827586206897</v>
      </c>
      <c r="E73" s="65" t="n">
        <v>9.5</v>
      </c>
      <c r="F73" s="29" t="s">
        <v>1343</v>
      </c>
    </row>
    <row r="74" customFormat="false" ht="39.55" hidden="false" customHeight="false" outlineLevel="0" collapsed="false">
      <c r="A74" s="28" t="s">
        <v>1356</v>
      </c>
      <c r="B74" s="19" t="n">
        <v>29</v>
      </c>
      <c r="C74" s="13" t="n">
        <v>1</v>
      </c>
      <c r="D74" s="20" t="n">
        <f aca="false">IFERROR(C74/B74,0)</f>
        <v>0.0344827586206897</v>
      </c>
      <c r="E74" s="64" t="n">
        <v>7</v>
      </c>
      <c r="F74" s="28" t="s">
        <v>1357</v>
      </c>
    </row>
    <row r="75" customFormat="false" ht="52.2" hidden="false" customHeight="false" outlineLevel="0" collapsed="false">
      <c r="A75" s="12" t="s">
        <v>1358</v>
      </c>
      <c r="B75" s="23" t="n">
        <v>29</v>
      </c>
      <c r="C75" s="14" t="n">
        <v>0</v>
      </c>
      <c r="D75" s="24" t="n">
        <f aca="false">IFERROR(C75/B75,0)</f>
        <v>0</v>
      </c>
      <c r="E75" s="65" t="n">
        <v>21.2</v>
      </c>
      <c r="F75" s="29" t="s">
        <v>1359</v>
      </c>
    </row>
    <row r="76" customFormat="false" ht="39.55" hidden="false" customHeight="false" outlineLevel="0" collapsed="false">
      <c r="A76" s="10" t="s">
        <v>1360</v>
      </c>
      <c r="B76" s="19" t="n">
        <v>28</v>
      </c>
      <c r="C76" s="13" t="n">
        <v>0</v>
      </c>
      <c r="D76" s="20" t="n">
        <f aca="false">IFERROR(C76/B76,0)</f>
        <v>0</v>
      </c>
      <c r="E76" s="64" t="n">
        <v>7.2</v>
      </c>
      <c r="F76" s="28" t="s">
        <v>1361</v>
      </c>
    </row>
    <row r="77" customFormat="false" ht="25.35" hidden="false" customHeight="false" outlineLevel="0" collapsed="false">
      <c r="A77" s="12" t="s">
        <v>1362</v>
      </c>
      <c r="B77" s="23" t="n">
        <v>28</v>
      </c>
      <c r="C77" s="14" t="n">
        <v>0</v>
      </c>
      <c r="D77" s="24" t="n">
        <f aca="false">IFERROR(C77/B77,0)</f>
        <v>0</v>
      </c>
      <c r="E77" s="65" t="n">
        <v>10.1</v>
      </c>
      <c r="F77" s="29" t="s">
        <v>1363</v>
      </c>
    </row>
    <row r="78" customFormat="false" ht="52.2" hidden="false" customHeight="false" outlineLevel="0" collapsed="false">
      <c r="A78" s="10" t="s">
        <v>1364</v>
      </c>
      <c r="B78" s="19" t="n">
        <v>28</v>
      </c>
      <c r="C78" s="13" t="n">
        <v>0</v>
      </c>
      <c r="D78" s="20" t="n">
        <f aca="false">IFERROR(C78/B78,0)</f>
        <v>0</v>
      </c>
      <c r="E78" s="64" t="n">
        <v>18.8</v>
      </c>
      <c r="F78" s="28" t="s">
        <v>1353</v>
      </c>
    </row>
    <row r="79" customFormat="false" ht="39.55" hidden="false" customHeight="false" outlineLevel="0" collapsed="false">
      <c r="A79" s="12" t="s">
        <v>1365</v>
      </c>
      <c r="B79" s="23" t="n">
        <v>27</v>
      </c>
      <c r="C79" s="14" t="n">
        <v>0</v>
      </c>
      <c r="D79" s="24" t="n">
        <f aca="false">IFERROR(C79/B79,0)</f>
        <v>0</v>
      </c>
      <c r="E79" s="65" t="n">
        <v>19.4</v>
      </c>
      <c r="F79" s="29" t="s">
        <v>1353</v>
      </c>
    </row>
  </sheetData>
  <mergeCells count="4">
    <mergeCell ref="A33:H33"/>
    <mergeCell ref="A34:H34"/>
    <mergeCell ref="A35:H35"/>
    <mergeCell ref="A36:H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2"/>
    <col collapsed="false" customWidth="true" hidden="false" outlineLevel="0" max="4" min="3" style="0" width="9"/>
    <col collapsed="false" customWidth="true" hidden="false" outlineLevel="0" max="7" min="5" style="0" width="8"/>
    <col collapsed="false" customWidth="true" hidden="false" outlineLevel="0" max="8" min="8" style="0" width="50"/>
    <col collapsed="false" customWidth="true" hidden="false" outlineLevel="0" max="9" min="9" style="0" width="60"/>
    <col collapsed="false" customWidth="true" hidden="false" outlineLevel="0" max="10" min="10" style="0" width="40"/>
    <col collapsed="false" customWidth="true" hidden="false" outlineLevel="0" max="11" min="11" style="0" width="7"/>
  </cols>
  <sheetData>
    <row r="1" customFormat="false" ht="19.4" hidden="false" customHeight="false" outlineLevel="0" collapsed="false">
      <c r="A1" s="1" t="s">
        <v>1366</v>
      </c>
    </row>
    <row r="2" customFormat="false" ht="15" hidden="false" customHeight="false" outlineLevel="0" collapsed="false">
      <c r="A2" s="2" t="s">
        <v>1367</v>
      </c>
    </row>
    <row r="3" customFormat="false" ht="26.85" hidden="false" customHeight="false" outlineLevel="0" collapsed="false">
      <c r="A3" s="18" t="s">
        <v>1368</v>
      </c>
      <c r="B3" s="8" t="s">
        <v>1369</v>
      </c>
      <c r="C3" s="18" t="s">
        <v>314</v>
      </c>
      <c r="D3" s="18" t="s">
        <v>315</v>
      </c>
      <c r="E3" s="8" t="s">
        <v>1304</v>
      </c>
      <c r="F3" s="18" t="s">
        <v>1370</v>
      </c>
      <c r="G3" s="18" t="s">
        <v>1371</v>
      </c>
      <c r="H3" s="8" t="s">
        <v>1372</v>
      </c>
      <c r="I3" s="8" t="s">
        <v>1373</v>
      </c>
      <c r="J3" s="8" t="s">
        <v>1374</v>
      </c>
      <c r="K3" s="8" t="s">
        <v>253</v>
      </c>
    </row>
    <row r="4" customFormat="false" ht="90" hidden="false" customHeight="true" outlineLevel="0" collapsed="false">
      <c r="A4" s="28" t="s">
        <v>1375</v>
      </c>
      <c r="B4" s="10" t="s">
        <v>1376</v>
      </c>
      <c r="C4" s="19" t="n">
        <v>12</v>
      </c>
      <c r="D4" s="13" t="n">
        <v>0</v>
      </c>
      <c r="E4" s="13" t="n">
        <v>13.2</v>
      </c>
      <c r="F4" s="13" t="n">
        <v>9</v>
      </c>
      <c r="G4" s="13" t="n">
        <v>2</v>
      </c>
      <c r="H4" s="10" t="s">
        <v>1377</v>
      </c>
      <c r="I4" s="28" t="s">
        <v>1378</v>
      </c>
      <c r="J4" s="10" t="s">
        <v>1379</v>
      </c>
      <c r="K4" s="13" t="s">
        <v>1380</v>
      </c>
    </row>
    <row r="5" customFormat="false" ht="90" hidden="false" customHeight="true" outlineLevel="0" collapsed="false">
      <c r="A5" s="28" t="s">
        <v>1381</v>
      </c>
      <c r="B5" s="10" t="s">
        <v>1376</v>
      </c>
      <c r="C5" s="19" t="n">
        <v>5</v>
      </c>
      <c r="D5" s="13" t="n">
        <v>0</v>
      </c>
      <c r="E5" s="13" t="n">
        <v>8.8</v>
      </c>
      <c r="F5" s="13" t="n">
        <v>4</v>
      </c>
      <c r="G5" s="13" t="n">
        <v>1</v>
      </c>
      <c r="H5" s="10" t="s">
        <v>1377</v>
      </c>
      <c r="I5" s="28" t="s">
        <v>1378</v>
      </c>
      <c r="J5" s="10" t="s">
        <v>1379</v>
      </c>
      <c r="K5" s="13" t="s">
        <v>1380</v>
      </c>
    </row>
    <row r="6" customFormat="false" ht="90" hidden="false" customHeight="true" outlineLevel="0" collapsed="false">
      <c r="A6" s="28" t="s">
        <v>1382</v>
      </c>
      <c r="B6" s="10" t="s">
        <v>1376</v>
      </c>
      <c r="C6" s="19" t="n">
        <v>3</v>
      </c>
      <c r="D6" s="13" t="n">
        <v>0</v>
      </c>
      <c r="E6" s="13" t="n">
        <v>6.7</v>
      </c>
      <c r="F6" s="13" t="n">
        <v>3</v>
      </c>
      <c r="G6" s="13" t="n">
        <v>3</v>
      </c>
      <c r="H6" s="10" t="s">
        <v>1377</v>
      </c>
      <c r="I6" s="28" t="s">
        <v>1378</v>
      </c>
      <c r="J6" s="10" t="s">
        <v>1379</v>
      </c>
      <c r="K6" s="13" t="s">
        <v>1380</v>
      </c>
    </row>
    <row r="7" customFormat="false" ht="90" hidden="false" customHeight="true" outlineLevel="0" collapsed="false">
      <c r="A7" s="28" t="s">
        <v>1383</v>
      </c>
      <c r="B7" s="10" t="s">
        <v>1376</v>
      </c>
      <c r="C7" s="19" t="n">
        <v>2</v>
      </c>
      <c r="D7" s="13" t="n">
        <v>0</v>
      </c>
      <c r="E7" s="13" t="n">
        <v>7</v>
      </c>
      <c r="F7" s="13" t="n">
        <v>0</v>
      </c>
      <c r="G7" s="13" t="n">
        <v>0</v>
      </c>
      <c r="H7" s="10" t="s">
        <v>1377</v>
      </c>
      <c r="I7" s="28" t="s">
        <v>1378</v>
      </c>
      <c r="J7" s="10" t="s">
        <v>1379</v>
      </c>
      <c r="K7" s="13" t="s">
        <v>1380</v>
      </c>
    </row>
    <row r="8" customFormat="false" ht="90" hidden="false" customHeight="true" outlineLevel="0" collapsed="false">
      <c r="A8" s="28" t="s">
        <v>1384</v>
      </c>
      <c r="B8" s="10" t="s">
        <v>1376</v>
      </c>
      <c r="C8" s="19" t="n">
        <v>1</v>
      </c>
      <c r="D8" s="13" t="n">
        <v>0</v>
      </c>
      <c r="E8" s="13" t="n">
        <v>33</v>
      </c>
      <c r="F8" s="13" t="n">
        <v>0</v>
      </c>
      <c r="G8" s="13" t="n">
        <v>0</v>
      </c>
      <c r="H8" s="10" t="s">
        <v>1377</v>
      </c>
      <c r="I8" s="28" t="s">
        <v>1378</v>
      </c>
      <c r="J8" s="10" t="s">
        <v>1379</v>
      </c>
      <c r="K8" s="13" t="s">
        <v>1380</v>
      </c>
    </row>
    <row r="9" customFormat="false" ht="90" hidden="false" customHeight="true" outlineLevel="0" collapsed="false">
      <c r="A9" s="28" t="s">
        <v>1385</v>
      </c>
      <c r="B9" s="10" t="s">
        <v>1386</v>
      </c>
      <c r="C9" s="19" t="n">
        <v>1</v>
      </c>
      <c r="D9" s="13" t="n">
        <v>0</v>
      </c>
      <c r="E9" s="13" t="n">
        <v>1</v>
      </c>
      <c r="F9" s="13" t="n">
        <v>1</v>
      </c>
      <c r="G9" s="13" t="n">
        <v>0</v>
      </c>
      <c r="H9" s="28" t="s">
        <v>1387</v>
      </c>
      <c r="I9" s="28" t="s">
        <v>1388</v>
      </c>
      <c r="J9" s="10" t="s">
        <v>1389</v>
      </c>
      <c r="K9" s="13" t="s">
        <v>348</v>
      </c>
    </row>
    <row r="10" customFormat="false" ht="90" hidden="false" customHeight="true" outlineLevel="0" collapsed="false">
      <c r="A10" s="28" t="s">
        <v>1390</v>
      </c>
      <c r="B10" s="10" t="s">
        <v>1391</v>
      </c>
      <c r="C10" s="19" t="n">
        <v>1</v>
      </c>
      <c r="D10" s="13" t="n">
        <v>1</v>
      </c>
      <c r="E10" s="13" t="n">
        <v>1</v>
      </c>
      <c r="F10" s="13" t="n">
        <v>1</v>
      </c>
      <c r="G10" s="13" t="n">
        <v>0</v>
      </c>
      <c r="H10" s="10" t="s">
        <v>1392</v>
      </c>
      <c r="I10" s="10" t="s">
        <v>1393</v>
      </c>
      <c r="J10" s="28" t="s">
        <v>1394</v>
      </c>
      <c r="K10" s="13" t="s">
        <v>348</v>
      </c>
    </row>
    <row r="11" customFormat="false" ht="90" hidden="false" customHeight="true" outlineLevel="0" collapsed="false">
      <c r="A11" s="28" t="s">
        <v>1395</v>
      </c>
      <c r="B11" s="10" t="s">
        <v>1391</v>
      </c>
      <c r="C11" s="19" t="n">
        <v>21</v>
      </c>
      <c r="D11" s="13" t="n">
        <v>0</v>
      </c>
      <c r="E11" s="13" t="n">
        <v>3.3</v>
      </c>
      <c r="F11" s="13" t="n">
        <v>21</v>
      </c>
      <c r="G11" s="13" t="n">
        <v>0</v>
      </c>
      <c r="H11" s="10" t="s">
        <v>1392</v>
      </c>
      <c r="I11" s="10" t="s">
        <v>1393</v>
      </c>
      <c r="J11" s="28" t="s">
        <v>1394</v>
      </c>
      <c r="K11" s="13" t="s">
        <v>348</v>
      </c>
    </row>
    <row r="12" customFormat="false" ht="90" hidden="false" customHeight="true" outlineLevel="0" collapsed="false">
      <c r="A12" s="28" t="s">
        <v>1396</v>
      </c>
      <c r="B12" s="10" t="s">
        <v>1397</v>
      </c>
      <c r="C12" s="19" t="n">
        <v>2</v>
      </c>
      <c r="D12" s="13" t="n">
        <v>0</v>
      </c>
      <c r="E12" s="13" t="n">
        <v>1</v>
      </c>
      <c r="F12" s="13" t="n">
        <v>2</v>
      </c>
      <c r="G12" s="13" t="n">
        <v>0</v>
      </c>
      <c r="H12" s="10" t="s">
        <v>1398</v>
      </c>
      <c r="I12" s="28" t="s">
        <v>1399</v>
      </c>
      <c r="J12" s="28" t="s">
        <v>1400</v>
      </c>
      <c r="K12" s="13" t="s">
        <v>1401</v>
      </c>
    </row>
    <row r="13" customFormat="false" ht="90" hidden="false" customHeight="true" outlineLevel="0" collapsed="false">
      <c r="A13" s="28" t="s">
        <v>1402</v>
      </c>
      <c r="B13" s="10" t="s">
        <v>1397</v>
      </c>
      <c r="C13" s="19" t="n">
        <v>1</v>
      </c>
      <c r="D13" s="13" t="n">
        <v>0</v>
      </c>
      <c r="E13" s="13" t="n">
        <v>1</v>
      </c>
      <c r="F13" s="13" t="n">
        <v>0</v>
      </c>
      <c r="G13" s="13" t="n">
        <v>0</v>
      </c>
      <c r="H13" s="10" t="s">
        <v>1398</v>
      </c>
      <c r="I13" s="28" t="s">
        <v>1399</v>
      </c>
      <c r="J13" s="28" t="s">
        <v>1400</v>
      </c>
      <c r="K13" s="13" t="s">
        <v>1401</v>
      </c>
    </row>
    <row r="14" customFormat="false" ht="90" hidden="false" customHeight="true" outlineLevel="0" collapsed="false">
      <c r="A14" s="28" t="s">
        <v>1403</v>
      </c>
      <c r="B14" s="10" t="s">
        <v>1397</v>
      </c>
      <c r="C14" s="19" t="n">
        <v>1</v>
      </c>
      <c r="D14" s="13" t="n">
        <v>0</v>
      </c>
      <c r="E14" s="13" t="n">
        <v>1</v>
      </c>
      <c r="F14" s="13" t="n">
        <v>1</v>
      </c>
      <c r="G14" s="13" t="n">
        <v>0</v>
      </c>
      <c r="H14" s="10" t="s">
        <v>1398</v>
      </c>
      <c r="I14" s="28" t="s">
        <v>1399</v>
      </c>
      <c r="J14" s="28" t="s">
        <v>1400</v>
      </c>
      <c r="K14" s="13" t="s">
        <v>1401</v>
      </c>
    </row>
    <row r="15" customFormat="false" ht="90" hidden="false" customHeight="true" outlineLevel="0" collapsed="false">
      <c r="A15" s="28" t="s">
        <v>1404</v>
      </c>
      <c r="B15" s="10" t="s">
        <v>1397</v>
      </c>
      <c r="C15" s="19" t="n">
        <v>1</v>
      </c>
      <c r="D15" s="13" t="n">
        <v>0</v>
      </c>
      <c r="E15" s="13" t="n">
        <v>1</v>
      </c>
      <c r="F15" s="13" t="n">
        <v>0</v>
      </c>
      <c r="G15" s="13" t="n">
        <v>0</v>
      </c>
      <c r="H15" s="10" t="s">
        <v>1398</v>
      </c>
      <c r="I15" s="28" t="s">
        <v>1399</v>
      </c>
      <c r="J15" s="28" t="s">
        <v>1400</v>
      </c>
      <c r="K15" s="13" t="s">
        <v>1401</v>
      </c>
    </row>
    <row r="17" customFormat="false" ht="17.15" hidden="false" customHeight="false" outlineLevel="0" collapsed="false">
      <c r="A17" s="3" t="s">
        <v>1405</v>
      </c>
    </row>
    <row r="18" customFormat="false" ht="36" hidden="false" customHeight="true" outlineLevel="0" collapsed="false">
      <c r="A18" s="66" t="s">
        <v>1406</v>
      </c>
      <c r="B18" s="66"/>
      <c r="C18" s="66"/>
      <c r="D18" s="66"/>
      <c r="E18" s="66"/>
      <c r="F18" s="66"/>
      <c r="G18" s="66"/>
      <c r="H18" s="66"/>
      <c r="I18" s="66"/>
      <c r="J18" s="66"/>
      <c r="K18" s="66"/>
    </row>
    <row r="20" customFormat="false" ht="15" hidden="false" customHeight="false" outlineLevel="0" collapsed="false">
      <c r="A20" s="8" t="s">
        <v>1407</v>
      </c>
      <c r="B20" s="8" t="s">
        <v>1408</v>
      </c>
    </row>
    <row r="21" customFormat="false" ht="15" hidden="false" customHeight="false" outlineLevel="0" collapsed="false">
      <c r="A21" s="9" t="s">
        <v>1155</v>
      </c>
      <c r="B21" s="13" t="n">
        <v>16</v>
      </c>
    </row>
    <row r="22" customFormat="false" ht="15" hidden="false" customHeight="false" outlineLevel="0" collapsed="false">
      <c r="A22" s="11" t="s">
        <v>1409</v>
      </c>
      <c r="B22" s="14" t="n">
        <v>16</v>
      </c>
    </row>
    <row r="23" customFormat="false" ht="15" hidden="false" customHeight="false" outlineLevel="0" collapsed="false">
      <c r="A23" s="9" t="s">
        <v>1410</v>
      </c>
      <c r="B23" s="13" t="n">
        <v>15</v>
      </c>
    </row>
    <row r="24" customFormat="false" ht="15" hidden="false" customHeight="false" outlineLevel="0" collapsed="false">
      <c r="A24" s="11" t="s">
        <v>1171</v>
      </c>
      <c r="B24" s="14" t="n">
        <v>14</v>
      </c>
    </row>
    <row r="25" customFormat="false" ht="15" hidden="false" customHeight="false" outlineLevel="0" collapsed="false">
      <c r="A25" s="9" t="s">
        <v>1411</v>
      </c>
      <c r="B25" s="13" t="n">
        <v>13</v>
      </c>
    </row>
    <row r="26" customFormat="false" ht="15" hidden="false" customHeight="false" outlineLevel="0" collapsed="false">
      <c r="A26" s="11" t="s">
        <v>1412</v>
      </c>
      <c r="B26" s="14" t="n">
        <v>12</v>
      </c>
    </row>
    <row r="27" customFormat="false" ht="15" hidden="false" customHeight="false" outlineLevel="0" collapsed="false">
      <c r="A27" s="9" t="s">
        <v>1163</v>
      </c>
      <c r="B27" s="13" t="n">
        <v>9</v>
      </c>
    </row>
    <row r="28" customFormat="false" ht="15" hidden="false" customHeight="false" outlineLevel="0" collapsed="false">
      <c r="A28" s="11" t="s">
        <v>1144</v>
      </c>
      <c r="B28" s="14" t="n">
        <v>9</v>
      </c>
    </row>
    <row r="29" customFormat="false" ht="15" hidden="false" customHeight="false" outlineLevel="0" collapsed="false">
      <c r="A29" s="9" t="s">
        <v>1413</v>
      </c>
      <c r="B29" s="13" t="n">
        <v>9</v>
      </c>
    </row>
    <row r="30" customFormat="false" ht="15" hidden="false" customHeight="false" outlineLevel="0" collapsed="false">
      <c r="A30" s="11" t="s">
        <v>1414</v>
      </c>
      <c r="B30" s="14" t="n">
        <v>9</v>
      </c>
    </row>
    <row r="31" customFormat="false" ht="15" hidden="false" customHeight="false" outlineLevel="0" collapsed="false">
      <c r="A31" s="9" t="s">
        <v>1415</v>
      </c>
      <c r="B31" s="13" t="n">
        <v>8</v>
      </c>
    </row>
    <row r="32" customFormat="false" ht="15" hidden="false" customHeight="false" outlineLevel="0" collapsed="false">
      <c r="A32" s="11" t="s">
        <v>1416</v>
      </c>
      <c r="B32" s="14" t="n">
        <v>8</v>
      </c>
    </row>
    <row r="33" customFormat="false" ht="15" hidden="false" customHeight="false" outlineLevel="0" collapsed="false">
      <c r="A33" s="9" t="s">
        <v>1417</v>
      </c>
      <c r="B33" s="13" t="n">
        <v>8</v>
      </c>
    </row>
    <row r="34" customFormat="false" ht="15" hidden="false" customHeight="false" outlineLevel="0" collapsed="false">
      <c r="A34" s="11" t="s">
        <v>1418</v>
      </c>
      <c r="B34" s="14" t="n">
        <v>8</v>
      </c>
    </row>
    <row r="35" customFormat="false" ht="15" hidden="false" customHeight="false" outlineLevel="0" collapsed="false">
      <c r="A35" s="9" t="s">
        <v>1419</v>
      </c>
      <c r="B35" s="13" t="n">
        <v>7</v>
      </c>
    </row>
  </sheetData>
  <mergeCells count="1">
    <mergeCell ref="A18:K1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5" min="4" style="0" width="50"/>
    <col collapsed="false" customWidth="true" hidden="false" outlineLevel="0" max="6" min="6" style="0" width="24"/>
  </cols>
  <sheetData>
    <row r="1" customFormat="false" ht="19.4" hidden="false" customHeight="false" outlineLevel="0" collapsed="false">
      <c r="A1" s="67" t="s">
        <v>1420</v>
      </c>
    </row>
    <row r="2" customFormat="false" ht="15" hidden="false" customHeight="false" outlineLevel="0" collapsed="false">
      <c r="A2" s="2" t="s">
        <v>1421</v>
      </c>
    </row>
    <row r="3" customFormat="false" ht="15" hidden="false" customHeight="false" outlineLevel="0" collapsed="false">
      <c r="A3" s="18" t="s">
        <v>101</v>
      </c>
      <c r="B3" s="8" t="s">
        <v>1422</v>
      </c>
      <c r="C3" s="8" t="s">
        <v>1423</v>
      </c>
      <c r="D3" s="8" t="s">
        <v>1424</v>
      </c>
      <c r="E3" s="8" t="s">
        <v>1425</v>
      </c>
      <c r="F3" s="8" t="s">
        <v>1426</v>
      </c>
    </row>
    <row r="4" customFormat="false" ht="109.5" hidden="false" customHeight="true" outlineLevel="0" collapsed="false">
      <c r="A4" s="9" t="s">
        <v>103</v>
      </c>
      <c r="B4" s="10" t="s">
        <v>1427</v>
      </c>
      <c r="C4" s="10" t="s">
        <v>1428</v>
      </c>
      <c r="D4" s="10" t="s">
        <v>1429</v>
      </c>
      <c r="E4" s="10" t="s">
        <v>1430</v>
      </c>
      <c r="F4" s="10" t="s">
        <v>1431</v>
      </c>
    </row>
    <row r="5" customFormat="false" ht="109.5" hidden="false" customHeight="true" outlineLevel="0" collapsed="false">
      <c r="A5" s="9" t="s">
        <v>106</v>
      </c>
      <c r="B5" s="10" t="s">
        <v>1432</v>
      </c>
      <c r="C5" s="10" t="s">
        <v>1433</v>
      </c>
      <c r="D5" s="10" t="s">
        <v>1434</v>
      </c>
      <c r="E5" s="10" t="s">
        <v>1435</v>
      </c>
      <c r="F5" s="10" t="s">
        <v>1436</v>
      </c>
    </row>
    <row r="6" customFormat="false" ht="109.5" hidden="false" customHeight="true" outlineLevel="0" collapsed="false">
      <c r="A6" s="9" t="s">
        <v>109</v>
      </c>
      <c r="B6" s="10" t="s">
        <v>1437</v>
      </c>
      <c r="C6" s="10" t="s">
        <v>1438</v>
      </c>
      <c r="D6" s="10" t="s">
        <v>1439</v>
      </c>
      <c r="E6" s="28" t="s">
        <v>1440</v>
      </c>
      <c r="F6" s="10" t="s">
        <v>1441</v>
      </c>
    </row>
    <row r="7" customFormat="false" ht="109.5" hidden="false" customHeight="true" outlineLevel="0" collapsed="false">
      <c r="A7" s="9" t="s">
        <v>112</v>
      </c>
      <c r="B7" s="10" t="s">
        <v>1442</v>
      </c>
      <c r="C7" s="28" t="s">
        <v>1443</v>
      </c>
      <c r="D7" s="10" t="s">
        <v>1444</v>
      </c>
      <c r="E7" s="10" t="s">
        <v>1445</v>
      </c>
      <c r="F7" s="28" t="s">
        <v>1446</v>
      </c>
    </row>
    <row r="8" customFormat="false" ht="109.5" hidden="false" customHeight="true" outlineLevel="0" collapsed="false">
      <c r="A8" s="9" t="s">
        <v>115</v>
      </c>
      <c r="B8" s="10" t="s">
        <v>1447</v>
      </c>
      <c r="C8" s="28" t="s">
        <v>1448</v>
      </c>
      <c r="D8" s="10" t="s">
        <v>1449</v>
      </c>
      <c r="E8" s="10" t="s">
        <v>1450</v>
      </c>
      <c r="F8" s="10" t="s">
        <v>1451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G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9"/>
    <col collapsed="false" customWidth="true" hidden="false" outlineLevel="0" max="4" min="4" style="0" width="8"/>
    <col collapsed="false" customWidth="true" hidden="false" outlineLevel="0" max="5" min="5" style="0" width="9"/>
    <col collapsed="false" customWidth="true" hidden="false" outlineLevel="0" max="6" min="6" style="0" width="12"/>
    <col collapsed="false" customWidth="true" hidden="false" outlineLevel="0" max="7" min="7" style="0" width="48"/>
  </cols>
  <sheetData>
    <row r="1" customFormat="false" ht="17.35" hidden="false" customHeight="false" outlineLevel="0" collapsed="false">
      <c r="A1" s="1" t="s">
        <v>1452</v>
      </c>
    </row>
    <row r="2" customFormat="false" ht="15" hidden="false" customHeight="false" outlineLevel="0" collapsed="false">
      <c r="A2" s="2" t="s">
        <v>1453</v>
      </c>
    </row>
    <row r="3" customFormat="false" ht="17.15" hidden="false" customHeight="false" outlineLevel="0" collapsed="false">
      <c r="A3" s="32" t="s">
        <v>1454</v>
      </c>
    </row>
    <row r="4" customFormat="false" ht="39.55" hidden="false" customHeight="false" outlineLevel="0" collapsed="false">
      <c r="A4" s="8" t="s">
        <v>1303</v>
      </c>
      <c r="B4" s="8" t="s">
        <v>76</v>
      </c>
      <c r="C4" s="8" t="s">
        <v>68</v>
      </c>
      <c r="D4" s="18" t="s">
        <v>49</v>
      </c>
      <c r="E4" s="8" t="s">
        <v>1304</v>
      </c>
      <c r="F4" s="8" t="s">
        <v>1455</v>
      </c>
      <c r="G4" s="8" t="s">
        <v>1456</v>
      </c>
    </row>
    <row r="5" customFormat="false" ht="15" hidden="false" customHeight="false" outlineLevel="0" collapsed="false">
      <c r="A5" s="13" t="s">
        <v>1457</v>
      </c>
      <c r="B5" s="19" t="n">
        <v>2424</v>
      </c>
      <c r="C5" s="13" t="n">
        <v>21</v>
      </c>
      <c r="D5" s="20" t="n">
        <f aca="false">IFERROR(C5/B5,0)</f>
        <v>0.00866336633663366</v>
      </c>
      <c r="E5" s="64" t="n">
        <v>9.9</v>
      </c>
      <c r="F5" s="19" t="n">
        <f aca="false">MAX(0,B5*(0.072-D5))</f>
        <v>153.528</v>
      </c>
      <c r="G5" s="28" t="s">
        <v>387</v>
      </c>
    </row>
    <row r="6" customFormat="false" ht="15" hidden="false" customHeight="false" outlineLevel="0" collapsed="false">
      <c r="A6" s="14" t="s">
        <v>1458</v>
      </c>
      <c r="B6" s="23" t="n">
        <v>2285</v>
      </c>
      <c r="C6" s="14" t="n">
        <v>35</v>
      </c>
      <c r="D6" s="24" t="n">
        <f aca="false">IFERROR(C6/B6,0)</f>
        <v>0.0153172866520788</v>
      </c>
      <c r="E6" s="65" t="n">
        <v>7</v>
      </c>
      <c r="F6" s="23" t="n">
        <f aca="false">MAX(0,B6*(0.072-D6))</f>
        <v>129.52</v>
      </c>
      <c r="G6" s="29" t="s">
        <v>431</v>
      </c>
    </row>
    <row r="7" customFormat="false" ht="15" hidden="false" customHeight="false" outlineLevel="0" collapsed="false">
      <c r="A7" s="13" t="s">
        <v>338</v>
      </c>
      <c r="B7" s="19" t="n">
        <v>1646</v>
      </c>
      <c r="C7" s="13" t="n">
        <v>9</v>
      </c>
      <c r="D7" s="20" t="n">
        <f aca="false">IFERROR(C7/B7,0)</f>
        <v>0.0054678007290401</v>
      </c>
      <c r="E7" s="64" t="n">
        <v>9.6</v>
      </c>
      <c r="F7" s="19" t="n">
        <f aca="false">MAX(0,B7*(0.072-D7))</f>
        <v>109.512</v>
      </c>
      <c r="G7" s="28" t="s">
        <v>337</v>
      </c>
    </row>
    <row r="8" customFormat="false" ht="15" hidden="false" customHeight="false" outlineLevel="0" collapsed="false">
      <c r="A8" s="14" t="s">
        <v>1459</v>
      </c>
      <c r="B8" s="23" t="n">
        <v>1727</v>
      </c>
      <c r="C8" s="14" t="n">
        <v>45</v>
      </c>
      <c r="D8" s="24" t="n">
        <f aca="false">IFERROR(C8/B8,0)</f>
        <v>0.0260567458019687</v>
      </c>
      <c r="E8" s="65" t="n">
        <v>6.8</v>
      </c>
      <c r="F8" s="23" t="n">
        <f aca="false">MAX(0,B8*(0.072-D8))</f>
        <v>79.344</v>
      </c>
      <c r="G8" s="29" t="s">
        <v>551</v>
      </c>
    </row>
    <row r="9" customFormat="false" ht="15" hidden="false" customHeight="false" outlineLevel="0" collapsed="false">
      <c r="A9" s="13" t="s">
        <v>1460</v>
      </c>
      <c r="B9" s="19" t="n">
        <v>1027</v>
      </c>
      <c r="C9" s="13" t="n">
        <v>6</v>
      </c>
      <c r="D9" s="20" t="n">
        <f aca="false">IFERROR(C9/B9,0)</f>
        <v>0.00584225900681597</v>
      </c>
      <c r="E9" s="64" t="n">
        <v>9.5</v>
      </c>
      <c r="F9" s="19" t="n">
        <f aca="false">MAX(0,B9*(0.072-D9))</f>
        <v>67.944</v>
      </c>
      <c r="G9" s="28" t="s">
        <v>337</v>
      </c>
    </row>
    <row r="10" customFormat="false" ht="15" hidden="false" customHeight="false" outlineLevel="0" collapsed="false">
      <c r="A10" s="14" t="s">
        <v>1461</v>
      </c>
      <c r="B10" s="23" t="n">
        <v>767</v>
      </c>
      <c r="C10" s="14" t="n">
        <v>3</v>
      </c>
      <c r="D10" s="24" t="n">
        <f aca="false">IFERROR(C10/B10,0)</f>
        <v>0.00391134289439374</v>
      </c>
      <c r="E10" s="65" t="n">
        <v>6.3</v>
      </c>
      <c r="F10" s="23" t="n">
        <f aca="false">MAX(0,B10*(0.072-D10))</f>
        <v>52.224</v>
      </c>
      <c r="G10" s="29" t="s">
        <v>397</v>
      </c>
    </row>
    <row r="11" customFormat="false" ht="15" hidden="false" customHeight="false" outlineLevel="0" collapsed="false">
      <c r="A11" s="13" t="s">
        <v>1462</v>
      </c>
      <c r="B11" s="19" t="n">
        <v>1186</v>
      </c>
      <c r="C11" s="13" t="n">
        <v>43</v>
      </c>
      <c r="D11" s="20" t="n">
        <f aca="false">IFERROR(C11/B11,0)</f>
        <v>0.036256323777403</v>
      </c>
      <c r="E11" s="64" t="n">
        <v>5.3</v>
      </c>
      <c r="F11" s="19" t="n">
        <f aca="false">MAX(0,B11*(0.072-D11))</f>
        <v>42.392</v>
      </c>
      <c r="G11" s="28" t="s">
        <v>551</v>
      </c>
    </row>
    <row r="12" customFormat="false" ht="15" hidden="false" customHeight="false" outlineLevel="0" collapsed="false">
      <c r="A12" s="14" t="s">
        <v>1463</v>
      </c>
      <c r="B12" s="23" t="n">
        <v>581</v>
      </c>
      <c r="C12" s="14" t="n">
        <v>0</v>
      </c>
      <c r="D12" s="24" t="n">
        <f aca="false">IFERROR(C12/B12,0)</f>
        <v>0</v>
      </c>
      <c r="E12" s="65" t="n">
        <v>7.9</v>
      </c>
      <c r="F12" s="23" t="n">
        <f aca="false">MAX(0,B12*(0.072-D12))</f>
        <v>41.832</v>
      </c>
      <c r="G12" s="29" t="s">
        <v>337</v>
      </c>
    </row>
    <row r="13" customFormat="false" ht="15" hidden="false" customHeight="false" outlineLevel="0" collapsed="false">
      <c r="A13" s="13" t="s">
        <v>1464</v>
      </c>
      <c r="B13" s="19" t="n">
        <v>1169</v>
      </c>
      <c r="C13" s="13" t="n">
        <v>43</v>
      </c>
      <c r="D13" s="20" t="n">
        <f aca="false">IFERROR(C13/B13,0)</f>
        <v>0.0367835757057314</v>
      </c>
      <c r="E13" s="64" t="n">
        <v>5.3</v>
      </c>
      <c r="F13" s="19" t="n">
        <f aca="false">MAX(0,B13*(0.072-D13))</f>
        <v>41.168</v>
      </c>
      <c r="G13" s="28" t="s">
        <v>424</v>
      </c>
    </row>
    <row r="14" customFormat="false" ht="15" hidden="false" customHeight="false" outlineLevel="0" collapsed="false">
      <c r="A14" s="14" t="s">
        <v>1286</v>
      </c>
      <c r="B14" s="23" t="n">
        <v>574</v>
      </c>
      <c r="C14" s="14" t="n">
        <v>1</v>
      </c>
      <c r="D14" s="24" t="n">
        <f aca="false">IFERROR(C14/B14,0)</f>
        <v>0.00174216027874564</v>
      </c>
      <c r="E14" s="65" t="n">
        <v>14.8</v>
      </c>
      <c r="F14" s="23" t="n">
        <f aca="false">MAX(0,B14*(0.072-D14))</f>
        <v>40.328</v>
      </c>
      <c r="G14" s="29" t="s">
        <v>747</v>
      </c>
    </row>
    <row r="15" customFormat="false" ht="15" hidden="false" customHeight="false" outlineLevel="0" collapsed="false">
      <c r="A15" s="9" t="s">
        <v>1465</v>
      </c>
      <c r="B15" s="19" t="n">
        <v>661</v>
      </c>
      <c r="C15" s="13" t="n">
        <v>10</v>
      </c>
      <c r="D15" s="20" t="n">
        <f aca="false">IFERROR(C15/B15,0)</f>
        <v>0.0151285930408472</v>
      </c>
      <c r="E15" s="64" t="n">
        <v>7.9</v>
      </c>
      <c r="F15" s="19" t="n">
        <f aca="false">MAX(0,B15*(0.072-D15))</f>
        <v>37.592</v>
      </c>
      <c r="G15" s="28" t="s">
        <v>454</v>
      </c>
    </row>
    <row r="16" customFormat="false" ht="15" hidden="false" customHeight="false" outlineLevel="0" collapsed="false">
      <c r="A16" s="14" t="s">
        <v>1466</v>
      </c>
      <c r="B16" s="23" t="n">
        <v>543</v>
      </c>
      <c r="C16" s="14" t="n">
        <v>3</v>
      </c>
      <c r="D16" s="24" t="n">
        <f aca="false">IFERROR(C16/B16,0)</f>
        <v>0.00552486187845304</v>
      </c>
      <c r="E16" s="65" t="n">
        <v>14.6</v>
      </c>
      <c r="F16" s="23" t="n">
        <f aca="false">MAX(0,B16*(0.072-D16))</f>
        <v>36.096</v>
      </c>
      <c r="G16" s="29" t="s">
        <v>337</v>
      </c>
    </row>
    <row r="17" customFormat="false" ht="15" hidden="false" customHeight="false" outlineLevel="0" collapsed="false">
      <c r="A17" s="13" t="s">
        <v>1467</v>
      </c>
      <c r="B17" s="19" t="n">
        <v>528</v>
      </c>
      <c r="C17" s="13" t="n">
        <v>3</v>
      </c>
      <c r="D17" s="20" t="n">
        <f aca="false">IFERROR(C17/B17,0)</f>
        <v>0.00568181818181818</v>
      </c>
      <c r="E17" s="64" t="n">
        <v>8</v>
      </c>
      <c r="F17" s="19" t="n">
        <f aca="false">MAX(0,B17*(0.072-D17))</f>
        <v>35.016</v>
      </c>
      <c r="G17" s="28" t="s">
        <v>653</v>
      </c>
    </row>
    <row r="18" customFormat="false" ht="15" hidden="false" customHeight="false" outlineLevel="0" collapsed="false">
      <c r="A18" s="14" t="s">
        <v>1468</v>
      </c>
      <c r="B18" s="23" t="n">
        <v>1136</v>
      </c>
      <c r="C18" s="14" t="n">
        <v>47</v>
      </c>
      <c r="D18" s="24" t="n">
        <f aca="false">IFERROR(C18/B18,0)</f>
        <v>0.0413732394366197</v>
      </c>
      <c r="E18" s="65" t="n">
        <v>11.2</v>
      </c>
      <c r="F18" s="23" t="n">
        <f aca="false">MAX(0,B18*(0.072-D18))</f>
        <v>34.792</v>
      </c>
      <c r="G18" s="29" t="s">
        <v>367</v>
      </c>
    </row>
    <row r="19" customFormat="false" ht="15" hidden="false" customHeight="false" outlineLevel="0" collapsed="false">
      <c r="A19" s="13" t="s">
        <v>1469</v>
      </c>
      <c r="B19" s="19" t="n">
        <v>488</v>
      </c>
      <c r="C19" s="13" t="n">
        <v>2</v>
      </c>
      <c r="D19" s="20" t="n">
        <f aca="false">IFERROR(C19/B19,0)</f>
        <v>0.00409836065573771</v>
      </c>
      <c r="E19" s="64" t="n">
        <v>9.1</v>
      </c>
      <c r="F19" s="19" t="n">
        <f aca="false">MAX(0,B19*(0.072-D19))</f>
        <v>33.136</v>
      </c>
      <c r="G19" s="28" t="s">
        <v>387</v>
      </c>
    </row>
    <row r="20" customFormat="false" ht="15" hidden="false" customHeight="false" outlineLevel="0" collapsed="false">
      <c r="A20" s="11" t="s">
        <v>1470</v>
      </c>
      <c r="B20" s="23" t="n">
        <v>422</v>
      </c>
      <c r="C20" s="14" t="n">
        <v>3</v>
      </c>
      <c r="D20" s="24" t="n">
        <f aca="false">IFERROR(C20/B20,0)</f>
        <v>0.00710900473933649</v>
      </c>
      <c r="E20" s="65" t="n">
        <v>7.1</v>
      </c>
      <c r="F20" s="23" t="n">
        <f aca="false">MAX(0,B20*(0.072-D20))</f>
        <v>27.384</v>
      </c>
      <c r="G20" s="29" t="s">
        <v>431</v>
      </c>
    </row>
    <row r="21" customFormat="false" ht="15" hidden="false" customHeight="false" outlineLevel="0" collapsed="false">
      <c r="A21" s="13" t="s">
        <v>1471</v>
      </c>
      <c r="B21" s="19" t="n">
        <v>389</v>
      </c>
      <c r="C21" s="13" t="n">
        <v>2</v>
      </c>
      <c r="D21" s="20" t="n">
        <f aca="false">IFERROR(C21/B21,0)</f>
        <v>0.0051413881748072</v>
      </c>
      <c r="E21" s="64" t="n">
        <v>12</v>
      </c>
      <c r="F21" s="19" t="n">
        <f aca="false">MAX(0,B21*(0.072-D21))</f>
        <v>26.008</v>
      </c>
      <c r="G21" s="28" t="s">
        <v>397</v>
      </c>
    </row>
    <row r="22" customFormat="false" ht="15" hidden="false" customHeight="false" outlineLevel="0" collapsed="false">
      <c r="A22" s="14" t="s">
        <v>1472</v>
      </c>
      <c r="B22" s="23" t="n">
        <v>530</v>
      </c>
      <c r="C22" s="14" t="n">
        <v>14</v>
      </c>
      <c r="D22" s="24" t="n">
        <f aca="false">IFERROR(C22/B22,0)</f>
        <v>0.0264150943396226</v>
      </c>
      <c r="E22" s="65" t="n">
        <v>6</v>
      </c>
      <c r="F22" s="23" t="n">
        <f aca="false">MAX(0,B22*(0.072-D22))</f>
        <v>24.16</v>
      </c>
      <c r="G22" s="29" t="s">
        <v>424</v>
      </c>
    </row>
    <row r="23" customFormat="false" ht="15" hidden="false" customHeight="false" outlineLevel="0" collapsed="false">
      <c r="A23" s="13" t="s">
        <v>1473</v>
      </c>
      <c r="B23" s="19" t="n">
        <v>340</v>
      </c>
      <c r="C23" s="13" t="n">
        <v>1</v>
      </c>
      <c r="D23" s="20" t="n">
        <f aca="false">IFERROR(C23/B23,0)</f>
        <v>0.00294117647058824</v>
      </c>
      <c r="E23" s="64" t="n">
        <v>7</v>
      </c>
      <c r="F23" s="19" t="n">
        <f aca="false">MAX(0,B23*(0.072-D23))</f>
        <v>23.48</v>
      </c>
      <c r="G23" s="28" t="s">
        <v>350</v>
      </c>
    </row>
    <row r="24" customFormat="false" ht="15" hidden="false" customHeight="false" outlineLevel="0" collapsed="false">
      <c r="A24" s="14" t="s">
        <v>1474</v>
      </c>
      <c r="B24" s="23" t="n">
        <v>376</v>
      </c>
      <c r="C24" s="14" t="n">
        <v>4</v>
      </c>
      <c r="D24" s="24" t="n">
        <f aca="false">IFERROR(C24/B24,0)</f>
        <v>0.0106382978723404</v>
      </c>
      <c r="E24" s="65" t="n">
        <v>4.9</v>
      </c>
      <c r="F24" s="23" t="n">
        <f aca="false">MAX(0,B24*(0.072-D24))</f>
        <v>23.072</v>
      </c>
      <c r="G24" s="29" t="s">
        <v>461</v>
      </c>
    </row>
    <row r="25" customFormat="false" ht="15" hidden="false" customHeight="false" outlineLevel="0" collapsed="false">
      <c r="A25" s="9" t="s">
        <v>1475</v>
      </c>
      <c r="B25" s="19" t="n">
        <v>411</v>
      </c>
      <c r="C25" s="13" t="n">
        <v>7</v>
      </c>
      <c r="D25" s="20" t="n">
        <f aca="false">IFERROR(C25/B25,0)</f>
        <v>0.0170316301703163</v>
      </c>
      <c r="E25" s="64" t="n">
        <v>9.5</v>
      </c>
      <c r="F25" s="19" t="n">
        <f aca="false">MAX(0,B25*(0.072-D25))</f>
        <v>22.592</v>
      </c>
      <c r="G25" s="28" t="s">
        <v>475</v>
      </c>
    </row>
    <row r="26" customFormat="false" ht="15" hidden="false" customHeight="false" outlineLevel="0" collapsed="false">
      <c r="A26" s="14" t="s">
        <v>1476</v>
      </c>
      <c r="B26" s="23" t="n">
        <v>343</v>
      </c>
      <c r="C26" s="14" t="n">
        <v>3</v>
      </c>
      <c r="D26" s="24" t="n">
        <f aca="false">IFERROR(C26/B26,0)</f>
        <v>0.0087463556851312</v>
      </c>
      <c r="E26" s="65" t="n">
        <v>7</v>
      </c>
      <c r="F26" s="23" t="n">
        <f aca="false">MAX(0,B26*(0.072-D26))</f>
        <v>21.696</v>
      </c>
      <c r="G26" s="29" t="s">
        <v>481</v>
      </c>
    </row>
    <row r="27" customFormat="false" ht="15" hidden="false" customHeight="false" outlineLevel="0" collapsed="false">
      <c r="A27" s="13" t="s">
        <v>1477</v>
      </c>
      <c r="B27" s="19" t="n">
        <v>427</v>
      </c>
      <c r="C27" s="13" t="n">
        <v>10</v>
      </c>
      <c r="D27" s="20" t="n">
        <f aca="false">IFERROR(C27/B27,0)</f>
        <v>0.0234192037470726</v>
      </c>
      <c r="E27" s="64" t="n">
        <v>8.1</v>
      </c>
      <c r="F27" s="19" t="n">
        <f aca="false">MAX(0,B27*(0.072-D27))</f>
        <v>20.744</v>
      </c>
      <c r="G27" s="28" t="s">
        <v>387</v>
      </c>
    </row>
    <row r="28" customFormat="false" ht="15" hidden="false" customHeight="false" outlineLevel="0" collapsed="false">
      <c r="A28" s="14" t="s">
        <v>1478</v>
      </c>
      <c r="B28" s="23" t="n">
        <v>363</v>
      </c>
      <c r="C28" s="14" t="n">
        <v>6</v>
      </c>
      <c r="D28" s="24" t="n">
        <f aca="false">IFERROR(C28/B28,0)</f>
        <v>0.0165289256198347</v>
      </c>
      <c r="E28" s="65" t="n">
        <v>8.4</v>
      </c>
      <c r="F28" s="23" t="n">
        <f aca="false">MAX(0,B28*(0.072-D28))</f>
        <v>20.136</v>
      </c>
      <c r="G28" s="29" t="s">
        <v>653</v>
      </c>
    </row>
    <row r="29" customFormat="false" ht="15" hidden="false" customHeight="false" outlineLevel="0" collapsed="false">
      <c r="A29" s="13" t="s">
        <v>1479</v>
      </c>
      <c r="B29" s="19" t="n">
        <v>255</v>
      </c>
      <c r="C29" s="13" t="n">
        <v>0</v>
      </c>
      <c r="D29" s="20" t="n">
        <f aca="false">IFERROR(C29/B29,0)</f>
        <v>0</v>
      </c>
      <c r="E29" s="64" t="n">
        <v>10.1</v>
      </c>
      <c r="F29" s="19" t="n">
        <f aca="false">MAX(0,B29*(0.072-D29))</f>
        <v>18.36</v>
      </c>
      <c r="G29" s="28" t="s">
        <v>337</v>
      </c>
    </row>
    <row r="30" customFormat="false" ht="15" hidden="false" customHeight="false" outlineLevel="0" collapsed="false">
      <c r="A30" s="14" t="s">
        <v>1480</v>
      </c>
      <c r="B30" s="23" t="n">
        <v>254</v>
      </c>
      <c r="C30" s="14" t="n">
        <v>0</v>
      </c>
      <c r="D30" s="24" t="n">
        <f aca="false">IFERROR(C30/B30,0)</f>
        <v>0</v>
      </c>
      <c r="E30" s="65" t="n">
        <v>10.1</v>
      </c>
      <c r="F30" s="23" t="n">
        <f aca="false">MAX(0,B30*(0.072-D30))</f>
        <v>18.288</v>
      </c>
      <c r="G30" s="29" t="s">
        <v>337</v>
      </c>
    </row>
    <row r="31" customFormat="false" ht="15" hidden="false" customHeight="false" outlineLevel="0" collapsed="false">
      <c r="A31" s="13" t="s">
        <v>1481</v>
      </c>
      <c r="B31" s="19" t="n">
        <v>281</v>
      </c>
      <c r="C31" s="13" t="n">
        <v>2</v>
      </c>
      <c r="D31" s="20" t="n">
        <f aca="false">IFERROR(C31/B31,0)</f>
        <v>0.00711743772241993</v>
      </c>
      <c r="E31" s="64" t="n">
        <v>8.7</v>
      </c>
      <c r="F31" s="19" t="n">
        <f aca="false">MAX(0,B31*(0.072-D31))</f>
        <v>18.232</v>
      </c>
      <c r="G31" s="28" t="s">
        <v>387</v>
      </c>
    </row>
    <row r="32" customFormat="false" ht="15" hidden="false" customHeight="false" outlineLevel="0" collapsed="false">
      <c r="A32" s="11" t="s">
        <v>1482</v>
      </c>
      <c r="B32" s="23" t="n">
        <v>294</v>
      </c>
      <c r="C32" s="14" t="n">
        <v>3</v>
      </c>
      <c r="D32" s="24" t="n">
        <f aca="false">IFERROR(C32/B32,0)</f>
        <v>0.0102040816326531</v>
      </c>
      <c r="E32" s="65" t="n">
        <v>8.1</v>
      </c>
      <c r="F32" s="23" t="n">
        <f aca="false">MAX(0,B32*(0.072-D32))</f>
        <v>18.168</v>
      </c>
      <c r="G32" s="29" t="s">
        <v>350</v>
      </c>
    </row>
    <row r="33" customFormat="false" ht="15" hidden="false" customHeight="false" outlineLevel="0" collapsed="false">
      <c r="A33" s="13" t="s">
        <v>1483</v>
      </c>
      <c r="B33" s="19" t="n">
        <v>241</v>
      </c>
      <c r="C33" s="13" t="n">
        <v>0</v>
      </c>
      <c r="D33" s="20" t="n">
        <f aca="false">IFERROR(C33/B33,0)</f>
        <v>0</v>
      </c>
      <c r="E33" s="64" t="n">
        <v>6.3</v>
      </c>
      <c r="F33" s="19" t="n">
        <f aca="false">MAX(0,B33*(0.072-D33))</f>
        <v>17.352</v>
      </c>
      <c r="G33" s="28" t="s">
        <v>431</v>
      </c>
    </row>
    <row r="34" customFormat="false" ht="15" hidden="false" customHeight="false" outlineLevel="0" collapsed="false">
      <c r="A34" s="11" t="s">
        <v>1484</v>
      </c>
      <c r="B34" s="23" t="n">
        <v>253</v>
      </c>
      <c r="C34" s="14" t="n">
        <v>1</v>
      </c>
      <c r="D34" s="24" t="n">
        <f aca="false">IFERROR(C34/B34,0)</f>
        <v>0.00395256916996047</v>
      </c>
      <c r="E34" s="65" t="n">
        <v>8</v>
      </c>
      <c r="F34" s="23" t="n">
        <f aca="false">MAX(0,B34*(0.072-D34))</f>
        <v>17.216</v>
      </c>
      <c r="G34" s="29" t="s">
        <v>454</v>
      </c>
    </row>
    <row r="35" customFormat="false" ht="15" hidden="false" customHeight="false" outlineLevel="0" collapsed="false">
      <c r="A35" s="13" t="s">
        <v>1485</v>
      </c>
      <c r="B35" s="19" t="n">
        <v>238</v>
      </c>
      <c r="C35" s="13" t="n">
        <v>0</v>
      </c>
      <c r="D35" s="20" t="n">
        <f aca="false">IFERROR(C35/B35,0)</f>
        <v>0</v>
      </c>
      <c r="E35" s="64" t="n">
        <v>9.7</v>
      </c>
      <c r="F35" s="19" t="n">
        <f aca="false">MAX(0,B35*(0.072-D35))</f>
        <v>17.136</v>
      </c>
      <c r="G35" s="28" t="s">
        <v>653</v>
      </c>
    </row>
    <row r="36" customFormat="false" ht="15" hidden="false" customHeight="false" outlineLevel="0" collapsed="false">
      <c r="A36" s="14" t="s">
        <v>1486</v>
      </c>
      <c r="B36" s="23" t="n">
        <v>292</v>
      </c>
      <c r="C36" s="14" t="n">
        <v>4</v>
      </c>
      <c r="D36" s="24" t="n">
        <f aca="false">IFERROR(C36/B36,0)</f>
        <v>0.0136986301369863</v>
      </c>
      <c r="E36" s="65" t="n">
        <v>7.8</v>
      </c>
      <c r="F36" s="23" t="n">
        <f aca="false">MAX(0,B36*(0.072-D36))</f>
        <v>17.024</v>
      </c>
      <c r="G36" s="29" t="s">
        <v>387</v>
      </c>
    </row>
    <row r="37" customFormat="false" ht="15" hidden="false" customHeight="false" outlineLevel="0" collapsed="false">
      <c r="A37" s="13" t="s">
        <v>1487</v>
      </c>
      <c r="B37" s="19" t="n">
        <v>240</v>
      </c>
      <c r="C37" s="13" t="n">
        <v>1</v>
      </c>
      <c r="D37" s="20" t="n">
        <f aca="false">IFERROR(C37/B37,0)</f>
        <v>0.00416666666666667</v>
      </c>
      <c r="E37" s="64" t="n">
        <v>5.5</v>
      </c>
      <c r="F37" s="19" t="n">
        <f aca="false">MAX(0,B37*(0.072-D37))</f>
        <v>16.28</v>
      </c>
      <c r="G37" s="28" t="s">
        <v>431</v>
      </c>
    </row>
    <row r="38" customFormat="false" ht="15" hidden="false" customHeight="false" outlineLevel="0" collapsed="false">
      <c r="A38" s="14" t="s">
        <v>1488</v>
      </c>
      <c r="B38" s="23" t="n">
        <v>222</v>
      </c>
      <c r="C38" s="14" t="n">
        <v>0</v>
      </c>
      <c r="D38" s="24" t="n">
        <f aca="false">IFERROR(C38/B38,0)</f>
        <v>0</v>
      </c>
      <c r="E38" s="65" t="n">
        <v>15.4</v>
      </c>
      <c r="F38" s="23" t="n">
        <f aca="false">MAX(0,B38*(0.072-D38))</f>
        <v>15.984</v>
      </c>
      <c r="G38" s="29" t="s">
        <v>337</v>
      </c>
    </row>
    <row r="39" customFormat="false" ht="15" hidden="false" customHeight="false" outlineLevel="0" collapsed="false">
      <c r="A39" s="9" t="s">
        <v>1489</v>
      </c>
      <c r="B39" s="19" t="n">
        <v>499</v>
      </c>
      <c r="C39" s="13" t="n">
        <v>20</v>
      </c>
      <c r="D39" s="20" t="n">
        <f aca="false">IFERROR(C39/B39,0)</f>
        <v>0.0400801603206413</v>
      </c>
      <c r="E39" s="64" t="n">
        <v>6.4</v>
      </c>
      <c r="F39" s="19" t="n">
        <f aca="false">MAX(0,B39*(0.072-D39))</f>
        <v>15.928</v>
      </c>
      <c r="G39" s="28" t="s">
        <v>518</v>
      </c>
    </row>
    <row r="40" customFormat="false" ht="15" hidden="false" customHeight="false" outlineLevel="0" collapsed="false">
      <c r="A40" s="14" t="s">
        <v>1490</v>
      </c>
      <c r="B40" s="23" t="n">
        <v>216</v>
      </c>
      <c r="C40" s="14" t="n">
        <v>1</v>
      </c>
      <c r="D40" s="24" t="n">
        <f aca="false">IFERROR(C40/B40,0)</f>
        <v>0.00462962962962963</v>
      </c>
      <c r="E40" s="65" t="n">
        <v>7.7</v>
      </c>
      <c r="F40" s="23" t="n">
        <f aca="false">MAX(0,B40*(0.072-D40))</f>
        <v>14.552</v>
      </c>
      <c r="G40" s="29" t="s">
        <v>350</v>
      </c>
    </row>
    <row r="41" customFormat="false" ht="15" hidden="false" customHeight="false" outlineLevel="0" collapsed="false">
      <c r="A41" s="9" t="s">
        <v>1491</v>
      </c>
      <c r="B41" s="19" t="n">
        <v>256</v>
      </c>
      <c r="C41" s="13" t="n">
        <v>4</v>
      </c>
      <c r="D41" s="20" t="n">
        <f aca="false">IFERROR(C41/B41,0)</f>
        <v>0.015625</v>
      </c>
      <c r="E41" s="64" t="n">
        <v>7</v>
      </c>
      <c r="F41" s="19" t="n">
        <f aca="false">MAX(0,B41*(0.072-D41))</f>
        <v>14.432</v>
      </c>
      <c r="G41" s="28" t="s">
        <v>350</v>
      </c>
    </row>
    <row r="42" customFormat="false" ht="15" hidden="false" customHeight="false" outlineLevel="0" collapsed="false">
      <c r="A42" s="14" t="s">
        <v>1492</v>
      </c>
      <c r="B42" s="23" t="n">
        <v>308</v>
      </c>
      <c r="C42" s="14" t="n">
        <v>8</v>
      </c>
      <c r="D42" s="24" t="n">
        <f aca="false">IFERROR(C42/B42,0)</f>
        <v>0.025974025974026</v>
      </c>
      <c r="E42" s="65" t="n">
        <v>5.5</v>
      </c>
      <c r="F42" s="23" t="n">
        <f aca="false">MAX(0,B42*(0.072-D42))</f>
        <v>14.176</v>
      </c>
      <c r="G42" s="29" t="s">
        <v>405</v>
      </c>
    </row>
    <row r="43" customFormat="false" ht="15" hidden="false" customHeight="false" outlineLevel="0" collapsed="false">
      <c r="A43" s="13" t="s">
        <v>1493</v>
      </c>
      <c r="B43" s="19" t="n">
        <v>194</v>
      </c>
      <c r="C43" s="13" t="n">
        <v>0</v>
      </c>
      <c r="D43" s="20" t="n">
        <f aca="false">IFERROR(C43/B43,0)</f>
        <v>0</v>
      </c>
      <c r="E43" s="64" t="n">
        <v>18.6</v>
      </c>
      <c r="F43" s="19" t="n">
        <f aca="false">MAX(0,B43*(0.072-D43))</f>
        <v>13.968</v>
      </c>
      <c r="G43" s="28" t="s">
        <v>617</v>
      </c>
    </row>
    <row r="44" customFormat="false" ht="15" hidden="false" customHeight="false" outlineLevel="0" collapsed="false">
      <c r="A44" s="14" t="s">
        <v>1494</v>
      </c>
      <c r="B44" s="23" t="n">
        <v>186</v>
      </c>
      <c r="C44" s="14" t="n">
        <v>0</v>
      </c>
      <c r="D44" s="24" t="n">
        <f aca="false">IFERROR(C44/B44,0)</f>
        <v>0</v>
      </c>
      <c r="E44" s="65" t="n">
        <v>17.9</v>
      </c>
      <c r="F44" s="23" t="n">
        <f aca="false">MAX(0,B44*(0.072-D44))</f>
        <v>13.392</v>
      </c>
      <c r="G44" s="29" t="s">
        <v>639</v>
      </c>
    </row>
    <row r="46" customFormat="false" ht="17.15" hidden="false" customHeight="false" outlineLevel="0" collapsed="false">
      <c r="A46" s="32" t="s">
        <v>1495</v>
      </c>
    </row>
    <row r="47" customFormat="false" ht="26.85" hidden="false" customHeight="false" outlineLevel="0" collapsed="false">
      <c r="A47" s="8" t="s">
        <v>1303</v>
      </c>
      <c r="B47" s="8" t="s">
        <v>1496</v>
      </c>
      <c r="C47" s="8" t="s">
        <v>323</v>
      </c>
      <c r="D47" s="8" t="s">
        <v>1497</v>
      </c>
      <c r="E47" s="8" t="s">
        <v>1498</v>
      </c>
      <c r="F47" s="8" t="s">
        <v>318</v>
      </c>
    </row>
    <row r="48" customFormat="false" ht="15" hidden="false" customHeight="false" outlineLevel="0" collapsed="false">
      <c r="A48" s="13" t="s">
        <v>1457</v>
      </c>
      <c r="B48" s="64" t="n">
        <v>5.1</v>
      </c>
      <c r="C48" s="64" t="n">
        <v>75</v>
      </c>
      <c r="D48" s="64" t="n">
        <v>147.3</v>
      </c>
      <c r="E48" s="13" t="n">
        <v>18</v>
      </c>
      <c r="F48" s="64" t="n">
        <v>10.1</v>
      </c>
    </row>
    <row r="49" customFormat="false" ht="15" hidden="false" customHeight="false" outlineLevel="0" collapsed="false">
      <c r="A49" s="14" t="s">
        <v>1474</v>
      </c>
      <c r="B49" s="65" t="n">
        <v>0.2</v>
      </c>
      <c r="C49" s="65" t="n">
        <v>13.1</v>
      </c>
      <c r="D49" s="65" t="n">
        <v>14.7</v>
      </c>
      <c r="E49" s="14" t="n">
        <v>4</v>
      </c>
      <c r="F49" s="65" t="n">
        <v>4.8</v>
      </c>
    </row>
    <row r="50" customFormat="false" ht="15" hidden="false" customHeight="false" outlineLevel="0" collapsed="false">
      <c r="A50" s="13" t="s">
        <v>1499</v>
      </c>
      <c r="B50" s="64" t="n">
        <v>1.8</v>
      </c>
      <c r="C50" s="64" t="n">
        <v>17.4</v>
      </c>
      <c r="D50" s="64" t="n">
        <v>29.7</v>
      </c>
      <c r="E50" s="13" t="n">
        <v>28</v>
      </c>
      <c r="F50" s="64" t="n">
        <v>3.5</v>
      </c>
    </row>
    <row r="51" customFormat="false" ht="15" hidden="false" customHeight="false" outlineLevel="0" collapsed="false">
      <c r="A51" s="14" t="s">
        <v>1500</v>
      </c>
      <c r="B51" s="65" t="n">
        <v>0.3</v>
      </c>
      <c r="C51" s="65" t="n">
        <v>6.5</v>
      </c>
      <c r="D51" s="65" t="n">
        <v>11.4</v>
      </c>
      <c r="E51" s="14" t="n">
        <v>3</v>
      </c>
      <c r="F51" s="65" t="n">
        <v>8.4</v>
      </c>
    </row>
    <row r="52" customFormat="false" ht="15" hidden="false" customHeight="false" outlineLevel="0" collapsed="false">
      <c r="A52" s="13" t="s">
        <v>1501</v>
      </c>
      <c r="B52" s="64" t="n">
        <v>0</v>
      </c>
      <c r="C52" s="64" t="n">
        <v>4.8</v>
      </c>
      <c r="D52" s="64" t="n">
        <v>4</v>
      </c>
      <c r="E52" s="13" t="n">
        <v>1</v>
      </c>
      <c r="F52" s="64" t="n">
        <v>3.4</v>
      </c>
    </row>
    <row r="53" customFormat="false" ht="15" hidden="false" customHeight="false" outlineLevel="0" collapsed="false">
      <c r="A53" s="14" t="s">
        <v>1468</v>
      </c>
      <c r="B53" s="65" t="n">
        <v>4.8</v>
      </c>
      <c r="C53" s="65" t="n">
        <v>29.5</v>
      </c>
      <c r="D53" s="65" t="n">
        <v>12.6</v>
      </c>
      <c r="E53" s="14" t="n">
        <v>36</v>
      </c>
      <c r="F53" s="65" t="n">
        <v>10.4</v>
      </c>
    </row>
    <row r="54" customFormat="false" ht="15" hidden="false" customHeight="false" outlineLevel="0" collapsed="false">
      <c r="A54" s="13" t="s">
        <v>1502</v>
      </c>
      <c r="B54" s="64" t="n">
        <v>0.2</v>
      </c>
      <c r="C54" s="64" t="n">
        <v>4.6</v>
      </c>
      <c r="D54" s="64" t="n">
        <v>14.1</v>
      </c>
      <c r="E54" s="13" t="n">
        <v>5</v>
      </c>
      <c r="F54" s="64" t="n">
        <v>8.6</v>
      </c>
    </row>
    <row r="55" customFormat="false" ht="15" hidden="false" customHeight="false" outlineLevel="0" collapsed="false">
      <c r="A55" s="14" t="s">
        <v>1481</v>
      </c>
      <c r="B55" s="65" t="n">
        <v>1</v>
      </c>
      <c r="C55" s="65" t="n">
        <v>7.8</v>
      </c>
      <c r="D55" s="65" t="n">
        <v>16.7</v>
      </c>
      <c r="E55" s="14" t="n">
        <v>1</v>
      </c>
      <c r="F55" s="65" t="n">
        <v>8</v>
      </c>
    </row>
    <row r="56" customFormat="false" ht="15" hidden="false" customHeight="false" outlineLevel="0" collapsed="false">
      <c r="A56" s="13" t="s">
        <v>1503</v>
      </c>
      <c r="B56" s="64" t="n">
        <v>0.8</v>
      </c>
      <c r="C56" s="64" t="n">
        <v>6.7</v>
      </c>
      <c r="D56" s="64" t="n">
        <v>19.7</v>
      </c>
      <c r="E56" s="13" t="n">
        <v>2</v>
      </c>
      <c r="F56" s="64" t="n">
        <v>10.1</v>
      </c>
    </row>
    <row r="57" customFormat="false" ht="15" hidden="false" customHeight="false" outlineLevel="0" collapsed="false">
      <c r="A57" s="14" t="s">
        <v>1469</v>
      </c>
      <c r="B57" s="65" t="n">
        <v>2.3</v>
      </c>
      <c r="C57" s="65" t="n">
        <v>12.2</v>
      </c>
      <c r="D57" s="65" t="n">
        <v>30.9</v>
      </c>
      <c r="E57" s="14" t="n">
        <v>1</v>
      </c>
      <c r="F57" s="65" t="n">
        <v>10</v>
      </c>
    </row>
    <row r="58" customFormat="false" ht="15" hidden="false" customHeight="false" outlineLevel="0" collapsed="false">
      <c r="A58" s="9" t="s">
        <v>1475</v>
      </c>
      <c r="B58" s="64" t="n">
        <v>1.9</v>
      </c>
      <c r="C58" s="64" t="n">
        <v>10.3</v>
      </c>
      <c r="D58" s="64" t="n">
        <v>19.6</v>
      </c>
      <c r="E58" s="13" t="n">
        <v>6</v>
      </c>
      <c r="F58" s="64" t="n">
        <v>9.1</v>
      </c>
    </row>
    <row r="59" customFormat="false" ht="15" hidden="false" customHeight="false" outlineLevel="0" collapsed="false">
      <c r="A59" s="14" t="s">
        <v>1494</v>
      </c>
      <c r="B59" s="65" t="n">
        <v>0.6</v>
      </c>
      <c r="C59" s="65" t="n">
        <v>5.2</v>
      </c>
      <c r="D59" s="65" t="n">
        <v>6.1</v>
      </c>
      <c r="E59" s="14" t="n">
        <v>0</v>
      </c>
      <c r="F59" s="65" t="n">
        <v>17.8</v>
      </c>
    </row>
    <row r="60" customFormat="false" ht="15" hidden="false" customHeight="false" outlineLevel="0" collapsed="false">
      <c r="A60" s="13" t="s">
        <v>1504</v>
      </c>
      <c r="B60" s="64" t="n">
        <v>0.1</v>
      </c>
      <c r="C60" s="64" t="n">
        <v>3.2</v>
      </c>
      <c r="D60" s="64" t="n">
        <v>9.6</v>
      </c>
      <c r="E60" s="13" t="n">
        <v>0</v>
      </c>
      <c r="F60" s="64" t="n">
        <v>9.6</v>
      </c>
    </row>
    <row r="61" customFormat="false" ht="15" hidden="false" customHeight="false" outlineLevel="0" collapsed="false">
      <c r="A61" s="14" t="s">
        <v>1505</v>
      </c>
      <c r="B61" s="65" t="n">
        <v>0</v>
      </c>
      <c r="C61" s="65" t="n">
        <v>2.8</v>
      </c>
      <c r="D61" s="65" t="n">
        <v>11.1</v>
      </c>
      <c r="E61" s="14" t="n">
        <v>0</v>
      </c>
      <c r="F61" s="65" t="n">
        <v>9.1</v>
      </c>
    </row>
    <row r="62" customFormat="false" ht="15" hidden="false" customHeight="false" outlineLevel="0" collapsed="false">
      <c r="A62" s="13" t="s">
        <v>1486</v>
      </c>
      <c r="B62" s="64" t="n">
        <v>1.3</v>
      </c>
      <c r="C62" s="64" t="n">
        <v>7.5</v>
      </c>
      <c r="D62" s="64" t="n">
        <v>4.9</v>
      </c>
      <c r="E62" s="13" t="n">
        <v>3</v>
      </c>
      <c r="F62" s="64" t="n">
        <v>7.9</v>
      </c>
    </row>
    <row r="63" customFormat="false" ht="15" hidden="false" customHeight="false" outlineLevel="0" collapsed="false">
      <c r="A63" s="14" t="s">
        <v>1506</v>
      </c>
      <c r="B63" s="65" t="n">
        <v>0</v>
      </c>
      <c r="C63" s="65" t="n">
        <v>2.8</v>
      </c>
      <c r="D63" s="65" t="n">
        <v>8.3</v>
      </c>
      <c r="E63" s="14" t="n">
        <v>3</v>
      </c>
      <c r="F63" s="65" t="n">
        <v>6</v>
      </c>
    </row>
    <row r="64" customFormat="false" ht="15" hidden="false" customHeight="false" outlineLevel="0" collapsed="false">
      <c r="A64" s="13" t="s">
        <v>1490</v>
      </c>
      <c r="B64" s="64" t="n">
        <v>0.9</v>
      </c>
      <c r="C64" s="64" t="n">
        <v>5.7</v>
      </c>
      <c r="D64" s="64" t="n">
        <v>9.4</v>
      </c>
      <c r="E64" s="13" t="n">
        <v>1</v>
      </c>
      <c r="F64" s="64" t="n">
        <v>7.6</v>
      </c>
    </row>
    <row r="65" customFormat="false" ht="15" hidden="false" customHeight="false" outlineLevel="0" collapsed="false">
      <c r="A65" s="14" t="s">
        <v>1507</v>
      </c>
      <c r="B65" s="65" t="n">
        <v>0.4</v>
      </c>
      <c r="C65" s="65" t="n">
        <v>4</v>
      </c>
      <c r="D65" s="65" t="n">
        <v>9.9</v>
      </c>
      <c r="E65" s="14" t="n">
        <v>0</v>
      </c>
      <c r="F65" s="65" t="n">
        <v>10.4</v>
      </c>
    </row>
    <row r="66" customFormat="false" ht="15" hidden="false" customHeight="false" outlineLevel="0" collapsed="false">
      <c r="A66" s="13" t="s">
        <v>1477</v>
      </c>
      <c r="B66" s="64" t="n">
        <v>2.2</v>
      </c>
      <c r="C66" s="64" t="n">
        <v>10.2</v>
      </c>
      <c r="D66" s="64" t="n">
        <v>16.6</v>
      </c>
      <c r="E66" s="13" t="n">
        <v>6</v>
      </c>
      <c r="F66" s="64" t="n">
        <v>7.7</v>
      </c>
    </row>
    <row r="67" customFormat="false" ht="15" hidden="false" customHeight="false" outlineLevel="0" collapsed="false">
      <c r="A67" s="14" t="s">
        <v>1508</v>
      </c>
      <c r="B67" s="65" t="n">
        <v>0.9</v>
      </c>
      <c r="C67" s="65" t="n">
        <v>5.4</v>
      </c>
      <c r="D67" s="65" t="n">
        <v>6.7</v>
      </c>
      <c r="E67" s="14" t="n">
        <v>26</v>
      </c>
      <c r="F67" s="65" t="n">
        <v>3.6</v>
      </c>
    </row>
    <row r="68" customFormat="false" ht="15" hidden="false" customHeight="false" outlineLevel="0" collapsed="false">
      <c r="A68" s="13" t="s">
        <v>1509</v>
      </c>
      <c r="B68" s="64" t="n">
        <v>0.2</v>
      </c>
      <c r="C68" s="64" t="n">
        <v>3</v>
      </c>
      <c r="D68" s="64" t="n">
        <v>5.7</v>
      </c>
      <c r="E68" s="13" t="n">
        <v>1</v>
      </c>
      <c r="F68" s="64" t="n">
        <v>7.7</v>
      </c>
    </row>
    <row r="69" customFormat="false" ht="15" hidden="false" customHeight="false" outlineLevel="0" collapsed="false">
      <c r="A69" s="14" t="s">
        <v>1510</v>
      </c>
      <c r="B69" s="65" t="n">
        <v>0.6</v>
      </c>
      <c r="C69" s="65" t="n">
        <v>4</v>
      </c>
      <c r="D69" s="65" t="n">
        <v>11.6</v>
      </c>
      <c r="E69" s="14" t="n">
        <v>3</v>
      </c>
      <c r="F69" s="65" t="n">
        <v>8.4</v>
      </c>
    </row>
    <row r="70" customFormat="false" ht="15" hidden="false" customHeight="false" outlineLevel="0" collapsed="false">
      <c r="A70" s="13" t="s">
        <v>1511</v>
      </c>
      <c r="B70" s="64" t="n">
        <v>0</v>
      </c>
      <c r="C70" s="64" t="n">
        <v>2.2</v>
      </c>
      <c r="D70" s="64" t="n">
        <v>6.4</v>
      </c>
      <c r="E70" s="13" t="n">
        <v>0</v>
      </c>
      <c r="F70" s="64" t="n">
        <v>8.4</v>
      </c>
    </row>
    <row r="71" customFormat="false" ht="15" hidden="false" customHeight="false" outlineLevel="0" collapsed="false">
      <c r="A71" s="11" t="s">
        <v>1512</v>
      </c>
      <c r="B71" s="65" t="n">
        <v>0.1</v>
      </c>
      <c r="C71" s="65" t="n">
        <v>2.4</v>
      </c>
      <c r="D71" s="65" t="n">
        <v>3.7</v>
      </c>
      <c r="E71" s="14" t="n">
        <v>1</v>
      </c>
      <c r="F71" s="65" t="n">
        <v>9.9</v>
      </c>
    </row>
    <row r="72" customFormat="false" ht="15" hidden="false" customHeight="false" outlineLevel="0" collapsed="false">
      <c r="A72" s="13" t="s">
        <v>1513</v>
      </c>
      <c r="B72" s="64" t="n">
        <v>0.1</v>
      </c>
      <c r="C72" s="64" t="n">
        <v>2.3</v>
      </c>
      <c r="D72" s="64" t="n">
        <v>8.1</v>
      </c>
      <c r="E72" s="13" t="n">
        <v>2</v>
      </c>
      <c r="F72" s="64" t="n">
        <v>31.4</v>
      </c>
    </row>
    <row r="73" customFormat="false" ht="15" hidden="false" customHeight="false" outlineLevel="0" collapsed="false">
      <c r="A73" s="14" t="s">
        <v>1463</v>
      </c>
      <c r="B73" s="65" t="n">
        <v>3.5</v>
      </c>
      <c r="C73" s="65" t="n">
        <v>12.8</v>
      </c>
      <c r="D73" s="65" t="n">
        <v>10.7</v>
      </c>
      <c r="E73" s="14" t="n">
        <v>0</v>
      </c>
      <c r="F73" s="65" t="n">
        <v>7.9</v>
      </c>
    </row>
    <row r="74" customFormat="false" ht="15" hidden="false" customHeight="false" outlineLevel="0" collapsed="false">
      <c r="A74" s="13" t="s">
        <v>1460</v>
      </c>
      <c r="B74" s="64" t="n">
        <v>6.6</v>
      </c>
      <c r="C74" s="64" t="n">
        <v>21.6</v>
      </c>
      <c r="D74" s="64" t="n">
        <v>22.4</v>
      </c>
      <c r="E74" s="13" t="n">
        <v>4</v>
      </c>
      <c r="F74" s="64" t="n">
        <v>8.5</v>
      </c>
    </row>
    <row r="75" customFormat="false" ht="15" hidden="false" customHeight="false" outlineLevel="0" collapsed="false">
      <c r="A75" s="14" t="s">
        <v>1514</v>
      </c>
      <c r="B75" s="65" t="n">
        <v>1.6</v>
      </c>
      <c r="C75" s="65" t="n">
        <v>6.7</v>
      </c>
      <c r="D75" s="65" t="n">
        <v>7.1</v>
      </c>
      <c r="E75" s="14" t="n">
        <v>9</v>
      </c>
      <c r="F75" s="65" t="n">
        <v>4.4</v>
      </c>
    </row>
    <row r="76" customFormat="false" ht="15" hidden="false" customHeight="false" outlineLevel="0" collapsed="false">
      <c r="A76" s="9" t="s">
        <v>1484</v>
      </c>
      <c r="B76" s="64" t="n">
        <v>1.4</v>
      </c>
      <c r="C76" s="64" t="n">
        <v>5.9</v>
      </c>
      <c r="D76" s="64" t="n">
        <v>11.9</v>
      </c>
      <c r="E76" s="13" t="n">
        <v>1</v>
      </c>
      <c r="F76" s="64" t="n">
        <v>7.3</v>
      </c>
    </row>
    <row r="77" customFormat="false" ht="15" hidden="false" customHeight="false" outlineLevel="0" collapsed="false">
      <c r="A77" s="11" t="s">
        <v>1515</v>
      </c>
      <c r="B77" s="65" t="n">
        <v>0</v>
      </c>
      <c r="C77" s="65" t="n">
        <v>1.9</v>
      </c>
      <c r="D77" s="65" t="n">
        <v>2.9</v>
      </c>
      <c r="E77" s="14" t="n">
        <v>0</v>
      </c>
      <c r="F77" s="65" t="n">
        <v>38.6</v>
      </c>
    </row>
    <row r="79" customFormat="false" ht="17.15" hidden="false" customHeight="false" outlineLevel="0" collapsed="false">
      <c r="A79" s="32" t="s">
        <v>1516</v>
      </c>
    </row>
    <row r="80" customFormat="false" ht="26.85" hidden="false" customHeight="false" outlineLevel="0" collapsed="false">
      <c r="A80" s="8" t="s">
        <v>1303</v>
      </c>
      <c r="B80" s="8" t="s">
        <v>76</v>
      </c>
      <c r="C80" s="8" t="s">
        <v>1304</v>
      </c>
      <c r="D80" s="8" t="s">
        <v>1456</v>
      </c>
    </row>
    <row r="81" customFormat="false" ht="97" hidden="false" customHeight="false" outlineLevel="0" collapsed="false">
      <c r="A81" s="13" t="s">
        <v>1463</v>
      </c>
      <c r="B81" s="19" t="n">
        <v>581</v>
      </c>
      <c r="C81" s="64" t="n">
        <v>7.9</v>
      </c>
      <c r="D81" s="28" t="s">
        <v>337</v>
      </c>
    </row>
    <row r="82" customFormat="false" ht="97" hidden="false" customHeight="false" outlineLevel="0" collapsed="false">
      <c r="A82" s="14" t="s">
        <v>1479</v>
      </c>
      <c r="B82" s="23" t="n">
        <v>255</v>
      </c>
      <c r="C82" s="65" t="n">
        <v>10.1</v>
      </c>
      <c r="D82" s="29" t="s">
        <v>337</v>
      </c>
    </row>
    <row r="83" customFormat="false" ht="49.25" hidden="false" customHeight="false" outlineLevel="0" collapsed="false">
      <c r="A83" s="13" t="s">
        <v>1517</v>
      </c>
      <c r="B83" s="19" t="n">
        <v>255</v>
      </c>
      <c r="C83" s="64" t="n">
        <v>20.5</v>
      </c>
      <c r="D83" s="28" t="s">
        <v>488</v>
      </c>
    </row>
    <row r="84" customFormat="false" ht="97" hidden="false" customHeight="false" outlineLevel="0" collapsed="false">
      <c r="A84" s="14" t="s">
        <v>1480</v>
      </c>
      <c r="B84" s="23" t="n">
        <v>254</v>
      </c>
      <c r="C84" s="65" t="n">
        <v>10.1</v>
      </c>
      <c r="D84" s="29" t="s">
        <v>337</v>
      </c>
    </row>
    <row r="85" customFormat="false" ht="144.75" hidden="false" customHeight="false" outlineLevel="0" collapsed="false">
      <c r="A85" s="9" t="s">
        <v>1308</v>
      </c>
      <c r="B85" s="19" t="n">
        <v>247</v>
      </c>
      <c r="C85" s="64" t="n">
        <v>42.8</v>
      </c>
      <c r="D85" s="28" t="s">
        <v>1309</v>
      </c>
    </row>
    <row r="86" customFormat="false" ht="61.15" hidden="false" customHeight="false" outlineLevel="0" collapsed="false">
      <c r="A86" s="14" t="s">
        <v>1483</v>
      </c>
      <c r="B86" s="23" t="n">
        <v>241</v>
      </c>
      <c r="C86" s="65" t="n">
        <v>6.3</v>
      </c>
      <c r="D86" s="29" t="s">
        <v>431</v>
      </c>
    </row>
    <row r="87" customFormat="false" ht="73.1" hidden="false" customHeight="false" outlineLevel="0" collapsed="false">
      <c r="A87" s="13" t="s">
        <v>1485</v>
      </c>
      <c r="B87" s="19" t="n">
        <v>238</v>
      </c>
      <c r="C87" s="64" t="n">
        <v>9.7</v>
      </c>
      <c r="D87" s="28" t="s">
        <v>653</v>
      </c>
    </row>
    <row r="88" customFormat="false" ht="61.15" hidden="false" customHeight="false" outlineLevel="0" collapsed="false">
      <c r="A88" s="14" t="s">
        <v>1518</v>
      </c>
      <c r="B88" s="23" t="n">
        <v>228</v>
      </c>
      <c r="C88" s="65" t="n">
        <v>48.1</v>
      </c>
      <c r="D88" s="29" t="s">
        <v>927</v>
      </c>
    </row>
    <row r="89" customFormat="false" ht="97" hidden="false" customHeight="false" outlineLevel="0" collapsed="false">
      <c r="A89" s="13" t="s">
        <v>1488</v>
      </c>
      <c r="B89" s="19" t="n">
        <v>222</v>
      </c>
      <c r="C89" s="64" t="n">
        <v>15.4</v>
      </c>
      <c r="D89" s="28" t="s">
        <v>337</v>
      </c>
    </row>
    <row r="90" customFormat="false" ht="61.15" hidden="false" customHeight="false" outlineLevel="0" collapsed="false">
      <c r="A90" s="14" t="s">
        <v>1493</v>
      </c>
      <c r="B90" s="23" t="n">
        <v>194</v>
      </c>
      <c r="C90" s="65" t="n">
        <v>18.6</v>
      </c>
      <c r="D90" s="29" t="s">
        <v>617</v>
      </c>
    </row>
    <row r="91" customFormat="false" ht="37.3" hidden="false" customHeight="false" outlineLevel="0" collapsed="false">
      <c r="A91" s="13" t="s">
        <v>1494</v>
      </c>
      <c r="B91" s="19" t="n">
        <v>186</v>
      </c>
      <c r="C91" s="64" t="n">
        <v>17.9</v>
      </c>
      <c r="D91" s="28" t="s">
        <v>639</v>
      </c>
    </row>
    <row r="92" customFormat="false" ht="97" hidden="false" customHeight="false" outlineLevel="0" collapsed="false">
      <c r="A92" s="14" t="s">
        <v>1519</v>
      </c>
      <c r="B92" s="23" t="n">
        <v>176</v>
      </c>
      <c r="C92" s="65" t="n">
        <v>11.5</v>
      </c>
      <c r="D92" s="29" t="s">
        <v>337</v>
      </c>
    </row>
    <row r="93" customFormat="false" ht="49.25" hidden="false" customHeight="false" outlineLevel="0" collapsed="false">
      <c r="A93" s="13" t="s">
        <v>1520</v>
      </c>
      <c r="B93" s="19" t="n">
        <v>167</v>
      </c>
      <c r="C93" s="64" t="n">
        <v>44.5</v>
      </c>
      <c r="D93" s="28" t="s">
        <v>572</v>
      </c>
    </row>
    <row r="94" customFormat="false" ht="49.25" hidden="false" customHeight="false" outlineLevel="0" collapsed="false">
      <c r="A94" s="14" t="s">
        <v>1521</v>
      </c>
      <c r="B94" s="23" t="n">
        <v>164</v>
      </c>
      <c r="C94" s="65" t="n">
        <v>23.8</v>
      </c>
      <c r="D94" s="29" t="s">
        <v>890</v>
      </c>
    </row>
    <row r="95" customFormat="false" ht="61.15" hidden="false" customHeight="false" outlineLevel="0" collapsed="false">
      <c r="A95" s="9" t="s">
        <v>1522</v>
      </c>
      <c r="B95" s="19" t="n">
        <v>160</v>
      </c>
      <c r="C95" s="64" t="n">
        <v>8.6</v>
      </c>
      <c r="D95" s="28" t="s">
        <v>431</v>
      </c>
    </row>
    <row r="96" customFormat="false" ht="49.25" hidden="false" customHeight="false" outlineLevel="0" collapsed="false">
      <c r="A96" s="14" t="s">
        <v>1523</v>
      </c>
      <c r="B96" s="23" t="n">
        <v>158</v>
      </c>
      <c r="C96" s="65" t="n">
        <v>19.3</v>
      </c>
      <c r="D96" s="29" t="s">
        <v>890</v>
      </c>
    </row>
    <row r="97" customFormat="false" ht="97" hidden="false" customHeight="false" outlineLevel="0" collapsed="false">
      <c r="A97" s="13" t="s">
        <v>1507</v>
      </c>
      <c r="B97" s="19" t="n">
        <v>141</v>
      </c>
      <c r="C97" s="64" t="n">
        <v>12.2</v>
      </c>
      <c r="D97" s="28" t="s">
        <v>337</v>
      </c>
    </row>
    <row r="98" customFormat="false" ht="49.25" hidden="false" customHeight="false" outlineLevel="0" collapsed="false">
      <c r="A98" s="14" t="s">
        <v>1524</v>
      </c>
      <c r="B98" s="23" t="n">
        <v>140</v>
      </c>
      <c r="C98" s="65" t="n">
        <v>37.6</v>
      </c>
      <c r="D98" s="29" t="s">
        <v>805</v>
      </c>
    </row>
    <row r="99" customFormat="false" ht="73.1" hidden="false" customHeight="false" outlineLevel="0" collapsed="false">
      <c r="A99" s="13" t="s">
        <v>1525</v>
      </c>
      <c r="B99" s="19" t="n">
        <v>138</v>
      </c>
      <c r="C99" s="64" t="n">
        <v>15.2</v>
      </c>
      <c r="D99" s="28" t="s">
        <v>653</v>
      </c>
    </row>
    <row r="100" customFormat="false" ht="97" hidden="false" customHeight="false" outlineLevel="0" collapsed="false">
      <c r="A100" s="14" t="s">
        <v>1526</v>
      </c>
      <c r="B100" s="23" t="n">
        <v>136</v>
      </c>
      <c r="C100" s="65" t="n">
        <v>15.3</v>
      </c>
      <c r="D100" s="29" t="s">
        <v>337</v>
      </c>
    </row>
    <row r="101" customFormat="false" ht="49.25" hidden="false" customHeight="false" outlineLevel="0" collapsed="false">
      <c r="A101" s="13" t="s">
        <v>1527</v>
      </c>
      <c r="B101" s="19" t="n">
        <v>134</v>
      </c>
      <c r="C101" s="64" t="n">
        <v>10.2</v>
      </c>
      <c r="D101" s="28" t="s">
        <v>397</v>
      </c>
    </row>
    <row r="102" customFormat="false" ht="49.25" hidden="false" customHeight="false" outlineLevel="0" collapsed="false">
      <c r="A102" s="14" t="s">
        <v>1528</v>
      </c>
      <c r="B102" s="23" t="n">
        <v>131</v>
      </c>
      <c r="C102" s="65" t="n">
        <v>53.9</v>
      </c>
      <c r="D102" s="29" t="s">
        <v>572</v>
      </c>
    </row>
    <row r="103" customFormat="false" ht="49.25" hidden="false" customHeight="false" outlineLevel="0" collapsed="false">
      <c r="A103" s="9" t="s">
        <v>1529</v>
      </c>
      <c r="B103" s="19" t="n">
        <v>124</v>
      </c>
      <c r="C103" s="64" t="n">
        <v>21.5</v>
      </c>
      <c r="D103" s="28" t="s">
        <v>673</v>
      </c>
    </row>
    <row r="104" customFormat="false" ht="49.25" hidden="false" customHeight="false" outlineLevel="0" collapsed="false">
      <c r="A104" s="14" t="s">
        <v>1530</v>
      </c>
      <c r="B104" s="23" t="n">
        <v>117</v>
      </c>
      <c r="C104" s="65" t="n">
        <v>46.4</v>
      </c>
      <c r="D104" s="29" t="s">
        <v>572</v>
      </c>
    </row>
    <row r="105" customFormat="false" ht="49.25" hidden="false" customHeight="false" outlineLevel="0" collapsed="false">
      <c r="A105" s="9" t="s">
        <v>1531</v>
      </c>
      <c r="B105" s="19" t="n">
        <v>111</v>
      </c>
      <c r="C105" s="64" t="n">
        <v>9.1</v>
      </c>
      <c r="D105" s="28" t="s">
        <v>673</v>
      </c>
    </row>
    <row r="106" customFormat="false" ht="49.25" hidden="false" customHeight="false" outlineLevel="0" collapsed="false">
      <c r="A106" s="14" t="s">
        <v>1532</v>
      </c>
      <c r="B106" s="23" t="n">
        <v>110</v>
      </c>
      <c r="C106" s="65" t="n">
        <v>50</v>
      </c>
      <c r="D106" s="29" t="s">
        <v>572</v>
      </c>
    </row>
    <row r="107" customFormat="false" ht="97" hidden="false" customHeight="false" outlineLevel="0" collapsed="false">
      <c r="A107" s="13" t="s">
        <v>1533</v>
      </c>
      <c r="B107" s="19" t="n">
        <v>109</v>
      </c>
      <c r="C107" s="64" t="n">
        <v>13</v>
      </c>
      <c r="D107" s="28" t="s">
        <v>337</v>
      </c>
    </row>
    <row r="108" customFormat="false" ht="61.15" hidden="false" customHeight="false" outlineLevel="0" collapsed="false">
      <c r="A108" s="11" t="s">
        <v>1534</v>
      </c>
      <c r="B108" s="23" t="n">
        <v>106</v>
      </c>
      <c r="C108" s="65" t="n">
        <v>5.1</v>
      </c>
      <c r="D108" s="29" t="s">
        <v>431</v>
      </c>
    </row>
    <row r="109" customFormat="false" ht="85.05" hidden="false" customHeight="false" outlineLevel="0" collapsed="false">
      <c r="A109" s="9" t="s">
        <v>1535</v>
      </c>
      <c r="B109" s="19" t="n">
        <v>105</v>
      </c>
      <c r="C109" s="64" t="n">
        <v>8.7</v>
      </c>
      <c r="D109" s="28" t="s">
        <v>475</v>
      </c>
    </row>
    <row r="110" customFormat="false" ht="73.1" hidden="false" customHeight="false" outlineLevel="0" collapsed="false">
      <c r="A110" s="14" t="s">
        <v>1536</v>
      </c>
      <c r="B110" s="23" t="n">
        <v>103</v>
      </c>
      <c r="C110" s="65" t="n">
        <v>32.3</v>
      </c>
      <c r="D110" s="29" t="s">
        <v>883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G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4" min="3" style="0" width="12"/>
    <col collapsed="false" customWidth="true" hidden="false" outlineLevel="0" max="5" min="5" style="0" width="9"/>
    <col collapsed="false" customWidth="true" hidden="false" outlineLevel="0" max="7" min="6" style="0" width="12"/>
    <col collapsed="false" customWidth="true" hidden="false" outlineLevel="0" max="8" min="8" style="0" width="4"/>
    <col collapsed="false" customWidth="true" hidden="false" outlineLevel="0" max="9" min="9" style="0" width="14"/>
    <col collapsed="false" customWidth="true" hidden="false" outlineLevel="0" max="11" min="10" style="0" width="12"/>
    <col collapsed="false" customWidth="true" hidden="false" outlineLevel="0" max="12" min="12" style="0" width="9"/>
    <col collapsed="false" customWidth="true" hidden="false" outlineLevel="0" max="13" min="13" style="0" width="12"/>
  </cols>
  <sheetData>
    <row r="1" customFormat="false" ht="17.35" hidden="false" customHeight="false" outlineLevel="0" collapsed="false">
      <c r="A1" s="1" t="s">
        <v>1537</v>
      </c>
    </row>
    <row r="3" customFormat="false" ht="15" hidden="false" customHeight="false" outlineLevel="0" collapsed="false">
      <c r="A3" s="3" t="s">
        <v>1538</v>
      </c>
    </row>
    <row r="4" customFormat="false" ht="15" hidden="false" customHeight="false" outlineLevel="0" collapsed="false">
      <c r="A4" s="8" t="s">
        <v>1539</v>
      </c>
      <c r="B4" s="8" t="s">
        <v>67</v>
      </c>
      <c r="C4" s="8" t="s">
        <v>68</v>
      </c>
      <c r="D4" s="8" t="s">
        <v>69</v>
      </c>
      <c r="E4" s="18" t="s">
        <v>49</v>
      </c>
      <c r="F4" s="8" t="s">
        <v>45</v>
      </c>
      <c r="G4" s="8" t="s">
        <v>70</v>
      </c>
    </row>
    <row r="5" customFormat="false" ht="15" hidden="false" customHeight="false" outlineLevel="0" collapsed="false">
      <c r="A5" s="9" t="s">
        <v>1540</v>
      </c>
      <c r="B5" s="13" t="n">
        <v>7</v>
      </c>
      <c r="C5" s="19" t="n">
        <v>705</v>
      </c>
      <c r="D5" s="19" t="n">
        <v>13372</v>
      </c>
      <c r="E5" s="20" t="n">
        <f aca="false">IFERROR(C5/D5,0)</f>
        <v>0.0527221058929106</v>
      </c>
      <c r="F5" s="22" t="n">
        <v>8.92</v>
      </c>
      <c r="G5" s="21" t="n">
        <f aca="false">C5/B5</f>
        <v>100.714285714286</v>
      </c>
    </row>
    <row r="6" customFormat="false" ht="15" hidden="false" customHeight="false" outlineLevel="0" collapsed="false">
      <c r="A6" s="11" t="s">
        <v>1541</v>
      </c>
      <c r="B6" s="14" t="n">
        <v>7</v>
      </c>
      <c r="C6" s="23" t="n">
        <v>617</v>
      </c>
      <c r="D6" s="23" t="n">
        <v>11832</v>
      </c>
      <c r="E6" s="24" t="n">
        <f aca="false">IFERROR(C6/D6,0)</f>
        <v>0.0521467207572684</v>
      </c>
      <c r="F6" s="26" t="n">
        <v>8.3</v>
      </c>
      <c r="G6" s="25" t="n">
        <f aca="false">C6/B6</f>
        <v>88.1428571428571</v>
      </c>
    </row>
    <row r="7" customFormat="false" ht="15" hidden="false" customHeight="false" outlineLevel="0" collapsed="false">
      <c r="A7" s="9" t="s">
        <v>1542</v>
      </c>
      <c r="B7" s="13" t="n">
        <v>7</v>
      </c>
      <c r="C7" s="19" t="n">
        <v>694</v>
      </c>
      <c r="D7" s="19" t="n">
        <v>11928</v>
      </c>
      <c r="E7" s="20" t="n">
        <f aca="false">IFERROR(C7/D7,0)</f>
        <v>0.0581824279007378</v>
      </c>
      <c r="F7" s="22" t="n">
        <v>7.89</v>
      </c>
      <c r="G7" s="21" t="n">
        <f aca="false">C7/B7</f>
        <v>99.1428571428571</v>
      </c>
    </row>
    <row r="8" customFormat="false" ht="15" hidden="false" customHeight="false" outlineLevel="0" collapsed="false">
      <c r="A8" s="11" t="s">
        <v>1543</v>
      </c>
      <c r="B8" s="14" t="n">
        <v>7</v>
      </c>
      <c r="C8" s="23" t="n">
        <v>704</v>
      </c>
      <c r="D8" s="23" t="n">
        <v>12975</v>
      </c>
      <c r="E8" s="24" t="n">
        <f aca="false">IFERROR(C8/D8,0)</f>
        <v>0.0542581888246628</v>
      </c>
      <c r="F8" s="26" t="n">
        <v>8.65</v>
      </c>
      <c r="G8" s="25" t="n">
        <f aca="false">C8/B8</f>
        <v>100.571428571429</v>
      </c>
    </row>
    <row r="9" customFormat="false" ht="15" hidden="false" customHeight="false" outlineLevel="0" collapsed="false">
      <c r="A9" s="9" t="s">
        <v>1544</v>
      </c>
      <c r="B9" s="13" t="n">
        <v>7</v>
      </c>
      <c r="C9" s="19" t="n">
        <v>554</v>
      </c>
      <c r="D9" s="19" t="n">
        <v>13678</v>
      </c>
      <c r="E9" s="20" t="n">
        <f aca="false">IFERROR(C9/D9,0)</f>
        <v>0.0405029975142565</v>
      </c>
      <c r="F9" s="22" t="n">
        <v>8.66</v>
      </c>
      <c r="G9" s="21" t="n">
        <f aca="false">C9/B9</f>
        <v>79.1428571428571</v>
      </c>
    </row>
    <row r="10" customFormat="false" ht="15" hidden="false" customHeight="false" outlineLevel="0" collapsed="false">
      <c r="A10" s="11" t="s">
        <v>1545</v>
      </c>
      <c r="B10" s="14" t="n">
        <v>7</v>
      </c>
      <c r="C10" s="23" t="n">
        <v>591</v>
      </c>
      <c r="D10" s="23" t="n">
        <v>15828</v>
      </c>
      <c r="E10" s="24" t="n">
        <f aca="false">IFERROR(C10/D10,0)</f>
        <v>0.037338893100834</v>
      </c>
      <c r="F10" s="26" t="n">
        <v>8.7</v>
      </c>
      <c r="G10" s="25" t="n">
        <f aca="false">C10/B10</f>
        <v>84.4285714285714</v>
      </c>
    </row>
    <row r="11" customFormat="false" ht="15" hidden="false" customHeight="false" outlineLevel="0" collapsed="false">
      <c r="A11" s="9" t="s">
        <v>1546</v>
      </c>
      <c r="B11" s="13" t="n">
        <v>7</v>
      </c>
      <c r="C11" s="19" t="n">
        <v>784</v>
      </c>
      <c r="D11" s="19" t="n">
        <v>17472</v>
      </c>
      <c r="E11" s="20" t="n">
        <f aca="false">IFERROR(C11/D11,0)</f>
        <v>0.0448717948717949</v>
      </c>
      <c r="F11" s="22" t="n">
        <v>8.6</v>
      </c>
      <c r="G11" s="21" t="n">
        <f aca="false">C11/B11</f>
        <v>112</v>
      </c>
    </row>
    <row r="12" customFormat="false" ht="15" hidden="false" customHeight="false" outlineLevel="0" collapsed="false">
      <c r="A12" s="11" t="s">
        <v>1547</v>
      </c>
      <c r="B12" s="14" t="n">
        <v>7</v>
      </c>
      <c r="C12" s="23" t="n">
        <v>843</v>
      </c>
      <c r="D12" s="23" t="n">
        <v>19190</v>
      </c>
      <c r="E12" s="24" t="n">
        <f aca="false">IFERROR(C12/D12,0)</f>
        <v>0.0439291297550808</v>
      </c>
      <c r="F12" s="26" t="n">
        <v>9.06</v>
      </c>
      <c r="G12" s="25" t="n">
        <f aca="false">C12/B12</f>
        <v>120.428571428571</v>
      </c>
    </row>
    <row r="13" customFormat="false" ht="15" hidden="false" customHeight="false" outlineLevel="0" collapsed="false">
      <c r="A13" s="9" t="s">
        <v>1548</v>
      </c>
      <c r="B13" s="13" t="n">
        <v>7</v>
      </c>
      <c r="C13" s="19" t="n">
        <v>905</v>
      </c>
      <c r="D13" s="19" t="n">
        <v>21203</v>
      </c>
      <c r="E13" s="20" t="n">
        <f aca="false">IFERROR(C13/D13,0)</f>
        <v>0.0426826392491629</v>
      </c>
      <c r="F13" s="22" t="n">
        <v>8.62</v>
      </c>
      <c r="G13" s="21" t="n">
        <f aca="false">C13/B13</f>
        <v>129.285714285714</v>
      </c>
    </row>
    <row r="14" customFormat="false" ht="15" hidden="false" customHeight="false" outlineLevel="0" collapsed="false">
      <c r="A14" s="11" t="s">
        <v>1549</v>
      </c>
      <c r="B14" s="14" t="n">
        <v>7</v>
      </c>
      <c r="C14" s="23" t="n">
        <v>1049</v>
      </c>
      <c r="D14" s="23" t="n">
        <v>23249</v>
      </c>
      <c r="E14" s="24" t="n">
        <f aca="false">IFERROR(C14/D14,0)</f>
        <v>0.0451202202245258</v>
      </c>
      <c r="F14" s="26" t="n">
        <v>8.22</v>
      </c>
      <c r="G14" s="25" t="n">
        <f aca="false">C14/B14</f>
        <v>149.857142857143</v>
      </c>
    </row>
    <row r="15" customFormat="false" ht="15" hidden="false" customHeight="false" outlineLevel="0" collapsed="false">
      <c r="A15" s="9" t="s">
        <v>1550</v>
      </c>
      <c r="B15" s="13" t="n">
        <v>7</v>
      </c>
      <c r="C15" s="19" t="n">
        <v>897</v>
      </c>
      <c r="D15" s="19" t="n">
        <v>17575</v>
      </c>
      <c r="E15" s="20" t="n">
        <f aca="false">IFERROR(C15/D15,0)</f>
        <v>0.0510384068278805</v>
      </c>
      <c r="F15" s="22" t="n">
        <v>7.74</v>
      </c>
      <c r="G15" s="21" t="n">
        <f aca="false">C15/B15</f>
        <v>128.142857142857</v>
      </c>
    </row>
    <row r="16" customFormat="false" ht="15" hidden="false" customHeight="false" outlineLevel="0" collapsed="false">
      <c r="A16" s="11" t="s">
        <v>1551</v>
      </c>
      <c r="B16" s="14" t="n">
        <v>7</v>
      </c>
      <c r="C16" s="23" t="n">
        <v>982</v>
      </c>
      <c r="D16" s="23" t="n">
        <v>18302</v>
      </c>
      <c r="E16" s="24" t="n">
        <f aca="false">IFERROR(C16/D16,0)</f>
        <v>0.0536553382144028</v>
      </c>
      <c r="F16" s="26" t="n">
        <v>7.23</v>
      </c>
      <c r="G16" s="25" t="n">
        <f aca="false">C16/B16</f>
        <v>140.285714285714</v>
      </c>
    </row>
    <row r="17" customFormat="false" ht="15" hidden="false" customHeight="false" outlineLevel="0" collapsed="false">
      <c r="A17" s="9" t="s">
        <v>1552</v>
      </c>
      <c r="B17" s="13" t="n">
        <v>7</v>
      </c>
      <c r="C17" s="19" t="n">
        <v>1364</v>
      </c>
      <c r="D17" s="19" t="n">
        <v>25899</v>
      </c>
      <c r="E17" s="20" t="n">
        <f aca="false">IFERROR(C17/D17,0)</f>
        <v>0.052666126105255</v>
      </c>
      <c r="F17" s="22" t="n">
        <v>7.26</v>
      </c>
      <c r="G17" s="21" t="n">
        <f aca="false">C17/B17</f>
        <v>194.857142857143</v>
      </c>
    </row>
    <row r="18" customFormat="false" ht="15" hidden="false" customHeight="false" outlineLevel="0" collapsed="false">
      <c r="A18" s="11" t="s">
        <v>1553</v>
      </c>
      <c r="B18" s="14" t="n">
        <v>1</v>
      </c>
      <c r="C18" s="23" t="n">
        <v>244</v>
      </c>
      <c r="D18" s="23" t="n">
        <v>5017</v>
      </c>
      <c r="E18" s="24" t="n">
        <f aca="false">IFERROR(C18/D18,0)</f>
        <v>0.048634642216464</v>
      </c>
      <c r="F18" s="26" t="n">
        <v>7</v>
      </c>
      <c r="G18" s="25" t="n">
        <f aca="false">C18/B18</f>
        <v>244</v>
      </c>
    </row>
    <row r="20" customFormat="false" ht="15" hidden="false" customHeight="false" outlineLevel="0" collapsed="false">
      <c r="A20" s="3" t="s">
        <v>1554</v>
      </c>
    </row>
    <row r="21" customFormat="false" ht="26.85" hidden="false" customHeight="false" outlineLevel="0" collapsed="false">
      <c r="A21" s="8" t="s">
        <v>1555</v>
      </c>
      <c r="B21" s="8" t="s">
        <v>68</v>
      </c>
      <c r="C21" s="8" t="s">
        <v>69</v>
      </c>
      <c r="D21" s="18" t="s">
        <v>49</v>
      </c>
      <c r="E21" s="8" t="s">
        <v>45</v>
      </c>
    </row>
    <row r="22" customFormat="false" ht="15" hidden="false" customHeight="false" outlineLevel="0" collapsed="false">
      <c r="A22" s="13" t="s">
        <v>1556</v>
      </c>
      <c r="B22" s="19" t="n">
        <v>3106</v>
      </c>
      <c r="C22" s="19" t="n">
        <v>54758</v>
      </c>
      <c r="D22" s="20" t="n">
        <f aca="false">IFERROR(B22/C22,0)</f>
        <v>0.0567223054165601</v>
      </c>
      <c r="E22" s="22" t="n">
        <v>6.99</v>
      </c>
    </row>
    <row r="23" customFormat="false" ht="15" hidden="false" customHeight="false" outlineLevel="0" collapsed="false">
      <c r="A23" s="14" t="s">
        <v>1557</v>
      </c>
      <c r="B23" s="23" t="n">
        <v>1238</v>
      </c>
      <c r="C23" s="23" t="n">
        <v>31152</v>
      </c>
      <c r="D23" s="24" t="n">
        <f aca="false">IFERROR(B23/C23,0)</f>
        <v>0.0397406266050334</v>
      </c>
      <c r="E23" s="26" t="n">
        <v>8.57</v>
      </c>
    </row>
    <row r="24" customFormat="false" ht="15" hidden="false" customHeight="false" outlineLevel="0" collapsed="false">
      <c r="A24" s="13" t="s">
        <v>1558</v>
      </c>
      <c r="B24" s="19" t="n">
        <v>42</v>
      </c>
      <c r="C24" s="19" t="n">
        <v>805</v>
      </c>
      <c r="D24" s="20" t="n">
        <f aca="false">IFERROR(B24/C24,0)</f>
        <v>0.0521739130434783</v>
      </c>
      <c r="E24" s="22" t="n">
        <v>7.19</v>
      </c>
    </row>
    <row r="26" customFormat="false" ht="26.85" hidden="false" customHeight="false" outlineLevel="0" collapsed="false">
      <c r="A26" s="8" t="s">
        <v>1555</v>
      </c>
      <c r="B26" s="8" t="s">
        <v>68</v>
      </c>
      <c r="C26" s="8" t="s">
        <v>69</v>
      </c>
      <c r="D26" s="18" t="s">
        <v>49</v>
      </c>
      <c r="E26" s="8" t="s">
        <v>45</v>
      </c>
    </row>
    <row r="27" customFormat="false" ht="15" hidden="false" customHeight="false" outlineLevel="0" collapsed="false">
      <c r="A27" s="13" t="s">
        <v>1559</v>
      </c>
      <c r="B27" s="19" t="n">
        <v>7719</v>
      </c>
      <c r="C27" s="19" t="n">
        <v>139000</v>
      </c>
      <c r="D27" s="20" t="n">
        <f aca="false">IFERROR(B27/C27,0)</f>
        <v>0.0555323741007194</v>
      </c>
      <c r="E27" s="22" t="n">
        <v>7.81</v>
      </c>
    </row>
    <row r="28" customFormat="false" ht="15" hidden="false" customHeight="false" outlineLevel="0" collapsed="false">
      <c r="A28" s="14" t="s">
        <v>1560</v>
      </c>
      <c r="B28" s="23" t="n">
        <v>3119</v>
      </c>
      <c r="C28" s="23" t="n">
        <v>86644</v>
      </c>
      <c r="D28" s="24" t="n">
        <f aca="false">IFERROR(B28/C28,0)</f>
        <v>0.0359978763676654</v>
      </c>
      <c r="E28" s="26" t="n">
        <v>8.88</v>
      </c>
    </row>
    <row r="29" customFormat="false" ht="15" hidden="false" customHeight="false" outlineLevel="0" collapsed="false">
      <c r="A29" s="13" t="s">
        <v>1561</v>
      </c>
      <c r="B29" s="19" t="n">
        <v>95</v>
      </c>
      <c r="C29" s="19" t="n">
        <v>1876</v>
      </c>
      <c r="D29" s="20" t="n">
        <f aca="false">IFERROR(B29/C29,0)</f>
        <v>0.0506396588486141</v>
      </c>
      <c r="E29" s="22" t="n">
        <v>7.95</v>
      </c>
    </row>
    <row r="31" customFormat="false" ht="17.15" hidden="false" customHeight="false" outlineLevel="0" collapsed="false">
      <c r="A31" s="3" t="s">
        <v>1562</v>
      </c>
    </row>
    <row r="32" customFormat="false" ht="26.85" hidden="false" customHeight="false" outlineLevel="0" collapsed="false">
      <c r="A32" s="8" t="s">
        <v>1563</v>
      </c>
      <c r="B32" s="8" t="s">
        <v>68</v>
      </c>
      <c r="C32" s="8" t="s">
        <v>69</v>
      </c>
      <c r="D32" s="18" t="s">
        <v>49</v>
      </c>
      <c r="E32" s="8" t="s">
        <v>45</v>
      </c>
    </row>
    <row r="33" customFormat="false" ht="15" hidden="false" customHeight="false" outlineLevel="0" collapsed="false">
      <c r="A33" s="9" t="s">
        <v>1564</v>
      </c>
      <c r="B33" s="19" t="n">
        <v>126</v>
      </c>
      <c r="C33" s="19" t="n">
        <v>2179</v>
      </c>
      <c r="D33" s="20" t="n">
        <f aca="false">IFERROR(B33/C33,0)</f>
        <v>0.0578246902248738</v>
      </c>
      <c r="E33" s="64" t="n">
        <v>9.2</v>
      </c>
    </row>
    <row r="34" customFormat="false" ht="15" hidden="false" customHeight="false" outlineLevel="0" collapsed="false">
      <c r="A34" s="11" t="s">
        <v>1565</v>
      </c>
      <c r="B34" s="23" t="n">
        <v>123</v>
      </c>
      <c r="C34" s="23" t="n">
        <v>2300</v>
      </c>
      <c r="D34" s="24" t="n">
        <f aca="false">IFERROR(B34/C34,0)</f>
        <v>0.0534782608695652</v>
      </c>
      <c r="E34" s="65" t="n">
        <v>9.1</v>
      </c>
    </row>
    <row r="35" customFormat="false" ht="15" hidden="false" customHeight="false" outlineLevel="0" collapsed="false">
      <c r="A35" s="9" t="s">
        <v>1566</v>
      </c>
      <c r="B35" s="19" t="n">
        <v>103</v>
      </c>
      <c r="C35" s="19" t="n">
        <v>1886</v>
      </c>
      <c r="D35" s="20" t="n">
        <f aca="false">IFERROR(B35/C35,0)</f>
        <v>0.0546129374337222</v>
      </c>
      <c r="E35" s="64" t="n">
        <v>8.4</v>
      </c>
    </row>
    <row r="36" customFormat="false" ht="15" hidden="false" customHeight="false" outlineLevel="0" collapsed="false">
      <c r="A36" s="11" t="s">
        <v>1567</v>
      </c>
      <c r="B36" s="23" t="n">
        <v>66</v>
      </c>
      <c r="C36" s="23" t="n">
        <v>1515</v>
      </c>
      <c r="D36" s="24" t="n">
        <f aca="false">IFERROR(B36/C36,0)</f>
        <v>0.0435643564356436</v>
      </c>
      <c r="E36" s="65" t="n">
        <v>10</v>
      </c>
    </row>
    <row r="37" customFormat="false" ht="15" hidden="false" customHeight="false" outlineLevel="0" collapsed="false">
      <c r="A37" s="9" t="s">
        <v>1568</v>
      </c>
      <c r="B37" s="19" t="n">
        <v>74</v>
      </c>
      <c r="C37" s="19" t="n">
        <v>1438</v>
      </c>
      <c r="D37" s="20" t="n">
        <f aca="false">IFERROR(B37/C37,0)</f>
        <v>0.0514603616133519</v>
      </c>
      <c r="E37" s="64" t="n">
        <v>9.6</v>
      </c>
    </row>
    <row r="38" customFormat="false" ht="15" hidden="false" customHeight="false" outlineLevel="0" collapsed="false">
      <c r="A38" s="11" t="s">
        <v>1569</v>
      </c>
      <c r="B38" s="23" t="n">
        <v>92</v>
      </c>
      <c r="C38" s="23" t="n">
        <v>1885</v>
      </c>
      <c r="D38" s="24" t="n">
        <f aca="false">IFERROR(B38/C38,0)</f>
        <v>0.0488063660477454</v>
      </c>
      <c r="E38" s="65" t="n">
        <v>8</v>
      </c>
    </row>
    <row r="39" customFormat="false" ht="15" hidden="false" customHeight="false" outlineLevel="0" collapsed="false">
      <c r="A39" s="9" t="s">
        <v>1570</v>
      </c>
      <c r="B39" s="19" t="n">
        <v>121</v>
      </c>
      <c r="C39" s="19" t="n">
        <v>2169</v>
      </c>
      <c r="D39" s="20" t="n">
        <f aca="false">IFERROR(B39/C39,0)</f>
        <v>0.0557860765329645</v>
      </c>
      <c r="E39" s="64" t="n">
        <v>8.5</v>
      </c>
    </row>
    <row r="40" customFormat="false" ht="15" hidden="false" customHeight="false" outlineLevel="0" collapsed="false">
      <c r="A40" s="11" t="s">
        <v>1571</v>
      </c>
      <c r="B40" s="23" t="n">
        <v>104</v>
      </c>
      <c r="C40" s="23" t="n">
        <v>2253</v>
      </c>
      <c r="D40" s="24" t="n">
        <f aca="false">IFERROR(B40/C40,0)</f>
        <v>0.0461606746560142</v>
      </c>
      <c r="E40" s="65" t="n">
        <v>8.3</v>
      </c>
    </row>
    <row r="41" customFormat="false" ht="15" hidden="false" customHeight="false" outlineLevel="0" collapsed="false">
      <c r="A41" s="9" t="s">
        <v>1572</v>
      </c>
      <c r="B41" s="19" t="n">
        <v>122</v>
      </c>
      <c r="C41" s="19" t="n">
        <v>2146</v>
      </c>
      <c r="D41" s="20" t="n">
        <f aca="false">IFERROR(B41/C41,0)</f>
        <v>0.0568499534016775</v>
      </c>
      <c r="E41" s="64" t="n">
        <v>8</v>
      </c>
    </row>
    <row r="42" customFormat="false" ht="15" hidden="false" customHeight="false" outlineLevel="0" collapsed="false">
      <c r="A42" s="11" t="s">
        <v>1573</v>
      </c>
      <c r="B42" s="23" t="n">
        <v>87</v>
      </c>
      <c r="C42" s="23" t="n">
        <v>1781</v>
      </c>
      <c r="D42" s="24" t="n">
        <f aca="false">IFERROR(B42/C42,0)</f>
        <v>0.0488489612577204</v>
      </c>
      <c r="E42" s="65" t="n">
        <v>8.1</v>
      </c>
    </row>
    <row r="43" customFormat="false" ht="15" hidden="false" customHeight="false" outlineLevel="0" collapsed="false">
      <c r="A43" s="9" t="s">
        <v>1574</v>
      </c>
      <c r="B43" s="19" t="n">
        <v>93</v>
      </c>
      <c r="C43" s="19" t="n">
        <v>1531</v>
      </c>
      <c r="D43" s="20" t="n">
        <f aca="false">IFERROR(B43/C43,0)</f>
        <v>0.0607446113651208</v>
      </c>
      <c r="E43" s="64" t="n">
        <v>8.7</v>
      </c>
    </row>
    <row r="44" customFormat="false" ht="15" hidden="false" customHeight="false" outlineLevel="0" collapsed="false">
      <c r="A44" s="11" t="s">
        <v>1575</v>
      </c>
      <c r="B44" s="23" t="n">
        <v>74</v>
      </c>
      <c r="C44" s="23" t="n">
        <v>1259</v>
      </c>
      <c r="D44" s="24" t="n">
        <f aca="false">IFERROR(B44/C44,0)</f>
        <v>0.0587768069896743</v>
      </c>
      <c r="E44" s="65" t="n">
        <v>8.4</v>
      </c>
    </row>
    <row r="45" customFormat="false" ht="15" hidden="false" customHeight="false" outlineLevel="0" collapsed="false">
      <c r="A45" s="9" t="s">
        <v>1576</v>
      </c>
      <c r="B45" s="19" t="n">
        <v>57</v>
      </c>
      <c r="C45" s="19" t="n">
        <v>1231</v>
      </c>
      <c r="D45" s="20" t="n">
        <f aca="false">IFERROR(B45/C45,0)</f>
        <v>0.0463038180341186</v>
      </c>
      <c r="E45" s="64" t="n">
        <v>8.5</v>
      </c>
    </row>
    <row r="46" customFormat="false" ht="15" hidden="false" customHeight="false" outlineLevel="0" collapsed="false">
      <c r="A46" s="11" t="s">
        <v>1577</v>
      </c>
      <c r="B46" s="23" t="n">
        <v>80</v>
      </c>
      <c r="C46" s="23" t="n">
        <v>1631</v>
      </c>
      <c r="D46" s="24" t="n">
        <f aca="false">IFERROR(B46/C46,0)</f>
        <v>0.0490496627835684</v>
      </c>
      <c r="E46" s="65" t="n">
        <v>8.3</v>
      </c>
    </row>
    <row r="47" customFormat="false" ht="15" hidden="false" customHeight="false" outlineLevel="0" collapsed="false">
      <c r="A47" s="9" t="s">
        <v>1578</v>
      </c>
      <c r="B47" s="19" t="n">
        <v>104</v>
      </c>
      <c r="C47" s="19" t="n">
        <v>1875</v>
      </c>
      <c r="D47" s="20" t="n">
        <f aca="false">IFERROR(B47/C47,0)</f>
        <v>0.0554666666666667</v>
      </c>
      <c r="E47" s="64" t="n">
        <v>7.6</v>
      </c>
    </row>
    <row r="48" customFormat="false" ht="15" hidden="false" customHeight="false" outlineLevel="0" collapsed="false">
      <c r="A48" s="11" t="s">
        <v>1579</v>
      </c>
      <c r="B48" s="23" t="n">
        <v>122</v>
      </c>
      <c r="C48" s="23" t="n">
        <v>1975</v>
      </c>
      <c r="D48" s="24" t="n">
        <f aca="false">IFERROR(B48/C48,0)</f>
        <v>0.0617721518987342</v>
      </c>
      <c r="E48" s="65" t="n">
        <v>7.5</v>
      </c>
    </row>
    <row r="49" customFormat="false" ht="15" hidden="false" customHeight="false" outlineLevel="0" collapsed="false">
      <c r="A49" s="9" t="s">
        <v>1580</v>
      </c>
      <c r="B49" s="19" t="n">
        <v>93</v>
      </c>
      <c r="C49" s="19" t="n">
        <v>1765</v>
      </c>
      <c r="D49" s="20" t="n">
        <f aca="false">IFERROR(B49/C49,0)</f>
        <v>0.0526912181303116</v>
      </c>
      <c r="E49" s="64" t="n">
        <v>7.8</v>
      </c>
    </row>
    <row r="50" customFormat="false" ht="15" hidden="false" customHeight="false" outlineLevel="0" collapsed="false">
      <c r="A50" s="11" t="s">
        <v>1581</v>
      </c>
      <c r="B50" s="23" t="n">
        <v>81</v>
      </c>
      <c r="C50" s="23" t="n">
        <v>1392</v>
      </c>
      <c r="D50" s="24" t="n">
        <f aca="false">IFERROR(B50/C50,0)</f>
        <v>0.0581896551724138</v>
      </c>
      <c r="E50" s="65" t="n">
        <v>7.8</v>
      </c>
    </row>
    <row r="51" customFormat="false" ht="15" hidden="false" customHeight="false" outlineLevel="0" collapsed="false">
      <c r="A51" s="9" t="s">
        <v>1582</v>
      </c>
      <c r="B51" s="19" t="n">
        <v>72</v>
      </c>
      <c r="C51" s="19" t="n">
        <v>1266</v>
      </c>
      <c r="D51" s="20" t="n">
        <f aca="false">IFERROR(B51/C51,0)</f>
        <v>0.0568720379146919</v>
      </c>
      <c r="E51" s="64" t="n">
        <v>8.7</v>
      </c>
    </row>
    <row r="52" customFormat="false" ht="15" hidden="false" customHeight="false" outlineLevel="0" collapsed="false">
      <c r="A52" s="11" t="s">
        <v>1583</v>
      </c>
      <c r="B52" s="23" t="n">
        <v>122</v>
      </c>
      <c r="C52" s="23" t="n">
        <v>1749</v>
      </c>
      <c r="D52" s="24" t="n">
        <f aca="false">IFERROR(B52/C52,0)</f>
        <v>0.0697541452258433</v>
      </c>
      <c r="E52" s="65" t="n">
        <v>8</v>
      </c>
    </row>
    <row r="53" customFormat="false" ht="15" hidden="false" customHeight="false" outlineLevel="0" collapsed="false">
      <c r="A53" s="9" t="s">
        <v>1584</v>
      </c>
      <c r="B53" s="19" t="n">
        <v>100</v>
      </c>
      <c r="C53" s="19" t="n">
        <v>1906</v>
      </c>
      <c r="D53" s="20" t="n">
        <f aca="false">IFERROR(B53/C53,0)</f>
        <v>0.0524658971668416</v>
      </c>
      <c r="E53" s="64" t="n">
        <v>8.1</v>
      </c>
    </row>
    <row r="54" customFormat="false" ht="15" hidden="false" customHeight="false" outlineLevel="0" collapsed="false">
      <c r="A54" s="11" t="s">
        <v>1585</v>
      </c>
      <c r="B54" s="23" t="n">
        <v>103</v>
      </c>
      <c r="C54" s="23" t="n">
        <v>1824</v>
      </c>
      <c r="D54" s="24" t="n">
        <f aca="false">IFERROR(B54/C54,0)</f>
        <v>0.056469298245614</v>
      </c>
      <c r="E54" s="65" t="n">
        <v>8.6</v>
      </c>
    </row>
    <row r="55" customFormat="false" ht="15" hidden="false" customHeight="false" outlineLevel="0" collapsed="false">
      <c r="A55" s="9" t="s">
        <v>1586</v>
      </c>
      <c r="B55" s="19" t="n">
        <v>105</v>
      </c>
      <c r="C55" s="19" t="n">
        <v>2054</v>
      </c>
      <c r="D55" s="20" t="n">
        <f aca="false">IFERROR(B55/C55,0)</f>
        <v>0.0511197663096397</v>
      </c>
      <c r="E55" s="64" t="n">
        <v>8.5</v>
      </c>
    </row>
    <row r="56" customFormat="false" ht="15" hidden="false" customHeight="false" outlineLevel="0" collapsed="false">
      <c r="A56" s="11" t="s">
        <v>1587</v>
      </c>
      <c r="B56" s="23" t="n">
        <v>99</v>
      </c>
      <c r="C56" s="23" t="n">
        <v>1983</v>
      </c>
      <c r="D56" s="24" t="n">
        <f aca="false">IFERROR(B56/C56,0)</f>
        <v>0.0499243570347958</v>
      </c>
      <c r="E56" s="65" t="n">
        <v>9.6</v>
      </c>
    </row>
    <row r="57" customFormat="false" ht="15" hidden="false" customHeight="false" outlineLevel="0" collapsed="false">
      <c r="A57" s="9" t="s">
        <v>1588</v>
      </c>
      <c r="B57" s="19" t="n">
        <v>93</v>
      </c>
      <c r="C57" s="19" t="n">
        <v>1637</v>
      </c>
      <c r="D57" s="20" t="n">
        <f aca="false">IFERROR(B57/C57,0)</f>
        <v>0.0568112400733048</v>
      </c>
      <c r="E57" s="64" t="n">
        <v>7.8</v>
      </c>
    </row>
    <row r="58" customFormat="false" ht="15" hidden="false" customHeight="false" outlineLevel="0" collapsed="false">
      <c r="A58" s="11" t="s">
        <v>1589</v>
      </c>
      <c r="B58" s="23" t="n">
        <v>68</v>
      </c>
      <c r="C58" s="23" t="n">
        <v>1442</v>
      </c>
      <c r="D58" s="24" t="n">
        <f aca="false">IFERROR(B58/C58,0)</f>
        <v>0.0471567267683773</v>
      </c>
      <c r="E58" s="65" t="n">
        <v>9.9</v>
      </c>
    </row>
    <row r="59" customFormat="false" ht="15" hidden="false" customHeight="false" outlineLevel="0" collapsed="false">
      <c r="A59" s="9" t="s">
        <v>1590</v>
      </c>
      <c r="B59" s="19" t="n">
        <v>102</v>
      </c>
      <c r="C59" s="19" t="n">
        <v>1902</v>
      </c>
      <c r="D59" s="20" t="n">
        <f aca="false">IFERROR(B59/C59,0)</f>
        <v>0.0536277602523659</v>
      </c>
      <c r="E59" s="64" t="n">
        <v>8.6</v>
      </c>
    </row>
    <row r="60" customFormat="false" ht="15" hidden="false" customHeight="false" outlineLevel="0" collapsed="false">
      <c r="A60" s="11" t="s">
        <v>1591</v>
      </c>
      <c r="B60" s="23" t="n">
        <v>134</v>
      </c>
      <c r="C60" s="23" t="n">
        <v>2133</v>
      </c>
      <c r="D60" s="24" t="n">
        <f aca="false">IFERROR(B60/C60,0)</f>
        <v>0.062822315986873</v>
      </c>
      <c r="E60" s="65" t="n">
        <v>7.8</v>
      </c>
    </row>
    <row r="61" customFormat="false" ht="15" hidden="false" customHeight="false" outlineLevel="0" collapsed="false">
      <c r="A61" s="9" t="s">
        <v>1592</v>
      </c>
      <c r="B61" s="19" t="n">
        <v>101</v>
      </c>
      <c r="C61" s="19" t="n">
        <v>2264</v>
      </c>
      <c r="D61" s="20" t="n">
        <f aca="false">IFERROR(B61/C61,0)</f>
        <v>0.0446113074204947</v>
      </c>
      <c r="E61" s="64" t="n">
        <v>8.4</v>
      </c>
    </row>
    <row r="62" customFormat="false" ht="15" hidden="false" customHeight="false" outlineLevel="0" collapsed="false">
      <c r="A62" s="11" t="s">
        <v>1593</v>
      </c>
      <c r="B62" s="23" t="n">
        <v>89</v>
      </c>
      <c r="C62" s="23" t="n">
        <v>2113</v>
      </c>
      <c r="D62" s="24" t="n">
        <f aca="false">IFERROR(B62/C62,0)</f>
        <v>0.0421202082347373</v>
      </c>
      <c r="E62" s="65" t="n">
        <v>8.5</v>
      </c>
    </row>
    <row r="63" customFormat="false" ht="15" hidden="false" customHeight="false" outlineLevel="0" collapsed="false">
      <c r="A63" s="9" t="s">
        <v>1594</v>
      </c>
      <c r="B63" s="19" t="n">
        <v>104</v>
      </c>
      <c r="C63" s="19" t="n">
        <v>2423</v>
      </c>
      <c r="D63" s="20" t="n">
        <f aca="false">IFERROR(B63/C63,0)</f>
        <v>0.0429219975237309</v>
      </c>
      <c r="E63" s="64" t="n">
        <v>8.6</v>
      </c>
    </row>
    <row r="64" customFormat="false" ht="15" hidden="false" customHeight="false" outlineLevel="0" collapsed="false">
      <c r="A64" s="11" t="s">
        <v>1595</v>
      </c>
      <c r="B64" s="23" t="n">
        <v>79</v>
      </c>
      <c r="C64" s="23" t="n">
        <v>1874</v>
      </c>
      <c r="D64" s="24" t="n">
        <f aca="false">IFERROR(B64/C64,0)</f>
        <v>0.0421558164354322</v>
      </c>
      <c r="E64" s="65" t="n">
        <v>9</v>
      </c>
    </row>
    <row r="65" customFormat="false" ht="15" hidden="false" customHeight="false" outlineLevel="0" collapsed="false">
      <c r="A65" s="9" t="s">
        <v>1596</v>
      </c>
      <c r="B65" s="19" t="n">
        <v>59</v>
      </c>
      <c r="C65" s="19" t="n">
        <v>1508</v>
      </c>
      <c r="D65" s="20" t="n">
        <f aca="false">IFERROR(B65/C65,0)</f>
        <v>0.0391246684350133</v>
      </c>
      <c r="E65" s="64" t="n">
        <v>8.3</v>
      </c>
    </row>
    <row r="66" customFormat="false" ht="15" hidden="false" customHeight="false" outlineLevel="0" collapsed="false">
      <c r="A66" s="11" t="s">
        <v>1597</v>
      </c>
      <c r="B66" s="23" t="n">
        <v>63</v>
      </c>
      <c r="C66" s="23" t="n">
        <v>1765</v>
      </c>
      <c r="D66" s="24" t="n">
        <f aca="false">IFERROR(B66/C66,0)</f>
        <v>0.0356940509915014</v>
      </c>
      <c r="E66" s="65" t="n">
        <v>9.3</v>
      </c>
    </row>
    <row r="67" customFormat="false" ht="15" hidden="false" customHeight="false" outlineLevel="0" collapsed="false">
      <c r="A67" s="9" t="s">
        <v>1598</v>
      </c>
      <c r="B67" s="19" t="n">
        <v>59</v>
      </c>
      <c r="C67" s="19" t="n">
        <v>1731</v>
      </c>
      <c r="D67" s="20" t="n">
        <f aca="false">IFERROR(B67/C67,0)</f>
        <v>0.0340843443096476</v>
      </c>
      <c r="E67" s="64" t="n">
        <v>8.6</v>
      </c>
    </row>
    <row r="68" customFormat="false" ht="15" hidden="false" customHeight="false" outlineLevel="0" collapsed="false">
      <c r="A68" s="11" t="s">
        <v>1599</v>
      </c>
      <c r="B68" s="23" t="n">
        <v>77</v>
      </c>
      <c r="C68" s="23" t="n">
        <v>2013</v>
      </c>
      <c r="D68" s="24" t="n">
        <f aca="false">IFERROR(B68/C68,0)</f>
        <v>0.0382513661202186</v>
      </c>
      <c r="E68" s="65" t="n">
        <v>8.8</v>
      </c>
    </row>
    <row r="69" customFormat="false" ht="15" hidden="false" customHeight="false" outlineLevel="0" collapsed="false">
      <c r="A69" s="9" t="s">
        <v>1600</v>
      </c>
      <c r="B69" s="19" t="n">
        <v>78</v>
      </c>
      <c r="C69" s="19" t="n">
        <v>2599</v>
      </c>
      <c r="D69" s="20" t="n">
        <f aca="false">IFERROR(B69/C69,0)</f>
        <v>0.0300115429011158</v>
      </c>
      <c r="E69" s="64" t="n">
        <v>8.9</v>
      </c>
    </row>
    <row r="70" customFormat="false" ht="15" hidden="false" customHeight="false" outlineLevel="0" collapsed="false">
      <c r="A70" s="11" t="s">
        <v>1601</v>
      </c>
      <c r="B70" s="23" t="n">
        <v>94</v>
      </c>
      <c r="C70" s="23" t="n">
        <v>2212</v>
      </c>
      <c r="D70" s="24" t="n">
        <f aca="false">IFERROR(B70/C70,0)</f>
        <v>0.04249547920434</v>
      </c>
      <c r="E70" s="65" t="n">
        <v>8.1</v>
      </c>
    </row>
    <row r="71" customFormat="false" ht="15" hidden="false" customHeight="false" outlineLevel="0" collapsed="false">
      <c r="A71" s="9" t="s">
        <v>1602</v>
      </c>
      <c r="B71" s="19" t="n">
        <v>80</v>
      </c>
      <c r="C71" s="19" t="n">
        <v>2041</v>
      </c>
      <c r="D71" s="20" t="n">
        <f aca="false">IFERROR(B71/C71,0)</f>
        <v>0.0391964723174914</v>
      </c>
      <c r="E71" s="64" t="n">
        <v>9.4</v>
      </c>
    </row>
    <row r="72" customFormat="false" ht="15" hidden="false" customHeight="false" outlineLevel="0" collapsed="false">
      <c r="A72" s="11" t="s">
        <v>1603</v>
      </c>
      <c r="B72" s="23" t="n">
        <v>70</v>
      </c>
      <c r="C72" s="23" t="n">
        <v>1806</v>
      </c>
      <c r="D72" s="24" t="n">
        <f aca="false">IFERROR(B72/C72,0)</f>
        <v>0.0387596899224806</v>
      </c>
      <c r="E72" s="65" t="n">
        <v>8.2</v>
      </c>
    </row>
    <row r="73" customFormat="false" ht="15" hidden="false" customHeight="false" outlineLevel="0" collapsed="false">
      <c r="A73" s="9" t="s">
        <v>1604</v>
      </c>
      <c r="B73" s="19" t="n">
        <v>72</v>
      </c>
      <c r="C73" s="19" t="n">
        <v>2376</v>
      </c>
      <c r="D73" s="20" t="n">
        <f aca="false">IFERROR(B73/C73,0)</f>
        <v>0.0303030303030303</v>
      </c>
      <c r="E73" s="64" t="n">
        <v>9.2</v>
      </c>
    </row>
    <row r="74" customFormat="false" ht="15" hidden="false" customHeight="false" outlineLevel="0" collapsed="false">
      <c r="A74" s="11" t="s">
        <v>1605</v>
      </c>
      <c r="B74" s="23" t="n">
        <v>120</v>
      </c>
      <c r="C74" s="23" t="n">
        <v>2781</v>
      </c>
      <c r="D74" s="24" t="n">
        <f aca="false">IFERROR(B74/C74,0)</f>
        <v>0.0431499460625674</v>
      </c>
      <c r="E74" s="65" t="n">
        <v>8.3</v>
      </c>
    </row>
    <row r="75" customFormat="false" ht="15" hidden="false" customHeight="false" outlineLevel="0" collapsed="false">
      <c r="A75" s="9" t="s">
        <v>1606</v>
      </c>
      <c r="B75" s="19" t="n">
        <v>108</v>
      </c>
      <c r="C75" s="19" t="n">
        <v>2884</v>
      </c>
      <c r="D75" s="20" t="n">
        <f aca="false">IFERROR(B75/C75,0)</f>
        <v>0.0374479889042996</v>
      </c>
      <c r="E75" s="64" t="n">
        <v>8.2</v>
      </c>
    </row>
    <row r="76" customFormat="false" ht="15" hidden="false" customHeight="false" outlineLevel="0" collapsed="false">
      <c r="A76" s="11" t="s">
        <v>1607</v>
      </c>
      <c r="B76" s="23" t="n">
        <v>125</v>
      </c>
      <c r="C76" s="23" t="n">
        <v>2713</v>
      </c>
      <c r="D76" s="24" t="n">
        <f aca="false">IFERROR(B76/C76,0)</f>
        <v>0.0460744563214154</v>
      </c>
      <c r="E76" s="65" t="n">
        <v>8.7</v>
      </c>
    </row>
    <row r="77" customFormat="false" ht="15" hidden="false" customHeight="false" outlineLevel="0" collapsed="false">
      <c r="A77" s="9" t="s">
        <v>1608</v>
      </c>
      <c r="B77" s="19" t="n">
        <v>115</v>
      </c>
      <c r="C77" s="19" t="n">
        <v>2568</v>
      </c>
      <c r="D77" s="20" t="n">
        <f aca="false">IFERROR(B77/C77,0)</f>
        <v>0.0447819314641745</v>
      </c>
      <c r="E77" s="64" t="n">
        <v>8</v>
      </c>
    </row>
    <row r="78" customFormat="false" ht="15" hidden="false" customHeight="false" outlineLevel="0" collapsed="false">
      <c r="A78" s="11" t="s">
        <v>1609</v>
      </c>
      <c r="B78" s="23" t="n">
        <v>96</v>
      </c>
      <c r="C78" s="23" t="n">
        <v>2087</v>
      </c>
      <c r="D78" s="24" t="n">
        <f aca="false">IFERROR(B78/C78,0)</f>
        <v>0.0459990416866315</v>
      </c>
      <c r="E78" s="65" t="n">
        <v>8.6</v>
      </c>
    </row>
    <row r="79" customFormat="false" ht="15" hidden="false" customHeight="false" outlineLevel="0" collapsed="false">
      <c r="A79" s="9" t="s">
        <v>1610</v>
      </c>
      <c r="B79" s="19" t="n">
        <v>91</v>
      </c>
      <c r="C79" s="19" t="n">
        <v>1862</v>
      </c>
      <c r="D79" s="20" t="n">
        <f aca="false">IFERROR(B79/C79,0)</f>
        <v>0.0488721804511278</v>
      </c>
      <c r="E79" s="64" t="n">
        <v>9.7</v>
      </c>
    </row>
    <row r="80" customFormat="false" ht="15" hidden="false" customHeight="false" outlineLevel="0" collapsed="false">
      <c r="A80" s="11" t="s">
        <v>1611</v>
      </c>
      <c r="B80" s="23" t="n">
        <v>108</v>
      </c>
      <c r="C80" s="23" t="n">
        <v>2442</v>
      </c>
      <c r="D80" s="24" t="n">
        <f aca="false">IFERROR(B80/C80,0)</f>
        <v>0.0442260442260442</v>
      </c>
      <c r="E80" s="65" t="n">
        <v>8.6</v>
      </c>
    </row>
    <row r="81" customFormat="false" ht="15" hidden="false" customHeight="false" outlineLevel="0" collapsed="false">
      <c r="A81" s="9" t="s">
        <v>1612</v>
      </c>
      <c r="B81" s="19" t="n">
        <v>141</v>
      </c>
      <c r="C81" s="19" t="n">
        <v>2916</v>
      </c>
      <c r="D81" s="20" t="n">
        <f aca="false">IFERROR(B81/C81,0)</f>
        <v>0.0483539094650206</v>
      </c>
      <c r="E81" s="64" t="n">
        <v>8.7</v>
      </c>
    </row>
    <row r="82" customFormat="false" ht="15" hidden="false" customHeight="false" outlineLevel="0" collapsed="false">
      <c r="A82" s="11" t="s">
        <v>1613</v>
      </c>
      <c r="B82" s="23" t="n">
        <v>122</v>
      </c>
      <c r="C82" s="23" t="n">
        <v>2976</v>
      </c>
      <c r="D82" s="24" t="n">
        <f aca="false">IFERROR(B82/C82,0)</f>
        <v>0.040994623655914</v>
      </c>
      <c r="E82" s="65" t="n">
        <v>8.6</v>
      </c>
    </row>
    <row r="83" customFormat="false" ht="15" hidden="false" customHeight="false" outlineLevel="0" collapsed="false">
      <c r="A83" s="9" t="s">
        <v>1614</v>
      </c>
      <c r="B83" s="19" t="n">
        <v>124</v>
      </c>
      <c r="C83" s="19" t="n">
        <v>3093</v>
      </c>
      <c r="D83" s="20" t="n">
        <f aca="false">IFERROR(B83/C83,0)</f>
        <v>0.0400905269964436</v>
      </c>
      <c r="E83" s="64" t="n">
        <v>8.1</v>
      </c>
    </row>
    <row r="84" customFormat="false" ht="15" hidden="false" customHeight="false" outlineLevel="0" collapsed="false">
      <c r="A84" s="11" t="s">
        <v>1615</v>
      </c>
      <c r="B84" s="23" t="n">
        <v>144</v>
      </c>
      <c r="C84" s="23" t="n">
        <v>2959</v>
      </c>
      <c r="D84" s="24" t="n">
        <f aca="false">IFERROR(B84/C84,0)</f>
        <v>0.0486650895572829</v>
      </c>
      <c r="E84" s="65" t="n">
        <v>9.2</v>
      </c>
    </row>
    <row r="85" customFormat="false" ht="15" hidden="false" customHeight="false" outlineLevel="0" collapsed="false">
      <c r="A85" s="9" t="s">
        <v>1616</v>
      </c>
      <c r="B85" s="19" t="n">
        <v>108</v>
      </c>
      <c r="C85" s="19" t="n">
        <v>2314</v>
      </c>
      <c r="D85" s="20" t="n">
        <f aca="false">IFERROR(B85/C85,0)</f>
        <v>0.0466724286949006</v>
      </c>
      <c r="E85" s="64" t="n">
        <v>9.2</v>
      </c>
    </row>
    <row r="86" customFormat="false" ht="15" hidden="false" customHeight="false" outlineLevel="0" collapsed="false">
      <c r="A86" s="11" t="s">
        <v>1617</v>
      </c>
      <c r="B86" s="23" t="n">
        <v>112</v>
      </c>
      <c r="C86" s="23" t="n">
        <v>2093</v>
      </c>
      <c r="D86" s="24" t="n">
        <f aca="false">IFERROR(B86/C86,0)</f>
        <v>0.0535117056856187</v>
      </c>
      <c r="E86" s="65" t="n">
        <v>9.9</v>
      </c>
    </row>
    <row r="87" customFormat="false" ht="15" hidden="false" customHeight="false" outlineLevel="0" collapsed="false">
      <c r="A87" s="9" t="s">
        <v>1618</v>
      </c>
      <c r="B87" s="19" t="n">
        <v>95</v>
      </c>
      <c r="C87" s="19" t="n">
        <v>2568</v>
      </c>
      <c r="D87" s="20" t="n">
        <f aca="false">IFERROR(B87/C87,0)</f>
        <v>0.036993769470405</v>
      </c>
      <c r="E87" s="64" t="n">
        <v>10.1</v>
      </c>
    </row>
    <row r="88" customFormat="false" ht="15" hidden="false" customHeight="false" outlineLevel="0" collapsed="false">
      <c r="A88" s="11" t="s">
        <v>1619</v>
      </c>
      <c r="B88" s="23" t="n">
        <v>138</v>
      </c>
      <c r="C88" s="23" t="n">
        <v>3187</v>
      </c>
      <c r="D88" s="24" t="n">
        <f aca="false">IFERROR(B88/C88,0)</f>
        <v>0.0433009099466583</v>
      </c>
      <c r="E88" s="65" t="n">
        <v>8.8</v>
      </c>
    </row>
    <row r="89" customFormat="false" ht="15" hidden="false" customHeight="false" outlineLevel="0" collapsed="false">
      <c r="A89" s="9" t="s">
        <v>1620</v>
      </c>
      <c r="B89" s="19" t="n">
        <v>153</v>
      </c>
      <c r="C89" s="19" t="n">
        <v>3476</v>
      </c>
      <c r="D89" s="20" t="n">
        <f aca="false">IFERROR(B89/C89,0)</f>
        <v>0.0440161104718067</v>
      </c>
      <c r="E89" s="64" t="n">
        <v>8.3</v>
      </c>
    </row>
    <row r="90" customFormat="false" ht="15" hidden="false" customHeight="false" outlineLevel="0" collapsed="false">
      <c r="A90" s="11" t="s">
        <v>1621</v>
      </c>
      <c r="B90" s="23" t="n">
        <v>143</v>
      </c>
      <c r="C90" s="23" t="n">
        <v>3347</v>
      </c>
      <c r="D90" s="24" t="n">
        <f aca="false">IFERROR(B90/C90,0)</f>
        <v>0.0427248282043621</v>
      </c>
      <c r="E90" s="65" t="n">
        <v>8.5</v>
      </c>
    </row>
    <row r="91" customFormat="false" ht="15" hidden="false" customHeight="false" outlineLevel="0" collapsed="false">
      <c r="A91" s="9" t="s">
        <v>1622</v>
      </c>
      <c r="B91" s="19" t="n">
        <v>120</v>
      </c>
      <c r="C91" s="19" t="n">
        <v>3066</v>
      </c>
      <c r="D91" s="20" t="n">
        <f aca="false">IFERROR(B91/C91,0)</f>
        <v>0.0391389432485323</v>
      </c>
      <c r="E91" s="64" t="n">
        <v>8.9</v>
      </c>
    </row>
    <row r="92" customFormat="false" ht="15" hidden="false" customHeight="false" outlineLevel="0" collapsed="false">
      <c r="A92" s="11" t="s">
        <v>1623</v>
      </c>
      <c r="B92" s="23" t="n">
        <v>126</v>
      </c>
      <c r="C92" s="23" t="n">
        <v>2694</v>
      </c>
      <c r="D92" s="24" t="n">
        <f aca="false">IFERROR(B92/C92,0)</f>
        <v>0.0467706013363029</v>
      </c>
      <c r="E92" s="65" t="n">
        <v>8.4</v>
      </c>
    </row>
    <row r="93" customFormat="false" ht="15" hidden="false" customHeight="false" outlineLevel="0" collapsed="false">
      <c r="A93" s="9" t="s">
        <v>1624</v>
      </c>
      <c r="B93" s="19" t="n">
        <v>85</v>
      </c>
      <c r="C93" s="19" t="n">
        <v>2312</v>
      </c>
      <c r="D93" s="20" t="n">
        <f aca="false">IFERROR(B93/C93,0)</f>
        <v>0.0367647058823529</v>
      </c>
      <c r="E93" s="64" t="n">
        <v>9</v>
      </c>
    </row>
    <row r="94" customFormat="false" ht="15" hidden="false" customHeight="false" outlineLevel="0" collapsed="false">
      <c r="A94" s="11" t="s">
        <v>1625</v>
      </c>
      <c r="B94" s="23" t="n">
        <v>131</v>
      </c>
      <c r="C94" s="23" t="n">
        <v>2904</v>
      </c>
      <c r="D94" s="24" t="n">
        <f aca="false">IFERROR(B94/C94,0)</f>
        <v>0.0451101928374656</v>
      </c>
      <c r="E94" s="65" t="n">
        <v>8.8</v>
      </c>
    </row>
    <row r="95" customFormat="false" ht="15" hidden="false" customHeight="false" outlineLevel="0" collapsed="false">
      <c r="A95" s="9" t="s">
        <v>1626</v>
      </c>
      <c r="B95" s="19" t="n">
        <v>147</v>
      </c>
      <c r="C95" s="19" t="n">
        <v>3404</v>
      </c>
      <c r="D95" s="20" t="n">
        <f aca="false">IFERROR(B95/C95,0)</f>
        <v>0.0431844888366628</v>
      </c>
      <c r="E95" s="64" t="n">
        <v>8.6</v>
      </c>
    </row>
    <row r="96" customFormat="false" ht="15" hidden="false" customHeight="false" outlineLevel="0" collapsed="false">
      <c r="A96" s="11" t="s">
        <v>1627</v>
      </c>
      <c r="B96" s="23" t="n">
        <v>150</v>
      </c>
      <c r="C96" s="23" t="n">
        <v>3327</v>
      </c>
      <c r="D96" s="24" t="n">
        <f aca="false">IFERROR(B96/C96,0)</f>
        <v>0.0450856627592426</v>
      </c>
      <c r="E96" s="65" t="n">
        <v>8.4</v>
      </c>
    </row>
    <row r="97" customFormat="false" ht="15" hidden="false" customHeight="false" outlineLevel="0" collapsed="false">
      <c r="A97" s="9" t="s">
        <v>1628</v>
      </c>
      <c r="B97" s="19" t="n">
        <v>156</v>
      </c>
      <c r="C97" s="19" t="n">
        <v>3795</v>
      </c>
      <c r="D97" s="20" t="n">
        <f aca="false">IFERROR(B97/C97,0)</f>
        <v>0.0411067193675889</v>
      </c>
      <c r="E97" s="64" t="n">
        <v>8.7</v>
      </c>
    </row>
    <row r="98" customFormat="false" ht="15" hidden="false" customHeight="false" outlineLevel="0" collapsed="false">
      <c r="A98" s="11" t="s">
        <v>1629</v>
      </c>
      <c r="B98" s="23" t="n">
        <v>151</v>
      </c>
      <c r="C98" s="23" t="n">
        <v>3571</v>
      </c>
      <c r="D98" s="24" t="n">
        <f aca="false">IFERROR(B98/C98,0)</f>
        <v>0.0422850742089051</v>
      </c>
      <c r="E98" s="65" t="n">
        <v>8.2</v>
      </c>
    </row>
    <row r="99" customFormat="false" ht="15" hidden="false" customHeight="false" outlineLevel="0" collapsed="false">
      <c r="A99" s="9" t="s">
        <v>1630</v>
      </c>
      <c r="B99" s="19" t="n">
        <v>169</v>
      </c>
      <c r="C99" s="19" t="n">
        <v>2917</v>
      </c>
      <c r="D99" s="20" t="n">
        <f aca="false">IFERROR(B99/C99,0)</f>
        <v>0.057936235858759</v>
      </c>
      <c r="E99" s="64" t="n">
        <v>8.2</v>
      </c>
    </row>
    <row r="100" customFormat="false" ht="15" hidden="false" customHeight="false" outlineLevel="0" collapsed="false">
      <c r="A100" s="11" t="s">
        <v>1631</v>
      </c>
      <c r="B100" s="23" t="n">
        <v>135</v>
      </c>
      <c r="C100" s="23" t="n">
        <v>2556</v>
      </c>
      <c r="D100" s="24" t="n">
        <f aca="false">IFERROR(B100/C100,0)</f>
        <v>0.0528169014084507</v>
      </c>
      <c r="E100" s="65" t="n">
        <v>8.2</v>
      </c>
    </row>
    <row r="101" customFormat="false" ht="15" hidden="false" customHeight="false" outlineLevel="0" collapsed="false">
      <c r="A101" s="9" t="s">
        <v>1632</v>
      </c>
      <c r="B101" s="19" t="n">
        <v>133</v>
      </c>
      <c r="C101" s="19" t="n">
        <v>3185</v>
      </c>
      <c r="D101" s="20" t="n">
        <f aca="false">IFERROR(B101/C101,0)</f>
        <v>0.0417582417582418</v>
      </c>
      <c r="E101" s="64" t="n">
        <v>7.7</v>
      </c>
    </row>
    <row r="102" customFormat="false" ht="15" hidden="false" customHeight="false" outlineLevel="0" collapsed="false">
      <c r="A102" s="11" t="s">
        <v>1633</v>
      </c>
      <c r="B102" s="23" t="n">
        <v>155</v>
      </c>
      <c r="C102" s="23" t="n">
        <v>3898</v>
      </c>
      <c r="D102" s="24" t="n">
        <f aca="false">IFERROR(B102/C102,0)</f>
        <v>0.0397639815289892</v>
      </c>
      <c r="E102" s="65" t="n">
        <v>8.1</v>
      </c>
    </row>
    <row r="103" customFormat="false" ht="15" hidden="false" customHeight="false" outlineLevel="0" collapsed="false">
      <c r="A103" s="9" t="s">
        <v>1634</v>
      </c>
      <c r="B103" s="19" t="n">
        <v>162</v>
      </c>
      <c r="C103" s="19" t="n">
        <v>3530</v>
      </c>
      <c r="D103" s="20" t="n">
        <f aca="false">IFERROR(B103/C103,0)</f>
        <v>0.0458923512747875</v>
      </c>
      <c r="E103" s="64" t="n">
        <v>7.5</v>
      </c>
    </row>
    <row r="104" customFormat="false" ht="15" hidden="false" customHeight="false" outlineLevel="0" collapsed="false">
      <c r="A104" s="11" t="s">
        <v>1635</v>
      </c>
      <c r="B104" s="23" t="n">
        <v>166</v>
      </c>
      <c r="C104" s="23" t="n">
        <v>3304</v>
      </c>
      <c r="D104" s="24" t="n">
        <f aca="false">IFERROR(B104/C104,0)</f>
        <v>0.0502421307506053</v>
      </c>
      <c r="E104" s="65" t="n">
        <v>7.8</v>
      </c>
    </row>
    <row r="105" customFormat="false" ht="15" hidden="false" customHeight="false" outlineLevel="0" collapsed="false">
      <c r="A105" s="9" t="s">
        <v>1636</v>
      </c>
      <c r="B105" s="19" t="n">
        <v>142</v>
      </c>
      <c r="C105" s="19" t="n">
        <v>2880</v>
      </c>
      <c r="D105" s="20" t="n">
        <f aca="false">IFERROR(B105/C105,0)</f>
        <v>0.0493055555555556</v>
      </c>
      <c r="E105" s="64" t="n">
        <v>7.4</v>
      </c>
    </row>
    <row r="106" customFormat="false" ht="15" hidden="false" customHeight="false" outlineLevel="0" collapsed="false">
      <c r="A106" s="11" t="s">
        <v>1637</v>
      </c>
      <c r="B106" s="23" t="n">
        <v>133</v>
      </c>
      <c r="C106" s="23" t="n">
        <v>2381</v>
      </c>
      <c r="D106" s="24" t="n">
        <f aca="false">IFERROR(B106/C106,0)</f>
        <v>0.0558588828223436</v>
      </c>
      <c r="E106" s="65" t="n">
        <v>7.9</v>
      </c>
    </row>
    <row r="107" customFormat="false" ht="15" hidden="false" customHeight="false" outlineLevel="0" collapsed="false">
      <c r="A107" s="9" t="s">
        <v>1638</v>
      </c>
      <c r="B107" s="19" t="n">
        <v>110</v>
      </c>
      <c r="C107" s="19" t="n">
        <v>1836</v>
      </c>
      <c r="D107" s="20" t="n">
        <f aca="false">IFERROR(B107/C107,0)</f>
        <v>0.0599128540305011</v>
      </c>
      <c r="E107" s="64" t="n">
        <v>7.9</v>
      </c>
    </row>
    <row r="108" customFormat="false" ht="15" hidden="false" customHeight="false" outlineLevel="0" collapsed="false">
      <c r="A108" s="11" t="s">
        <v>1639</v>
      </c>
      <c r="B108" s="23" t="n">
        <v>86</v>
      </c>
      <c r="C108" s="23" t="n">
        <v>1792</v>
      </c>
      <c r="D108" s="24" t="n">
        <f aca="false">IFERROR(B108/C108,0)</f>
        <v>0.0479910714285714</v>
      </c>
      <c r="E108" s="65" t="n">
        <v>8.6</v>
      </c>
    </row>
    <row r="109" customFormat="false" ht="15" hidden="false" customHeight="false" outlineLevel="0" collapsed="false">
      <c r="A109" s="9" t="s">
        <v>1640</v>
      </c>
      <c r="B109" s="19" t="n">
        <v>98</v>
      </c>
      <c r="C109" s="19" t="n">
        <v>1852</v>
      </c>
      <c r="D109" s="20" t="n">
        <f aca="false">IFERROR(B109/C109,0)</f>
        <v>0.0529157667386609</v>
      </c>
      <c r="E109" s="64" t="n">
        <v>7.4</v>
      </c>
    </row>
    <row r="110" customFormat="false" ht="15" hidden="false" customHeight="false" outlineLevel="0" collapsed="false">
      <c r="A110" s="11" t="s">
        <v>1641</v>
      </c>
      <c r="B110" s="23" t="n">
        <v>96</v>
      </c>
      <c r="C110" s="23" t="n">
        <v>1983</v>
      </c>
      <c r="D110" s="24" t="n">
        <f aca="false">IFERROR(B110/C110,0)</f>
        <v>0.048411497730711</v>
      </c>
      <c r="E110" s="65" t="n">
        <v>8.1</v>
      </c>
    </row>
    <row r="111" customFormat="false" ht="15" hidden="false" customHeight="false" outlineLevel="0" collapsed="false">
      <c r="A111" s="9" t="s">
        <v>1642</v>
      </c>
      <c r="B111" s="19" t="n">
        <v>143</v>
      </c>
      <c r="C111" s="19" t="n">
        <v>2621</v>
      </c>
      <c r="D111" s="20" t="n">
        <f aca="false">IFERROR(B111/C111,0)</f>
        <v>0.0545593285005723</v>
      </c>
      <c r="E111" s="64" t="n">
        <v>7.4</v>
      </c>
    </row>
    <row r="112" customFormat="false" ht="15" hidden="false" customHeight="false" outlineLevel="0" collapsed="false">
      <c r="A112" s="11" t="s">
        <v>1643</v>
      </c>
      <c r="B112" s="23" t="n">
        <v>153</v>
      </c>
      <c r="C112" s="23" t="n">
        <v>2987</v>
      </c>
      <c r="D112" s="24" t="n">
        <f aca="false">IFERROR(B112/C112,0)</f>
        <v>0.0512219618346167</v>
      </c>
      <c r="E112" s="65" t="n">
        <v>7.1</v>
      </c>
    </row>
    <row r="113" customFormat="false" ht="15" hidden="false" customHeight="false" outlineLevel="0" collapsed="false">
      <c r="A113" s="9" t="s">
        <v>1644</v>
      </c>
      <c r="B113" s="19" t="n">
        <v>115</v>
      </c>
      <c r="C113" s="19" t="n">
        <v>2246</v>
      </c>
      <c r="D113" s="20" t="n">
        <f aca="false">IFERROR(B113/C113,0)</f>
        <v>0.0512021371326803</v>
      </c>
      <c r="E113" s="64" t="n">
        <v>6.9</v>
      </c>
    </row>
    <row r="114" customFormat="false" ht="15" hidden="false" customHeight="false" outlineLevel="0" collapsed="false">
      <c r="A114" s="11" t="s">
        <v>1645</v>
      </c>
      <c r="B114" s="23" t="n">
        <v>100</v>
      </c>
      <c r="C114" s="23" t="n">
        <v>1911</v>
      </c>
      <c r="D114" s="24" t="n">
        <f aca="false">IFERROR(B114/C114,0)</f>
        <v>0.0523286237571952</v>
      </c>
      <c r="E114" s="65" t="n">
        <v>7.1</v>
      </c>
    </row>
    <row r="115" customFormat="false" ht="15" hidden="false" customHeight="false" outlineLevel="0" collapsed="false">
      <c r="A115" s="9" t="s">
        <v>1646</v>
      </c>
      <c r="B115" s="19" t="n">
        <v>192</v>
      </c>
      <c r="C115" s="19" t="n">
        <v>3105</v>
      </c>
      <c r="D115" s="20" t="n">
        <f aca="false">IFERROR(B115/C115,0)</f>
        <v>0.0618357487922705</v>
      </c>
      <c r="E115" s="64" t="n">
        <v>7</v>
      </c>
    </row>
    <row r="116" customFormat="false" ht="15" hidden="false" customHeight="false" outlineLevel="0" collapsed="false">
      <c r="A116" s="11" t="s">
        <v>1647</v>
      </c>
      <c r="B116" s="23" t="n">
        <v>183</v>
      </c>
      <c r="C116" s="23" t="n">
        <v>3449</v>
      </c>
      <c r="D116" s="24" t="n">
        <f aca="false">IFERROR(B116/C116,0)</f>
        <v>0.0530588576398956</v>
      </c>
      <c r="E116" s="65" t="n">
        <v>7.2</v>
      </c>
    </row>
    <row r="117" customFormat="false" ht="15" hidden="false" customHeight="false" outlineLevel="0" collapsed="false">
      <c r="A117" s="9" t="s">
        <v>1648</v>
      </c>
      <c r="B117" s="19" t="n">
        <v>191</v>
      </c>
      <c r="C117" s="19" t="n">
        <v>3613</v>
      </c>
      <c r="D117" s="20" t="n">
        <f aca="false">IFERROR(B117/C117,0)</f>
        <v>0.0528646554110158</v>
      </c>
      <c r="E117" s="64" t="n">
        <v>7.9</v>
      </c>
    </row>
    <row r="118" customFormat="false" ht="15" hidden="false" customHeight="false" outlineLevel="0" collapsed="false">
      <c r="A118" s="11" t="s">
        <v>1649</v>
      </c>
      <c r="B118" s="23" t="n">
        <v>209</v>
      </c>
      <c r="C118" s="23" t="n">
        <v>3780</v>
      </c>
      <c r="D118" s="24" t="n">
        <f aca="false">IFERROR(B118/C118,0)</f>
        <v>0.0552910052910053</v>
      </c>
      <c r="E118" s="65" t="n">
        <v>7.2</v>
      </c>
    </row>
    <row r="119" customFormat="false" ht="15" hidden="false" customHeight="false" outlineLevel="0" collapsed="false">
      <c r="A119" s="9" t="s">
        <v>1650</v>
      </c>
      <c r="B119" s="19" t="n">
        <v>223</v>
      </c>
      <c r="C119" s="19" t="n">
        <v>4098</v>
      </c>
      <c r="D119" s="20" t="n">
        <f aca="false">IFERROR(B119/C119,0)</f>
        <v>0.0544167886774036</v>
      </c>
      <c r="E119" s="64" t="n">
        <v>7.1</v>
      </c>
    </row>
    <row r="120" customFormat="false" ht="15" hidden="false" customHeight="false" outlineLevel="0" collapsed="false">
      <c r="A120" s="11" t="s">
        <v>1651</v>
      </c>
      <c r="B120" s="23" t="n">
        <v>187</v>
      </c>
      <c r="C120" s="23" t="n">
        <v>3223</v>
      </c>
      <c r="D120" s="24" t="n">
        <f aca="false">IFERROR(B120/C120,0)</f>
        <v>0.0580204778156997</v>
      </c>
      <c r="E120" s="65" t="n">
        <v>7.3</v>
      </c>
    </row>
    <row r="121" customFormat="false" ht="15" hidden="false" customHeight="false" outlineLevel="0" collapsed="false">
      <c r="A121" s="9" t="s">
        <v>1652</v>
      </c>
      <c r="B121" s="19" t="n">
        <v>126</v>
      </c>
      <c r="C121" s="19" t="n">
        <v>2611</v>
      </c>
      <c r="D121" s="20" t="n">
        <f aca="false">IFERROR(B121/C121,0)</f>
        <v>0.0482573726541555</v>
      </c>
      <c r="E121" s="64" t="n">
        <v>7</v>
      </c>
    </row>
    <row r="122" customFormat="false" ht="15" hidden="false" customHeight="false" outlineLevel="0" collapsed="false">
      <c r="A122" s="11" t="s">
        <v>1653</v>
      </c>
      <c r="B122" s="23" t="n">
        <v>206</v>
      </c>
      <c r="C122" s="23" t="n">
        <v>3796</v>
      </c>
      <c r="D122" s="24" t="n">
        <f aca="false">IFERROR(B122/C122,0)</f>
        <v>0.0542676501580611</v>
      </c>
      <c r="E122" s="65" t="n">
        <v>7.2</v>
      </c>
    </row>
    <row r="123" customFormat="false" ht="15" hidden="false" customHeight="false" outlineLevel="0" collapsed="false">
      <c r="A123" s="9" t="s">
        <v>1654</v>
      </c>
      <c r="B123" s="19" t="n">
        <v>222</v>
      </c>
      <c r="C123" s="19" t="n">
        <v>4778</v>
      </c>
      <c r="D123" s="20" t="n">
        <f aca="false">IFERROR(B123/C123,0)</f>
        <v>0.0464629552113855</v>
      </c>
      <c r="E123" s="64" t="n">
        <v>7.1</v>
      </c>
    </row>
    <row r="124" customFormat="false" ht="15" hidden="false" customHeight="false" outlineLevel="0" collapsed="false">
      <c r="A124" s="11" t="s">
        <v>1655</v>
      </c>
      <c r="B124" s="23" t="n">
        <v>244</v>
      </c>
      <c r="C124" s="23" t="n">
        <v>5017</v>
      </c>
      <c r="D124" s="24" t="n">
        <f aca="false">IFERROR(B124/C124,0)</f>
        <v>0.048634642216464</v>
      </c>
      <c r="E124" s="65" t="n">
        <v>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G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2"/>
    <col collapsed="false" customWidth="true" hidden="false" outlineLevel="0" max="4" min="4" style="0" width="10"/>
    <col collapsed="false" customWidth="true" hidden="false" outlineLevel="0" max="6" min="5" style="0" width="12"/>
    <col collapsed="false" customWidth="true" hidden="false" outlineLevel="0" max="7" min="7" style="0" width="50"/>
  </cols>
  <sheetData>
    <row r="1" customFormat="false" ht="19.4" hidden="false" customHeight="false" outlineLevel="0" collapsed="false">
      <c r="A1" s="1" t="s">
        <v>1656</v>
      </c>
    </row>
    <row r="3" customFormat="false" ht="15" hidden="false" customHeight="false" outlineLevel="0" collapsed="false">
      <c r="A3" s="3" t="s">
        <v>1657</v>
      </c>
    </row>
    <row r="4" customFormat="false" ht="30" hidden="false" customHeight="true" outlineLevel="0" collapsed="false">
      <c r="A4" s="66" t="s">
        <v>1658</v>
      </c>
      <c r="B4" s="66"/>
      <c r="C4" s="66"/>
      <c r="D4" s="66"/>
      <c r="E4" s="66"/>
      <c r="F4" s="66"/>
      <c r="G4" s="66"/>
    </row>
    <row r="5" customFormat="false" ht="30" hidden="false" customHeight="true" outlineLevel="0" collapsed="false">
      <c r="A5" s="66" t="s">
        <v>1659</v>
      </c>
      <c r="B5" s="66"/>
      <c r="C5" s="66"/>
      <c r="D5" s="66"/>
      <c r="E5" s="66"/>
      <c r="F5" s="66"/>
      <c r="G5" s="66"/>
    </row>
    <row r="6" customFormat="false" ht="30" hidden="false" customHeight="true" outlineLevel="0" collapsed="false">
      <c r="A6" s="66" t="s">
        <v>1660</v>
      </c>
      <c r="B6" s="66"/>
      <c r="C6" s="66"/>
      <c r="D6" s="66"/>
      <c r="E6" s="66"/>
      <c r="F6" s="66"/>
      <c r="G6" s="66"/>
    </row>
    <row r="7" customFormat="false" ht="30" hidden="false" customHeight="true" outlineLevel="0" collapsed="false">
      <c r="A7" s="66" t="s">
        <v>1661</v>
      </c>
      <c r="B7" s="66"/>
      <c r="C7" s="66"/>
      <c r="D7" s="66"/>
      <c r="E7" s="66"/>
      <c r="F7" s="66"/>
      <c r="G7" s="66"/>
    </row>
    <row r="8" customFormat="false" ht="30" hidden="false" customHeight="true" outlineLevel="0" collapsed="false">
      <c r="A8" s="66" t="s">
        <v>1662</v>
      </c>
      <c r="B8" s="66"/>
      <c r="C8" s="66"/>
      <c r="D8" s="66"/>
      <c r="E8" s="66"/>
      <c r="F8" s="66"/>
      <c r="G8" s="66"/>
    </row>
    <row r="9" customFormat="false" ht="30" hidden="false" customHeight="true" outlineLevel="0" collapsed="false">
      <c r="A9" s="66" t="s">
        <v>1663</v>
      </c>
      <c r="B9" s="66"/>
      <c r="C9" s="66"/>
      <c r="D9" s="66"/>
      <c r="E9" s="66"/>
      <c r="F9" s="66"/>
      <c r="G9" s="66"/>
    </row>
    <row r="11" customFormat="false" ht="17.15" hidden="false" customHeight="false" outlineLevel="0" collapsed="false">
      <c r="A11" s="32" t="s">
        <v>1664</v>
      </c>
    </row>
    <row r="12" customFormat="false" ht="26.85" hidden="false" customHeight="false" outlineLevel="0" collapsed="false">
      <c r="A12" s="8" t="s">
        <v>1665</v>
      </c>
      <c r="B12" s="8" t="s">
        <v>76</v>
      </c>
      <c r="C12" s="8" t="s">
        <v>68</v>
      </c>
      <c r="D12" s="18" t="s">
        <v>49</v>
      </c>
      <c r="E12" s="8" t="s">
        <v>77</v>
      </c>
      <c r="F12" s="8" t="s">
        <v>78</v>
      </c>
    </row>
    <row r="13" customFormat="false" ht="15" hidden="false" customHeight="false" outlineLevel="0" collapsed="false">
      <c r="A13" s="9" t="s">
        <v>1666</v>
      </c>
      <c r="B13" s="19" t="n">
        <v>0</v>
      </c>
      <c r="C13" s="13" t="n">
        <v>0</v>
      </c>
      <c r="D13" s="20" t="n">
        <f aca="false">IFERROR(C13/B13,0)</f>
        <v>0</v>
      </c>
      <c r="E13" s="13" t="n">
        <v>0</v>
      </c>
      <c r="F13" s="19" t="n">
        <v>0</v>
      </c>
    </row>
    <row r="14" customFormat="false" ht="15" hidden="false" customHeight="false" outlineLevel="0" collapsed="false">
      <c r="A14" s="11" t="s">
        <v>1667</v>
      </c>
      <c r="B14" s="23" t="n">
        <v>0</v>
      </c>
      <c r="C14" s="14" t="n">
        <v>0</v>
      </c>
      <c r="D14" s="24" t="n">
        <f aca="false">IFERROR(C14/B14,0)</f>
        <v>0</v>
      </c>
      <c r="E14" s="14" t="n">
        <v>0</v>
      </c>
      <c r="F14" s="23" t="n">
        <v>0</v>
      </c>
    </row>
    <row r="15" customFormat="false" ht="15" hidden="false" customHeight="false" outlineLevel="0" collapsed="false">
      <c r="A15" s="9" t="s">
        <v>1668</v>
      </c>
      <c r="B15" s="19" t="n">
        <v>0</v>
      </c>
      <c r="C15" s="13" t="n">
        <v>0</v>
      </c>
      <c r="D15" s="20" t="n">
        <f aca="false">IFERROR(C15/B15,0)</f>
        <v>0</v>
      </c>
      <c r="E15" s="13" t="n">
        <v>0</v>
      </c>
      <c r="F15" s="19" t="n">
        <v>0</v>
      </c>
    </row>
    <row r="16" customFormat="false" ht="15" hidden="false" customHeight="false" outlineLevel="0" collapsed="false">
      <c r="A16" s="11" t="s">
        <v>1669</v>
      </c>
      <c r="B16" s="23" t="n">
        <v>0</v>
      </c>
      <c r="C16" s="14" t="n">
        <v>0</v>
      </c>
      <c r="D16" s="24" t="n">
        <f aca="false">IFERROR(C16/B16,0)</f>
        <v>0</v>
      </c>
      <c r="E16" s="14" t="n">
        <v>0</v>
      </c>
      <c r="F16" s="23" t="n">
        <v>0</v>
      </c>
    </row>
    <row r="17" customFormat="false" ht="15" hidden="false" customHeight="false" outlineLevel="0" collapsed="false">
      <c r="A17" s="9" t="s">
        <v>1670</v>
      </c>
      <c r="B17" s="19" t="n">
        <v>0</v>
      </c>
      <c r="C17" s="13" t="n">
        <v>0</v>
      </c>
      <c r="D17" s="20" t="n">
        <f aca="false">IFERROR(C17/B17,0)</f>
        <v>0</v>
      </c>
      <c r="E17" s="13" t="n">
        <v>0</v>
      </c>
      <c r="F17" s="19" t="n">
        <v>0</v>
      </c>
    </row>
    <row r="18" customFormat="false" ht="15" hidden="false" customHeight="false" outlineLevel="0" collapsed="false">
      <c r="A18" s="11" t="s">
        <v>1671</v>
      </c>
      <c r="B18" s="23" t="n">
        <v>0</v>
      </c>
      <c r="C18" s="14" t="n">
        <v>0</v>
      </c>
      <c r="D18" s="24" t="n">
        <f aca="false">IFERROR(C18/B18,0)</f>
        <v>0</v>
      </c>
      <c r="E18" s="14" t="n">
        <v>0</v>
      </c>
      <c r="F18" s="23" t="n">
        <v>0</v>
      </c>
    </row>
    <row r="19" customFormat="false" ht="15" hidden="false" customHeight="false" outlineLevel="0" collapsed="false">
      <c r="A19" s="9" t="s">
        <v>1672</v>
      </c>
      <c r="B19" s="19" t="n">
        <v>324</v>
      </c>
      <c r="C19" s="13" t="n">
        <v>10</v>
      </c>
      <c r="D19" s="20" t="n">
        <f aca="false">IFERROR(C19/B19,0)</f>
        <v>0.0308641975308642</v>
      </c>
      <c r="E19" s="13" t="n">
        <v>0</v>
      </c>
      <c r="F19" s="19" t="n">
        <v>0</v>
      </c>
    </row>
    <row r="20" customFormat="false" ht="15" hidden="false" customHeight="false" outlineLevel="0" collapsed="false">
      <c r="A20" s="11" t="s">
        <v>1673</v>
      </c>
      <c r="B20" s="23" t="n">
        <v>193</v>
      </c>
      <c r="C20" s="14" t="n">
        <v>9</v>
      </c>
      <c r="D20" s="24" t="n">
        <f aca="false">IFERROR(C20/B20,0)</f>
        <v>0.0466321243523316</v>
      </c>
      <c r="E20" s="14" t="n">
        <v>0</v>
      </c>
      <c r="F20" s="23" t="n">
        <v>0</v>
      </c>
    </row>
    <row r="21" customFormat="false" ht="15" hidden="false" customHeight="false" outlineLevel="0" collapsed="false">
      <c r="A21" s="9" t="s">
        <v>1674</v>
      </c>
      <c r="B21" s="19" t="n">
        <v>97</v>
      </c>
      <c r="C21" s="13" t="n">
        <v>2</v>
      </c>
      <c r="D21" s="20" t="n">
        <f aca="false">IFERROR(C21/B21,0)</f>
        <v>0.0206185567010309</v>
      </c>
      <c r="E21" s="13" t="n">
        <v>0</v>
      </c>
      <c r="F21" s="19" t="n">
        <v>0</v>
      </c>
    </row>
    <row r="22" customFormat="false" ht="15" hidden="false" customHeight="false" outlineLevel="0" collapsed="false">
      <c r="A22" s="11" t="s">
        <v>1675</v>
      </c>
      <c r="B22" s="23" t="n">
        <v>51</v>
      </c>
      <c r="C22" s="14" t="n">
        <v>2</v>
      </c>
      <c r="D22" s="24" t="n">
        <f aca="false">IFERROR(C22/B22,0)</f>
        <v>0.0392156862745098</v>
      </c>
      <c r="E22" s="14" t="n">
        <v>0</v>
      </c>
      <c r="F22" s="23" t="n">
        <v>0</v>
      </c>
    </row>
    <row r="24" customFormat="false" ht="17.15" hidden="false" customHeight="false" outlineLevel="0" collapsed="false">
      <c r="A24" s="32" t="s">
        <v>1676</v>
      </c>
    </row>
    <row r="25" customFormat="false" ht="26.85" hidden="false" customHeight="false" outlineLevel="0" collapsed="false">
      <c r="A25" s="8" t="s">
        <v>1677</v>
      </c>
      <c r="B25" s="8" t="s">
        <v>76</v>
      </c>
      <c r="C25" s="8" t="s">
        <v>68</v>
      </c>
      <c r="D25" s="18" t="s">
        <v>49</v>
      </c>
      <c r="E25" s="8" t="s">
        <v>77</v>
      </c>
      <c r="F25" s="8" t="s">
        <v>78</v>
      </c>
    </row>
    <row r="26" customFormat="false" ht="26.85" hidden="false" customHeight="false" outlineLevel="0" collapsed="false">
      <c r="A26" s="10" t="s">
        <v>1678</v>
      </c>
      <c r="B26" s="19" t="n">
        <v>5</v>
      </c>
      <c r="C26" s="13" t="n">
        <v>1</v>
      </c>
      <c r="D26" s="20" t="n">
        <f aca="false">IFERROR(C26/B26,0)</f>
        <v>0.2</v>
      </c>
      <c r="E26" s="13" t="n">
        <v>0</v>
      </c>
      <c r="F26" s="19" t="n">
        <v>0</v>
      </c>
    </row>
    <row r="27" customFormat="false" ht="26.85" hidden="false" customHeight="false" outlineLevel="0" collapsed="false">
      <c r="A27" s="29" t="s">
        <v>1679</v>
      </c>
      <c r="B27" s="23" t="n">
        <v>229</v>
      </c>
      <c r="C27" s="14" t="n">
        <v>7</v>
      </c>
      <c r="D27" s="24" t="n">
        <f aca="false">IFERROR(C27/B27,0)</f>
        <v>0.0305676855895197</v>
      </c>
      <c r="E27" s="14" t="n">
        <v>0</v>
      </c>
      <c r="F27" s="23" t="n">
        <v>0</v>
      </c>
    </row>
    <row r="28" customFormat="false" ht="26.85" hidden="false" customHeight="false" outlineLevel="0" collapsed="false">
      <c r="A28" s="28" t="s">
        <v>1680</v>
      </c>
      <c r="B28" s="19" t="n">
        <v>431</v>
      </c>
      <c r="C28" s="13" t="n">
        <v>15</v>
      </c>
      <c r="D28" s="20" t="n">
        <f aca="false">IFERROR(C28/B28,0)</f>
        <v>0.0348027842227378</v>
      </c>
      <c r="E28" s="13" t="n">
        <v>0</v>
      </c>
      <c r="F28" s="19" t="n">
        <v>0</v>
      </c>
    </row>
    <row r="30" customFormat="false" ht="17.15" hidden="false" customHeight="false" outlineLevel="0" collapsed="false">
      <c r="A30" s="3" t="s">
        <v>1681</v>
      </c>
    </row>
    <row r="31" customFormat="false" ht="26.85" hidden="false" customHeight="false" outlineLevel="0" collapsed="false">
      <c r="A31" s="8" t="s">
        <v>1682</v>
      </c>
      <c r="B31" s="8" t="s">
        <v>76</v>
      </c>
      <c r="C31" s="8" t="s">
        <v>68</v>
      </c>
      <c r="D31" s="18" t="s">
        <v>49</v>
      </c>
      <c r="E31" s="8" t="s">
        <v>77</v>
      </c>
      <c r="F31" s="8" t="s">
        <v>1683</v>
      </c>
      <c r="G31" s="8" t="s">
        <v>79</v>
      </c>
    </row>
    <row r="32" customFormat="false" ht="26.85" hidden="false" customHeight="false" outlineLevel="0" collapsed="false">
      <c r="A32" s="28" t="s">
        <v>1684</v>
      </c>
      <c r="B32" s="19" t="n">
        <v>3</v>
      </c>
      <c r="C32" s="13" t="n">
        <v>0</v>
      </c>
      <c r="D32" s="20" t="n">
        <f aca="false">IFERROR(C32/B32,0)</f>
        <v>0</v>
      </c>
      <c r="E32" s="13" t="n">
        <v>0</v>
      </c>
      <c r="F32" s="19" t="n">
        <v>0</v>
      </c>
      <c r="G32" s="13"/>
    </row>
    <row r="33" customFormat="false" ht="15" hidden="false" customHeight="false" outlineLevel="0" collapsed="false">
      <c r="A33" s="12" t="s">
        <v>1685</v>
      </c>
      <c r="B33" s="23" t="n">
        <v>34</v>
      </c>
      <c r="C33" s="14" t="n">
        <v>0</v>
      </c>
      <c r="D33" s="24" t="n">
        <f aca="false">IFERROR(C33/B33,0)</f>
        <v>0</v>
      </c>
      <c r="E33" s="14" t="n">
        <v>0</v>
      </c>
      <c r="F33" s="23" t="n">
        <v>0</v>
      </c>
      <c r="G33" s="14" t="s">
        <v>1686</v>
      </c>
    </row>
    <row r="34" customFormat="false" ht="15" hidden="false" customHeight="false" outlineLevel="0" collapsed="false">
      <c r="A34" s="10" t="s">
        <v>779</v>
      </c>
      <c r="B34" s="19" t="n">
        <v>12</v>
      </c>
      <c r="C34" s="13" t="n">
        <v>13</v>
      </c>
      <c r="D34" s="20" t="n">
        <f aca="false">IFERROR(C34/B34,0)</f>
        <v>1.08333333333333</v>
      </c>
      <c r="E34" s="13" t="n">
        <v>0</v>
      </c>
      <c r="F34" s="19" t="n">
        <v>0</v>
      </c>
      <c r="G34" s="13"/>
    </row>
    <row r="35" customFormat="false" ht="15" hidden="false" customHeight="false" outlineLevel="0" collapsed="false">
      <c r="A35" s="12" t="s">
        <v>379</v>
      </c>
      <c r="B35" s="23" t="n">
        <v>321</v>
      </c>
      <c r="C35" s="14" t="n">
        <v>6</v>
      </c>
      <c r="D35" s="24" t="n">
        <f aca="false">IFERROR(C35/B35,0)</f>
        <v>0.0186915887850467</v>
      </c>
      <c r="E35" s="14" t="n">
        <v>0</v>
      </c>
      <c r="F35" s="23" t="n">
        <v>0</v>
      </c>
      <c r="G35" s="14"/>
    </row>
    <row r="36" customFormat="false" ht="15" hidden="false" customHeight="false" outlineLevel="0" collapsed="false">
      <c r="A36" s="10" t="s">
        <v>1687</v>
      </c>
      <c r="B36" s="19" t="n">
        <v>34</v>
      </c>
      <c r="C36" s="13" t="n">
        <v>0</v>
      </c>
      <c r="D36" s="20" t="n">
        <f aca="false">IFERROR(C36/B36,0)</f>
        <v>0</v>
      </c>
      <c r="E36" s="13" t="n">
        <v>0</v>
      </c>
      <c r="F36" s="19" t="n">
        <v>0</v>
      </c>
      <c r="G36" s="13" t="s">
        <v>1686</v>
      </c>
    </row>
    <row r="37" customFormat="false" ht="15" hidden="false" customHeight="false" outlineLevel="0" collapsed="false">
      <c r="A37" s="12" t="s">
        <v>338</v>
      </c>
      <c r="B37" s="23" t="n">
        <v>242</v>
      </c>
      <c r="C37" s="14" t="n">
        <v>3</v>
      </c>
      <c r="D37" s="24" t="n">
        <f aca="false">IFERROR(C37/B37,0)</f>
        <v>0.012396694214876</v>
      </c>
      <c r="E37" s="14" t="n">
        <v>1</v>
      </c>
      <c r="F37" s="23" t="n">
        <v>330</v>
      </c>
      <c r="G37" s="14"/>
    </row>
    <row r="39" customFormat="false" ht="17.15" hidden="false" customHeight="false" outlineLevel="0" collapsed="false">
      <c r="A39" s="3" t="s">
        <v>1688</v>
      </c>
    </row>
    <row r="40" customFormat="false" ht="26.85" hidden="false" customHeight="false" outlineLevel="0" collapsed="false">
      <c r="A40" s="8" t="s">
        <v>1689</v>
      </c>
      <c r="B40" s="8" t="s">
        <v>76</v>
      </c>
      <c r="C40" s="8" t="s">
        <v>68</v>
      </c>
      <c r="D40" s="18" t="s">
        <v>49</v>
      </c>
      <c r="E40" s="8" t="s">
        <v>77</v>
      </c>
      <c r="F40" s="8" t="s">
        <v>78</v>
      </c>
    </row>
    <row r="41" customFormat="false" ht="15" hidden="false" customHeight="false" outlineLevel="0" collapsed="false">
      <c r="A41" s="13" t="s">
        <v>1690</v>
      </c>
      <c r="B41" s="19" t="n">
        <v>90</v>
      </c>
      <c r="C41" s="13" t="n">
        <v>5</v>
      </c>
      <c r="D41" s="20" t="n">
        <f aca="false">IFERROR(C41/B41,0)</f>
        <v>0.0555555555555556</v>
      </c>
      <c r="E41" s="13" t="n">
        <v>0</v>
      </c>
      <c r="F41" s="13" t="n">
        <v>0</v>
      </c>
    </row>
    <row r="43" customFormat="false" ht="17.15" hidden="false" customHeight="false" outlineLevel="0" collapsed="false">
      <c r="A43" s="3" t="s">
        <v>1691</v>
      </c>
    </row>
    <row r="44" customFormat="false" ht="15" hidden="false" customHeight="false" outlineLevel="0" collapsed="false">
      <c r="A44" s="8" t="s">
        <v>1563</v>
      </c>
      <c r="B44" s="8" t="s">
        <v>76</v>
      </c>
      <c r="C44" s="8" t="s">
        <v>68</v>
      </c>
      <c r="D44" s="18" t="s">
        <v>49</v>
      </c>
      <c r="E44" s="8" t="s">
        <v>77</v>
      </c>
      <c r="F44" s="8" t="s">
        <v>1692</v>
      </c>
    </row>
    <row r="45" customFormat="false" ht="15" hidden="false" customHeight="false" outlineLevel="0" collapsed="false">
      <c r="A45" s="9" t="s">
        <v>1693</v>
      </c>
      <c r="B45" s="19" t="n">
        <v>20</v>
      </c>
      <c r="C45" s="13" t="n">
        <v>0</v>
      </c>
      <c r="D45" s="20" t="n">
        <f aca="false">IFERROR(C45/B45,0)</f>
        <v>0</v>
      </c>
      <c r="E45" s="13" t="n">
        <v>0</v>
      </c>
      <c r="F45" s="13" t="n">
        <v>0</v>
      </c>
    </row>
    <row r="46" customFormat="false" ht="15" hidden="false" customHeight="false" outlineLevel="0" collapsed="false">
      <c r="A46" s="11" t="s">
        <v>1694</v>
      </c>
      <c r="B46" s="23" t="n">
        <v>20</v>
      </c>
      <c r="C46" s="14" t="n">
        <v>1</v>
      </c>
      <c r="D46" s="24" t="n">
        <f aca="false">IFERROR(C46/B46,0)</f>
        <v>0.05</v>
      </c>
      <c r="E46" s="14" t="n">
        <v>0</v>
      </c>
      <c r="F46" s="14" t="n">
        <v>0</v>
      </c>
    </row>
    <row r="47" customFormat="false" ht="15" hidden="false" customHeight="false" outlineLevel="0" collapsed="false">
      <c r="A47" s="9" t="s">
        <v>1695</v>
      </c>
      <c r="B47" s="19" t="n">
        <v>17</v>
      </c>
      <c r="C47" s="13" t="n">
        <v>0</v>
      </c>
      <c r="D47" s="20" t="n">
        <f aca="false">IFERROR(C47/B47,0)</f>
        <v>0</v>
      </c>
      <c r="E47" s="13" t="n">
        <v>1</v>
      </c>
      <c r="F47" s="13" t="n">
        <v>330</v>
      </c>
    </row>
    <row r="48" customFormat="false" ht="15" hidden="false" customHeight="false" outlineLevel="0" collapsed="false">
      <c r="A48" s="11" t="s">
        <v>1696</v>
      </c>
      <c r="B48" s="23" t="n">
        <v>14</v>
      </c>
      <c r="C48" s="14" t="n">
        <v>1</v>
      </c>
      <c r="D48" s="24" t="n">
        <f aca="false">IFERROR(C48/B48,0)</f>
        <v>0.0714285714285714</v>
      </c>
      <c r="E48" s="14" t="n">
        <v>0</v>
      </c>
      <c r="F48" s="14" t="n">
        <v>0</v>
      </c>
    </row>
    <row r="49" customFormat="false" ht="15" hidden="false" customHeight="false" outlineLevel="0" collapsed="false">
      <c r="A49" s="9" t="s">
        <v>1697</v>
      </c>
      <c r="B49" s="19" t="n">
        <v>18</v>
      </c>
      <c r="C49" s="13" t="n">
        <v>0</v>
      </c>
      <c r="D49" s="20" t="n">
        <f aca="false">IFERROR(C49/B49,0)</f>
        <v>0</v>
      </c>
      <c r="E49" s="13" t="n">
        <v>0</v>
      </c>
      <c r="F49" s="13" t="n">
        <v>0</v>
      </c>
    </row>
    <row r="50" customFormat="false" ht="15" hidden="false" customHeight="false" outlineLevel="0" collapsed="false">
      <c r="A50" s="11" t="s">
        <v>1550</v>
      </c>
      <c r="B50" s="23" t="n">
        <v>19</v>
      </c>
      <c r="C50" s="14" t="n">
        <v>0</v>
      </c>
      <c r="D50" s="24" t="n">
        <f aca="false">IFERROR(C50/B50,0)</f>
        <v>0</v>
      </c>
      <c r="E50" s="14" t="n">
        <v>0</v>
      </c>
      <c r="F50" s="14" t="n">
        <v>0</v>
      </c>
    </row>
    <row r="51" customFormat="false" ht="15" hidden="false" customHeight="false" outlineLevel="0" collapsed="false">
      <c r="A51" s="9" t="s">
        <v>1698</v>
      </c>
      <c r="B51" s="19" t="n">
        <v>25</v>
      </c>
      <c r="C51" s="13" t="n">
        <v>2</v>
      </c>
      <c r="D51" s="20" t="n">
        <f aca="false">IFERROR(C51/B51,0)</f>
        <v>0.08</v>
      </c>
      <c r="E51" s="13" t="n">
        <v>0</v>
      </c>
      <c r="F51" s="13" t="n">
        <v>0</v>
      </c>
    </row>
    <row r="52" customFormat="false" ht="15" hidden="false" customHeight="false" outlineLevel="0" collapsed="false">
      <c r="A52" s="11" t="s">
        <v>1699</v>
      </c>
      <c r="B52" s="23" t="n">
        <v>23</v>
      </c>
      <c r="C52" s="14" t="n">
        <v>0</v>
      </c>
      <c r="D52" s="24" t="n">
        <f aca="false">IFERROR(C52/B52,0)</f>
        <v>0</v>
      </c>
      <c r="E52" s="14" t="n">
        <v>0</v>
      </c>
      <c r="F52" s="14" t="n">
        <v>0</v>
      </c>
    </row>
    <row r="53" customFormat="false" ht="15" hidden="false" customHeight="false" outlineLevel="0" collapsed="false">
      <c r="A53" s="9" t="s">
        <v>1700</v>
      </c>
      <c r="B53" s="19" t="n">
        <v>20</v>
      </c>
      <c r="C53" s="13" t="n">
        <v>1</v>
      </c>
      <c r="D53" s="20" t="n">
        <f aca="false">IFERROR(C53/B53,0)</f>
        <v>0.05</v>
      </c>
      <c r="E53" s="13" t="n">
        <v>0</v>
      </c>
      <c r="F53" s="13" t="n">
        <v>0</v>
      </c>
    </row>
    <row r="54" customFormat="false" ht="15" hidden="false" customHeight="false" outlineLevel="0" collapsed="false">
      <c r="A54" s="11" t="s">
        <v>1701</v>
      </c>
      <c r="B54" s="23" t="n">
        <v>10</v>
      </c>
      <c r="C54" s="14" t="n">
        <v>3</v>
      </c>
      <c r="D54" s="24" t="n">
        <f aca="false">IFERROR(C54/B54,0)</f>
        <v>0.3</v>
      </c>
      <c r="E54" s="14" t="n">
        <v>0</v>
      </c>
      <c r="F54" s="14" t="n">
        <v>0</v>
      </c>
    </row>
    <row r="55" customFormat="false" ht="15" hidden="false" customHeight="false" outlineLevel="0" collapsed="false">
      <c r="A55" s="9" t="s">
        <v>1702</v>
      </c>
      <c r="B55" s="19" t="n">
        <v>13</v>
      </c>
      <c r="C55" s="13" t="n">
        <v>0</v>
      </c>
      <c r="D55" s="20" t="n">
        <f aca="false">IFERROR(C55/B55,0)</f>
        <v>0</v>
      </c>
      <c r="E55" s="13" t="n">
        <v>0</v>
      </c>
      <c r="F55" s="13" t="n">
        <v>0</v>
      </c>
    </row>
    <row r="56" customFormat="false" ht="15" hidden="false" customHeight="false" outlineLevel="0" collapsed="false">
      <c r="A56" s="11" t="s">
        <v>1703</v>
      </c>
      <c r="B56" s="23" t="n">
        <v>12</v>
      </c>
      <c r="C56" s="14" t="n">
        <v>1</v>
      </c>
      <c r="D56" s="24" t="n">
        <f aca="false">IFERROR(C56/B56,0)</f>
        <v>0.0833333333333333</v>
      </c>
      <c r="E56" s="14" t="n">
        <v>0</v>
      </c>
      <c r="F56" s="14" t="n">
        <v>0</v>
      </c>
    </row>
    <row r="57" customFormat="false" ht="15" hidden="false" customHeight="false" outlineLevel="0" collapsed="false">
      <c r="A57" s="9" t="s">
        <v>1551</v>
      </c>
      <c r="B57" s="19" t="n">
        <v>32</v>
      </c>
      <c r="C57" s="13" t="n">
        <v>10</v>
      </c>
      <c r="D57" s="20" t="n">
        <f aca="false">IFERROR(C57/B57,0)</f>
        <v>0.3125</v>
      </c>
      <c r="E57" s="13" t="n">
        <v>0</v>
      </c>
      <c r="F57" s="13" t="n">
        <v>0</v>
      </c>
    </row>
    <row r="58" customFormat="false" ht="15" hidden="false" customHeight="false" outlineLevel="0" collapsed="false">
      <c r="A58" s="11" t="s">
        <v>1704</v>
      </c>
      <c r="B58" s="23" t="n">
        <v>12</v>
      </c>
      <c r="C58" s="14" t="n">
        <v>1</v>
      </c>
      <c r="D58" s="24" t="n">
        <f aca="false">IFERROR(C58/B58,0)</f>
        <v>0.0833333333333333</v>
      </c>
      <c r="E58" s="14" t="n">
        <v>0</v>
      </c>
      <c r="F58" s="14" t="n">
        <v>0</v>
      </c>
    </row>
    <row r="59" customFormat="false" ht="15" hidden="false" customHeight="false" outlineLevel="0" collapsed="false">
      <c r="A59" s="9" t="s">
        <v>1705</v>
      </c>
      <c r="B59" s="19" t="n">
        <v>23</v>
      </c>
      <c r="C59" s="13" t="n">
        <v>0</v>
      </c>
      <c r="D59" s="20" t="n">
        <f aca="false">IFERROR(C59/B59,0)</f>
        <v>0</v>
      </c>
      <c r="E59" s="13" t="n">
        <v>0</v>
      </c>
      <c r="F59" s="13" t="n">
        <v>0</v>
      </c>
    </row>
    <row r="60" customFormat="false" ht="15" hidden="false" customHeight="false" outlineLevel="0" collapsed="false">
      <c r="A60" s="11" t="s">
        <v>1706</v>
      </c>
      <c r="B60" s="23" t="n">
        <v>18</v>
      </c>
      <c r="C60" s="14" t="n">
        <v>0</v>
      </c>
      <c r="D60" s="24" t="n">
        <f aca="false">IFERROR(C60/B60,0)</f>
        <v>0</v>
      </c>
      <c r="E60" s="14" t="n">
        <v>0</v>
      </c>
      <c r="F60" s="14" t="n">
        <v>0</v>
      </c>
    </row>
    <row r="61" customFormat="false" ht="15" hidden="false" customHeight="false" outlineLevel="0" collapsed="false">
      <c r="A61" s="9" t="s">
        <v>1707</v>
      </c>
      <c r="B61" s="19" t="n">
        <v>10</v>
      </c>
      <c r="C61" s="13" t="n">
        <v>0</v>
      </c>
      <c r="D61" s="20" t="n">
        <f aca="false">IFERROR(C61/B61,0)</f>
        <v>0</v>
      </c>
      <c r="E61" s="13" t="n">
        <v>0</v>
      </c>
      <c r="F61" s="13" t="n">
        <v>0</v>
      </c>
    </row>
    <row r="62" customFormat="false" ht="15" hidden="false" customHeight="false" outlineLevel="0" collapsed="false">
      <c r="A62" s="11" t="s">
        <v>1708</v>
      </c>
      <c r="B62" s="23" t="n">
        <v>26</v>
      </c>
      <c r="C62" s="14" t="n">
        <v>1</v>
      </c>
      <c r="D62" s="24" t="n">
        <f aca="false">IFERROR(C62/B62,0)</f>
        <v>0.0384615384615385</v>
      </c>
      <c r="E62" s="14" t="n">
        <v>0</v>
      </c>
      <c r="F62" s="14" t="n">
        <v>0</v>
      </c>
    </row>
    <row r="63" customFormat="false" ht="15" hidden="false" customHeight="false" outlineLevel="0" collapsed="false">
      <c r="A63" s="9" t="s">
        <v>1709</v>
      </c>
      <c r="B63" s="19" t="n">
        <v>31</v>
      </c>
      <c r="C63" s="13" t="n">
        <v>0</v>
      </c>
      <c r="D63" s="20" t="n">
        <f aca="false">IFERROR(C63/B63,0)</f>
        <v>0</v>
      </c>
      <c r="E63" s="13" t="n">
        <v>0</v>
      </c>
      <c r="F63" s="13" t="n">
        <v>0</v>
      </c>
    </row>
    <row r="64" customFormat="false" ht="15" hidden="false" customHeight="false" outlineLevel="0" collapsed="false">
      <c r="A64" s="11" t="s">
        <v>1552</v>
      </c>
      <c r="B64" s="23" t="n">
        <v>48</v>
      </c>
      <c r="C64" s="14" t="n">
        <v>1</v>
      </c>
      <c r="D64" s="24" t="n">
        <f aca="false">IFERROR(C64/B64,0)</f>
        <v>0.0208333333333333</v>
      </c>
      <c r="E64" s="14" t="n">
        <v>0</v>
      </c>
      <c r="F64" s="14" t="n">
        <v>0</v>
      </c>
    </row>
    <row r="65" customFormat="false" ht="15" hidden="false" customHeight="false" outlineLevel="0" collapsed="false">
      <c r="A65" s="9" t="s">
        <v>1710</v>
      </c>
      <c r="B65" s="19" t="n">
        <v>27</v>
      </c>
      <c r="C65" s="13" t="n">
        <v>0</v>
      </c>
      <c r="D65" s="20" t="n">
        <f aca="false">IFERROR(C65/B65,0)</f>
        <v>0</v>
      </c>
      <c r="E65" s="13" t="n">
        <v>0</v>
      </c>
      <c r="F65" s="13" t="n">
        <v>0</v>
      </c>
    </row>
    <row r="66" customFormat="false" ht="15" hidden="false" customHeight="false" outlineLevel="0" collapsed="false">
      <c r="A66" s="11" t="s">
        <v>1711</v>
      </c>
      <c r="B66" s="23" t="n">
        <v>22</v>
      </c>
      <c r="C66" s="14" t="n">
        <v>0</v>
      </c>
      <c r="D66" s="24" t="n">
        <f aca="false">IFERROR(C66/B66,0)</f>
        <v>0</v>
      </c>
      <c r="E66" s="14" t="n">
        <v>0</v>
      </c>
      <c r="F66" s="14" t="n">
        <v>0</v>
      </c>
    </row>
    <row r="67" customFormat="false" ht="15" hidden="false" customHeight="false" outlineLevel="0" collapsed="false">
      <c r="A67" s="9" t="s">
        <v>1712</v>
      </c>
      <c r="B67" s="19" t="n">
        <v>27</v>
      </c>
      <c r="C67" s="13" t="n">
        <v>0</v>
      </c>
      <c r="D67" s="20" t="n">
        <f aca="false">IFERROR(C67/B67,0)</f>
        <v>0</v>
      </c>
      <c r="E67" s="13" t="n">
        <v>0</v>
      </c>
      <c r="F67" s="13" t="n">
        <v>0</v>
      </c>
    </row>
    <row r="68" customFormat="false" ht="15" hidden="false" customHeight="false" outlineLevel="0" collapsed="false">
      <c r="A68" s="11" t="s">
        <v>1713</v>
      </c>
      <c r="B68" s="23" t="n">
        <v>11</v>
      </c>
      <c r="C68" s="14" t="n">
        <v>0</v>
      </c>
      <c r="D68" s="24" t="n">
        <f aca="false">IFERROR(C68/B68,0)</f>
        <v>0</v>
      </c>
      <c r="E68" s="14" t="n">
        <v>0</v>
      </c>
      <c r="F68" s="14" t="n">
        <v>0</v>
      </c>
    </row>
    <row r="69" customFormat="false" ht="15" hidden="false" customHeight="false" outlineLevel="0" collapsed="false">
      <c r="A69" s="9" t="s">
        <v>1714</v>
      </c>
      <c r="B69" s="19" t="n">
        <v>20</v>
      </c>
      <c r="C69" s="13" t="n">
        <v>0</v>
      </c>
      <c r="D69" s="20" t="n">
        <f aca="false">IFERROR(C69/B69,0)</f>
        <v>0</v>
      </c>
      <c r="E69" s="13" t="n">
        <v>0</v>
      </c>
      <c r="F69" s="13" t="n">
        <v>0</v>
      </c>
    </row>
    <row r="70" customFormat="false" ht="15" hidden="false" customHeight="false" outlineLevel="0" collapsed="false">
      <c r="A70" s="11" t="s">
        <v>1715</v>
      </c>
      <c r="B70" s="23" t="n">
        <v>20</v>
      </c>
      <c r="C70" s="14" t="n">
        <v>0</v>
      </c>
      <c r="D70" s="24" t="n">
        <f aca="false">IFERROR(C70/B70,0)</f>
        <v>0</v>
      </c>
      <c r="E70" s="14" t="n">
        <v>0</v>
      </c>
      <c r="F70" s="14" t="n">
        <v>0</v>
      </c>
    </row>
    <row r="71" customFormat="false" ht="15" hidden="false" customHeight="false" outlineLevel="0" collapsed="false">
      <c r="A71" s="9" t="s">
        <v>1553</v>
      </c>
      <c r="B71" s="19" t="n">
        <v>24</v>
      </c>
      <c r="C71" s="13" t="n">
        <v>0</v>
      </c>
      <c r="D71" s="20" t="n">
        <f aca="false">IFERROR(C71/B71,0)</f>
        <v>0</v>
      </c>
      <c r="E71" s="13" t="n">
        <v>0</v>
      </c>
      <c r="F71" s="13" t="n">
        <v>0</v>
      </c>
    </row>
    <row r="72" customFormat="false" ht="15" hidden="false" customHeight="false" outlineLevel="0" collapsed="false">
      <c r="A72" s="11" t="s">
        <v>1716</v>
      </c>
      <c r="B72" s="23" t="n">
        <v>29</v>
      </c>
      <c r="C72" s="14" t="n">
        <v>0</v>
      </c>
      <c r="D72" s="24" t="n">
        <f aca="false">IFERROR(C72/B72,0)</f>
        <v>0</v>
      </c>
      <c r="E72" s="14" t="n">
        <v>0</v>
      </c>
      <c r="F72" s="14" t="n">
        <v>0</v>
      </c>
    </row>
    <row r="73" customFormat="false" ht="15" hidden="false" customHeight="false" outlineLevel="0" collapsed="false">
      <c r="A73" s="9" t="s">
        <v>1717</v>
      </c>
      <c r="B73" s="19" t="n">
        <v>27</v>
      </c>
      <c r="C73" s="13" t="n">
        <v>0</v>
      </c>
      <c r="D73" s="20" t="n">
        <f aca="false">IFERROR(C73/B73,0)</f>
        <v>0</v>
      </c>
      <c r="E73" s="13" t="n">
        <v>0</v>
      </c>
      <c r="F73" s="13" t="n">
        <v>0</v>
      </c>
    </row>
    <row r="74" customFormat="false" ht="15" hidden="false" customHeight="false" outlineLevel="0" collapsed="false">
      <c r="A74" s="11" t="s">
        <v>1718</v>
      </c>
      <c r="B74" s="23" t="n">
        <v>24</v>
      </c>
      <c r="C74" s="14" t="n">
        <v>0</v>
      </c>
      <c r="D74" s="24" t="n">
        <f aca="false">IFERROR(C74/B74,0)</f>
        <v>0</v>
      </c>
      <c r="E74" s="14" t="n">
        <v>0</v>
      </c>
      <c r="F74" s="14" t="n">
        <v>0</v>
      </c>
    </row>
    <row r="75" customFormat="false" ht="15" hidden="false" customHeight="false" outlineLevel="0" collapsed="false">
      <c r="A75" s="9" t="s">
        <v>1719</v>
      </c>
      <c r="B75" s="19" t="n">
        <v>4</v>
      </c>
      <c r="C75" s="13" t="n">
        <v>0</v>
      </c>
      <c r="D75" s="20" t="n">
        <f aca="false">IFERROR(C75/B75,0)</f>
        <v>0</v>
      </c>
      <c r="E75" s="13" t="n">
        <v>0</v>
      </c>
      <c r="F75" s="13" t="n">
        <v>0</v>
      </c>
    </row>
    <row r="76" customFormat="false" ht="15" hidden="false" customHeight="false" outlineLevel="0" collapsed="false">
      <c r="A76" s="14" t="s">
        <v>85</v>
      </c>
      <c r="B76" s="23" t="n">
        <f aca="false">SUM(B45:B75)</f>
        <v>646</v>
      </c>
      <c r="C76" s="14" t="n">
        <f aca="false">SUM(C45:C75)</f>
        <v>22</v>
      </c>
      <c r="D76" s="24" t="n">
        <f aca="false">IFERROR(C76/B76,0)</f>
        <v>0.0340557275541796</v>
      </c>
      <c r="E76" s="14" t="n">
        <f aca="false">SUM(E45:E75)</f>
        <v>1</v>
      </c>
      <c r="F76" s="14" t="n">
        <f aca="false">SUM(F45:F75)</f>
        <v>330</v>
      </c>
    </row>
  </sheetData>
  <mergeCells count="6">
    <mergeCell ref="A4:G4"/>
    <mergeCell ref="A5:G5"/>
    <mergeCell ref="A6:G6"/>
    <mergeCell ref="A7:G7"/>
    <mergeCell ref="A8:G8"/>
    <mergeCell ref="A9:G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2026-10-10T03:57:27Z</dcterms:created>
  <dc:creator>openpyxl</dc:creator>
  <dc:description/>
  <dc:language>en-US</dc:language>
  <cp:lastModifiedBy/>
  <dcterms:modified xsi:type="dcterms:W3CDTF">2026-10-10T03:57:28Z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